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_to_use" sheetId="1" state="visible" r:id="rId1"/>
    <sheet name="Y7_Class1" sheetId="2" state="visible" r:id="rId2"/>
    <sheet name="Y8_Class1" sheetId="3" state="visible" r:id="rId3"/>
    <sheet name="Y9_Class1" sheetId="4" state="visible" r:id="rId4"/>
    <sheet name="Summary" sheetId="5" state="visible" r:id="rId5"/>
    <sheet name="Question_analysis" sheetId="6" state="visible" r:id="rId6"/>
    <sheet name="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1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4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name val="Arial"/>
        <b val="1"/>
        <sz val="10"/>
      </font>
    </dxf>
    <dxf>
      <font>
        <name val="Arial"/>
        <i val="1"/>
        <sz val="10"/>
      </font>
      <fill>
        <patternFill patternType="solid">
          <fgColor rgb="00D9D9D9"/>
        </patternFill>
      </fill>
    </dxf>
    <dxf>
      <fill>
        <patternFill patternType="solid">
          <fgColor rgb="00D9D9D9"/>
        </patternFill>
      </fill>
    </dxf>
    <dxf>
      <font>
        <name val="Arial"/>
        <i val="1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Think Like a Scientist | 像科学家一样思考: Progress Tracker</t>
        </is>
      </c>
    </row>
    <row r="2">
      <c r="A2" s="2" t="inlineStr">
        <is>
          <t>One tab per class. Yellow cells are for you to fill in; grey cells calculate automatically. Do not type in grey cells, except to override an Award marked "Check" (explain why in Notes).</t>
        </is>
      </c>
    </row>
    <row r="3">
      <c r="A3" s="2" t="inlineStr"/>
    </row>
    <row r="4">
      <c r="A4" s="3" t="inlineStr">
        <is>
          <t>Setting up</t>
        </is>
      </c>
    </row>
    <row r="5">
      <c r="A5" s="2" t="inlineStr">
        <is>
          <t>1. Rename the class tabs (Y7_Class1, Y8_Class1, Y9_Class1) to your real class names, for example Y7_7A. The Summary formulas follow the rename automatically.</t>
        </is>
      </c>
    </row>
    <row r="6">
      <c r="A6" s="2" t="inlineStr">
        <is>
          <t>2. For an extra class, right-click a class tab &gt; Move or Copy &gt; Create a copy, rename it, then copy a row on the Summary tab and point it at the new tab.</t>
        </is>
      </c>
    </row>
    <row r="7">
      <c r="A7" s="2" t="inlineStr">
        <is>
          <t>3. Enter register number, names, groups and roles in Week 1. Fictional names only in any training copy.</t>
        </is>
      </c>
    </row>
    <row r="8">
      <c r="A8" s="2" t="inlineStr"/>
    </row>
    <row r="9">
      <c r="A9" s="3" t="inlineStr">
        <is>
          <t>When to enter what</t>
        </is>
      </c>
    </row>
    <row r="10">
      <c r="A10" s="2" t="inlineStr">
        <is>
          <t>Week 1: skills check score (/20) in column I; survey answers S1 to S6 (1 to 5) in J to O. Leave blank if absent and write ABS in Notes. Do NOT go through or return the Week 1 papers.</t>
        </is>
      </c>
    </row>
    <row r="11">
      <c r="A11" s="2" t="inlineStr">
        <is>
          <t>Week 5: checkpoint score (/12) in column Q, before the handover note is written. Checkpoint % below 40 is shaded grey.</t>
        </is>
      </c>
    </row>
    <row r="12">
      <c r="A12" s="2" t="inlineStr">
        <is>
          <t>Week 10: skills check (/20) in column S; survey S1 to S6 in U to Z; rubric levels for strands 1 to 6 in AC to AH (B Beginning 起步, D Developing 发展, S Secure 达标, E Excellent 优秀, N not judged).</t>
        </is>
      </c>
    </row>
    <row r="13">
      <c r="A13" s="2" t="inlineStr"/>
    </row>
    <row r="14">
      <c r="A14" s="3" t="inlineStr">
        <is>
          <t>What calculates automatically</t>
        </is>
      </c>
    </row>
    <row r="15">
      <c r="A15" s="2" t="inlineStr">
        <is>
          <t>Growth (T) = Week 10 minus Week 1: bold if 4 or more; italic and grey if negative (check the marking).</t>
        </is>
      </c>
    </row>
    <row r="16">
      <c r="A16" s="2" t="inlineStr">
        <is>
          <t>Award (AJ): Gold = at least 4 strands Excellent; Silver = at least 4 Secure or above; Bronze = at least 4 Developing or above; otherwise Participation. With 4 or fewer strands judged it shows Check: the teacher decides.</t>
        </is>
      </c>
    </row>
    <row r="17">
      <c r="A17" s="2" t="inlineStr">
        <is>
          <t>Most Improved (AK): Y for the highest growth of at least +1 in the class. If more than one Y, apply the tie-break in assessment/Rubric_and_Reporting.md. Clear the Y if a student's access arrangement changed between Weeks 1 and 10.</t>
        </is>
      </c>
    </row>
    <row r="18">
      <c r="A18" s="2" t="inlineStr"/>
    </row>
    <row r="19">
      <c r="A19" s="3" t="inlineStr">
        <is>
          <t>Example row (format only, fictional student)</t>
        </is>
      </c>
    </row>
    <row r="20">
      <c r="A20" s="4" t="inlineStr">
        <is>
          <t>No.</t>
        </is>
      </c>
      <c r="B20" s="4" t="inlineStr">
        <is>
          <t>Name</t>
        </is>
      </c>
      <c r="C20" s="4" t="inlineStr">
        <is>
          <t>中文姓名</t>
        </is>
      </c>
      <c r="D20" s="4" t="inlineStr">
        <is>
          <t>Group</t>
        </is>
      </c>
      <c r="E20" s="4" t="inlineStr">
        <is>
          <t>Role</t>
        </is>
      </c>
      <c r="F20" s="4" t="inlineStr">
        <is>
          <t>W1 check</t>
        </is>
      </c>
      <c r="G20" s="4" t="inlineStr">
        <is>
          <t>W1 survey S1-S6</t>
        </is>
      </c>
      <c r="H20" s="4" t="inlineStr">
        <is>
          <t>W5 checkpoint</t>
        </is>
      </c>
      <c r="I20" s="4" t="inlineStr">
        <is>
          <t>W10 check</t>
        </is>
      </c>
      <c r="J20" s="4" t="inlineStr">
        <is>
          <t>Growth</t>
        </is>
      </c>
      <c r="K20" s="4" t="inlineStr">
        <is>
          <t>Strands 1-6</t>
        </is>
      </c>
      <c r="L20" s="4" t="inlineStr">
        <is>
          <t>Award</t>
        </is>
      </c>
    </row>
    <row r="21">
      <c r="A21" s="5" t="inlineStr">
        <is>
          <t>1</t>
        </is>
      </c>
      <c r="B21" s="5" t="inlineStr">
        <is>
          <t>Lily Wang</t>
        </is>
      </c>
      <c r="C21" s="5" t="inlineStr">
        <is>
          <t>王丽</t>
        </is>
      </c>
      <c r="D21" s="5" t="inlineStr">
        <is>
          <t>G3</t>
        </is>
      </c>
      <c r="E21" s="5" t="inlineStr">
        <is>
          <t>Recorder</t>
        </is>
      </c>
      <c r="F21" s="5" t="inlineStr">
        <is>
          <t>9</t>
        </is>
      </c>
      <c r="G21" s="5" t="inlineStr">
        <is>
          <t>3, 4, 3, 2, 3, 4</t>
        </is>
      </c>
      <c r="H21" s="5" t="inlineStr">
        <is>
          <t>8</t>
        </is>
      </c>
      <c r="I21" s="5" t="inlineStr">
        <is>
          <t>14</t>
        </is>
      </c>
      <c r="J21" s="5" t="inlineStr">
        <is>
          <t>5</t>
        </is>
      </c>
      <c r="K21" s="5" t="inlineStr">
        <is>
          <t>S, S, E, S, D, S</t>
        </is>
      </c>
      <c r="L21" s="5" t="inlineStr">
        <is>
          <t>Silver</t>
        </is>
      </c>
    </row>
    <row r="23">
      <c r="A23" s="6" t="inlineStr">
        <is>
          <t>File: 00_Tracker/Think_Like_a_Scientist_Tracker.xlsx. Specification: assessment/Tracker_Spec.md.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9" customWidth="1" min="4" max="4"/>
    <col width="11" customWidth="1" min="5" max="5"/>
    <col width="10" customWidth="1" min="6" max="6"/>
    <col width="12" customWidth="1" min="7" max="7"/>
    <col width="14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8.5" customWidth="1" min="35" max="35"/>
    <col width="8.5" customWidth="1" min="36" max="36"/>
    <col width="8.5" customWidth="1" min="37" max="37"/>
    <col width="8.5" customWidth="1" min="38" max="38"/>
    <col width="40" customWidth="1" min="39" max="39"/>
  </cols>
  <sheetData>
    <row r="1" ht="66" customHeight="1">
      <c r="A1" s="7" t="inlineStr">
        <is>
          <t>No.</t>
        </is>
      </c>
      <c r="B1" s="7" t="inlineStr">
        <is>
          <t>Student name (English)</t>
        </is>
      </c>
      <c r="C1" s="7" t="inlineStr">
        <is>
          <t>中文姓名</t>
        </is>
      </c>
      <c r="D1" s="7" t="inlineStr">
        <is>
          <t>Group W1 to 5</t>
        </is>
      </c>
      <c r="E1" s="7" t="inlineStr">
        <is>
          <t>Role W1 to 5</t>
        </is>
      </c>
      <c r="F1" s="7" t="inlineStr">
        <is>
          <t>Project group W6 to 10</t>
        </is>
      </c>
      <c r="G1" s="7" t="inlineStr">
        <is>
          <t>Language band (1, 2 or 3)</t>
        </is>
      </c>
      <c r="H1" s="7" t="inlineStr">
        <is>
          <t>Access arrangement</t>
        </is>
      </c>
      <c r="I1" s="7" t="inlineStr">
        <is>
          <t>W1 skills check (/20)</t>
        </is>
      </c>
      <c r="J1" s="7" t="inlineStr">
        <is>
          <t>W1 survey S1</t>
        </is>
      </c>
      <c r="K1" s="7" t="inlineStr">
        <is>
          <t>W1 survey S2</t>
        </is>
      </c>
      <c r="L1" s="7" t="inlineStr">
        <is>
          <t>W1 survey S3</t>
        </is>
      </c>
      <c r="M1" s="7" t="inlineStr">
        <is>
          <t>W1 survey S4</t>
        </is>
      </c>
      <c r="N1" s="7" t="inlineStr">
        <is>
          <t>W1 survey S5</t>
        </is>
      </c>
      <c r="O1" s="7" t="inlineStr">
        <is>
          <t>W1 survey S6</t>
        </is>
      </c>
      <c r="P1" s="7" t="inlineStr">
        <is>
          <t>W1 survey mean</t>
        </is>
      </c>
      <c r="Q1" s="7" t="inlineStr">
        <is>
          <t>W5 checkpoint (/12)</t>
        </is>
      </c>
      <c r="R1" s="7" t="inlineStr">
        <is>
          <t>W5 checkpoint %</t>
        </is>
      </c>
      <c r="S1" s="7" t="inlineStr">
        <is>
          <t>W10 skills check (/20)</t>
        </is>
      </c>
      <c r="T1" s="7" t="inlineStr">
        <is>
          <t>Growth</t>
        </is>
      </c>
      <c r="U1" s="7" t="inlineStr">
        <is>
          <t>W10 survey S1</t>
        </is>
      </c>
      <c r="V1" s="7" t="inlineStr">
        <is>
          <t>W10 survey S2</t>
        </is>
      </c>
      <c r="W1" s="7" t="inlineStr">
        <is>
          <t>W10 survey S3</t>
        </is>
      </c>
      <c r="X1" s="7" t="inlineStr">
        <is>
          <t>W10 survey S4</t>
        </is>
      </c>
      <c r="Y1" s="7" t="inlineStr">
        <is>
          <t>W10 survey S5</t>
        </is>
      </c>
      <c r="Z1" s="7" t="inlineStr">
        <is>
          <t>W10 survey S6</t>
        </is>
      </c>
      <c r="AA1" s="7" t="inlineStr">
        <is>
          <t>W10 survey mean</t>
        </is>
      </c>
      <c r="AB1" s="7" t="inlineStr">
        <is>
          <t>Survey change</t>
        </is>
      </c>
      <c r="AC1" s="7" t="inlineStr">
        <is>
          <t>Strand 1 Questioning and predicting 提问与预测</t>
        </is>
      </c>
      <c r="AD1" s="7" t="inlineStr">
        <is>
          <t>Strand 2 Planning 计划设计</t>
        </is>
      </c>
      <c r="AE1" s="7" t="inlineStr">
        <is>
          <t>Strand 3 Doing and recording 实施与记录</t>
        </is>
      </c>
      <c r="AF1" s="7" t="inlineStr">
        <is>
          <t>Strand 4 Analysing and concluding 分析与结论</t>
        </is>
      </c>
      <c r="AG1" s="7" t="inlineStr">
        <is>
          <t>Strand 5 Evaluating and critical thinking 评价与批判性思维</t>
        </is>
      </c>
      <c r="AH1" s="7" t="inlineStr">
        <is>
          <t>Strand 6 Communicating 表达与交流</t>
        </is>
      </c>
      <c r="AI1" s="7" t="inlineStr">
        <is>
          <t>Strands judged</t>
        </is>
      </c>
      <c r="AJ1" s="7" t="inlineStr">
        <is>
          <t>Award</t>
        </is>
      </c>
      <c r="AK1" s="7" t="inlineStr">
        <is>
          <t>Most Improved</t>
        </is>
      </c>
      <c r="AL1" s="7" t="inlineStr">
        <is>
          <t>Certificate printed</t>
        </is>
      </c>
      <c r="AM1" s="7" t="inlineStr">
        <is>
          <t>Notes</t>
        </is>
      </c>
    </row>
    <row r="2">
      <c r="A2" s="8" t="n">
        <v>1</v>
      </c>
      <c r="B2" s="9" t="n"/>
      <c r="C2" s="9" t="n"/>
      <c r="D2" s="10" t="n"/>
      <c r="E2" s="10" t="n"/>
      <c r="F2" s="10" t="n"/>
      <c r="G2" s="10" t="n"/>
      <c r="H2" s="9" t="n"/>
      <c r="I2" s="10" t="n"/>
      <c r="J2" s="10" t="n"/>
      <c r="K2" s="10" t="n"/>
      <c r="L2" s="10" t="n"/>
      <c r="M2" s="10" t="n"/>
      <c r="N2" s="10" t="n"/>
      <c r="O2" s="10" t="n"/>
      <c r="P2" s="11">
        <f>IF(COUNT(J2:O2)=0,"",ROUND(AVERAGE(J2:O2),1))</f>
        <v/>
      </c>
      <c r="Q2" s="10" t="n"/>
      <c r="R2" s="11">
        <f>IF(Q2="","",ROUND(Q2/12*100,0))</f>
        <v/>
      </c>
      <c r="S2" s="10" t="n"/>
      <c r="T2" s="11">
        <f>IF(AND(ISNUMBER(I2),ISNUMBER(S2)),S2-I2,"")</f>
        <v/>
      </c>
      <c r="U2" s="10" t="n"/>
      <c r="V2" s="10" t="n"/>
      <c r="W2" s="10" t="n"/>
      <c r="X2" s="10" t="n"/>
      <c r="Y2" s="10" t="n"/>
      <c r="Z2" s="10" t="n"/>
      <c r="AA2" s="11">
        <f>IF(COUNT(U2:Z2)=0,"",ROUND(AVERAGE(U2:Z2),1))</f>
        <v/>
      </c>
      <c r="AB2" s="11">
        <f>IF(AND(ISNUMBER(P2),ISNUMBER(AA2)),ROUND(AA2-P2,1),"")</f>
        <v/>
      </c>
      <c r="AC2" s="10" t="n"/>
      <c r="AD2" s="10" t="n"/>
      <c r="AE2" s="10" t="n"/>
      <c r="AF2" s="10" t="n"/>
      <c r="AG2" s="10" t="n"/>
      <c r="AH2" s="10" t="n"/>
      <c r="AI2" s="11">
        <f>COUNTIF(AC2:AH2,"B")+COUNTIF(AC2:AH2,"D")+COUNTIF(AC2:AH2,"S")+COUNTIF(AC2:AH2,"E")</f>
        <v/>
      </c>
      <c r="AJ2" s="11">
        <f>IF(COUNTA(AC2:AH2)=0,"",IF(AI2&lt;5,"Check",IF(COUNTIF(AC2:AH2,"E")&gt;=4,"Gold",IF(COUNTIF(AC2:AH2,"E")+COUNTIF(AC2:AH2,"S")&gt;=4,"Silver",IF(COUNTIF(AC2:AH2,"E")+COUNTIF(AC2:AH2,"S")+COUNTIF(AC2:AH2,"D")&gt;=4,"Bronze","Participation")))))</f>
        <v/>
      </c>
      <c r="AK2" s="11">
        <f>IF(AND(ISNUMBER(T2),T2&gt;=1,T2=MAX($T$2:$T$25)),"Y","")</f>
        <v/>
      </c>
      <c r="AL2" s="10" t="n"/>
      <c r="AM2" s="9" t="n"/>
    </row>
    <row r="3">
      <c r="A3" s="8" t="n">
        <v>2</v>
      </c>
      <c r="B3" s="9" t="n"/>
      <c r="C3" s="9" t="n"/>
      <c r="D3" s="10" t="n"/>
      <c r="E3" s="10" t="n"/>
      <c r="F3" s="10" t="n"/>
      <c r="G3" s="10" t="n"/>
      <c r="H3" s="9" t="n"/>
      <c r="I3" s="10" t="n"/>
      <c r="J3" s="10" t="n"/>
      <c r="K3" s="10" t="n"/>
      <c r="L3" s="10" t="n"/>
      <c r="M3" s="10" t="n"/>
      <c r="N3" s="10" t="n"/>
      <c r="O3" s="10" t="n"/>
      <c r="P3" s="11">
        <f>IF(COUNT(J3:O3)=0,"",ROUND(AVERAGE(J3:O3),1))</f>
        <v/>
      </c>
      <c r="Q3" s="10" t="n"/>
      <c r="R3" s="11">
        <f>IF(Q3="","",ROUND(Q3/12*100,0))</f>
        <v/>
      </c>
      <c r="S3" s="10" t="n"/>
      <c r="T3" s="11">
        <f>IF(AND(ISNUMBER(I3),ISNUMBER(S3)),S3-I3,"")</f>
        <v/>
      </c>
      <c r="U3" s="10" t="n"/>
      <c r="V3" s="10" t="n"/>
      <c r="W3" s="10" t="n"/>
      <c r="X3" s="10" t="n"/>
      <c r="Y3" s="10" t="n"/>
      <c r="Z3" s="10" t="n"/>
      <c r="AA3" s="11">
        <f>IF(COUNT(U3:Z3)=0,"",ROUND(AVERAGE(U3:Z3),1))</f>
        <v/>
      </c>
      <c r="AB3" s="11">
        <f>IF(AND(ISNUMBER(P3),ISNUMBER(AA3)),ROUND(AA3-P3,1),"")</f>
        <v/>
      </c>
      <c r="AC3" s="10" t="n"/>
      <c r="AD3" s="10" t="n"/>
      <c r="AE3" s="10" t="n"/>
      <c r="AF3" s="10" t="n"/>
      <c r="AG3" s="10" t="n"/>
      <c r="AH3" s="10" t="n"/>
      <c r="AI3" s="11">
        <f>COUNTIF(AC3:AH3,"B")+COUNTIF(AC3:AH3,"D")+COUNTIF(AC3:AH3,"S")+COUNTIF(AC3:AH3,"E")</f>
        <v/>
      </c>
      <c r="AJ3" s="11">
        <f>IF(COUNTA(AC3:AH3)=0,"",IF(AI3&lt;5,"Check",IF(COUNTIF(AC3:AH3,"E")&gt;=4,"Gold",IF(COUNTIF(AC3:AH3,"E")+COUNTIF(AC3:AH3,"S")&gt;=4,"Silver",IF(COUNTIF(AC3:AH3,"E")+COUNTIF(AC3:AH3,"S")+COUNTIF(AC3:AH3,"D")&gt;=4,"Bronze","Participation")))))</f>
        <v/>
      </c>
      <c r="AK3" s="11">
        <f>IF(AND(ISNUMBER(T3),T3&gt;=1,T3=MAX($T$2:$T$25)),"Y","")</f>
        <v/>
      </c>
      <c r="AL3" s="10" t="n"/>
      <c r="AM3" s="9" t="n"/>
    </row>
    <row r="4">
      <c r="A4" s="8" t="n">
        <v>3</v>
      </c>
      <c r="B4" s="9" t="n"/>
      <c r="C4" s="9" t="n"/>
      <c r="D4" s="10" t="n"/>
      <c r="E4" s="10" t="n"/>
      <c r="F4" s="10" t="n"/>
      <c r="G4" s="10" t="n"/>
      <c r="H4" s="9" t="n"/>
      <c r="I4" s="10" t="n"/>
      <c r="J4" s="10" t="n"/>
      <c r="K4" s="10" t="n"/>
      <c r="L4" s="10" t="n"/>
      <c r="M4" s="10" t="n"/>
      <c r="N4" s="10" t="n"/>
      <c r="O4" s="10" t="n"/>
      <c r="P4" s="11">
        <f>IF(COUNT(J4:O4)=0,"",ROUND(AVERAGE(J4:O4),1))</f>
        <v/>
      </c>
      <c r="Q4" s="10" t="n"/>
      <c r="R4" s="11">
        <f>IF(Q4="","",ROUND(Q4/12*100,0))</f>
        <v/>
      </c>
      <c r="S4" s="10" t="n"/>
      <c r="T4" s="11">
        <f>IF(AND(ISNUMBER(I4),ISNUMBER(S4)),S4-I4,"")</f>
        <v/>
      </c>
      <c r="U4" s="10" t="n"/>
      <c r="V4" s="10" t="n"/>
      <c r="W4" s="10" t="n"/>
      <c r="X4" s="10" t="n"/>
      <c r="Y4" s="10" t="n"/>
      <c r="Z4" s="10" t="n"/>
      <c r="AA4" s="11">
        <f>IF(COUNT(U4:Z4)=0,"",ROUND(AVERAGE(U4:Z4),1))</f>
        <v/>
      </c>
      <c r="AB4" s="11">
        <f>IF(AND(ISNUMBER(P4),ISNUMBER(AA4)),ROUND(AA4-P4,1),"")</f>
        <v/>
      </c>
      <c r="AC4" s="10" t="n"/>
      <c r="AD4" s="10" t="n"/>
      <c r="AE4" s="10" t="n"/>
      <c r="AF4" s="10" t="n"/>
      <c r="AG4" s="10" t="n"/>
      <c r="AH4" s="10" t="n"/>
      <c r="AI4" s="11">
        <f>COUNTIF(AC4:AH4,"B")+COUNTIF(AC4:AH4,"D")+COUNTIF(AC4:AH4,"S")+COUNTIF(AC4:AH4,"E")</f>
        <v/>
      </c>
      <c r="AJ4" s="11">
        <f>IF(COUNTA(AC4:AH4)=0,"",IF(AI4&lt;5,"Check",IF(COUNTIF(AC4:AH4,"E")&gt;=4,"Gold",IF(COUNTIF(AC4:AH4,"E")+COUNTIF(AC4:AH4,"S")&gt;=4,"Silver",IF(COUNTIF(AC4:AH4,"E")+COUNTIF(AC4:AH4,"S")+COUNTIF(AC4:AH4,"D")&gt;=4,"Bronze","Participation")))))</f>
        <v/>
      </c>
      <c r="AK4" s="11">
        <f>IF(AND(ISNUMBER(T4),T4&gt;=1,T4=MAX($T$2:$T$25)),"Y","")</f>
        <v/>
      </c>
      <c r="AL4" s="10" t="n"/>
      <c r="AM4" s="9" t="n"/>
    </row>
    <row r="5">
      <c r="A5" s="8" t="n">
        <v>4</v>
      </c>
      <c r="B5" s="9" t="n"/>
      <c r="C5" s="9" t="n"/>
      <c r="D5" s="10" t="n"/>
      <c r="E5" s="10" t="n"/>
      <c r="F5" s="10" t="n"/>
      <c r="G5" s="10" t="n"/>
      <c r="H5" s="9" t="n"/>
      <c r="I5" s="10" t="n"/>
      <c r="J5" s="10" t="n"/>
      <c r="K5" s="10" t="n"/>
      <c r="L5" s="10" t="n"/>
      <c r="M5" s="10" t="n"/>
      <c r="N5" s="10" t="n"/>
      <c r="O5" s="10" t="n"/>
      <c r="P5" s="11">
        <f>IF(COUNT(J5:O5)=0,"",ROUND(AVERAGE(J5:O5),1))</f>
        <v/>
      </c>
      <c r="Q5" s="10" t="n"/>
      <c r="R5" s="11">
        <f>IF(Q5="","",ROUND(Q5/12*100,0))</f>
        <v/>
      </c>
      <c r="S5" s="10" t="n"/>
      <c r="T5" s="11">
        <f>IF(AND(ISNUMBER(I5),ISNUMBER(S5)),S5-I5,"")</f>
        <v/>
      </c>
      <c r="U5" s="10" t="n"/>
      <c r="V5" s="10" t="n"/>
      <c r="W5" s="10" t="n"/>
      <c r="X5" s="10" t="n"/>
      <c r="Y5" s="10" t="n"/>
      <c r="Z5" s="10" t="n"/>
      <c r="AA5" s="11">
        <f>IF(COUNT(U5:Z5)=0,"",ROUND(AVERAGE(U5:Z5),1))</f>
        <v/>
      </c>
      <c r="AB5" s="11">
        <f>IF(AND(ISNUMBER(P5),ISNUMBER(AA5)),ROUND(AA5-P5,1),"")</f>
        <v/>
      </c>
      <c r="AC5" s="10" t="n"/>
      <c r="AD5" s="10" t="n"/>
      <c r="AE5" s="10" t="n"/>
      <c r="AF5" s="10" t="n"/>
      <c r="AG5" s="10" t="n"/>
      <c r="AH5" s="10" t="n"/>
      <c r="AI5" s="11">
        <f>COUNTIF(AC5:AH5,"B")+COUNTIF(AC5:AH5,"D")+COUNTIF(AC5:AH5,"S")+COUNTIF(AC5:AH5,"E")</f>
        <v/>
      </c>
      <c r="AJ5" s="11">
        <f>IF(COUNTA(AC5:AH5)=0,"",IF(AI5&lt;5,"Check",IF(COUNTIF(AC5:AH5,"E")&gt;=4,"Gold",IF(COUNTIF(AC5:AH5,"E")+COUNTIF(AC5:AH5,"S")&gt;=4,"Silver",IF(COUNTIF(AC5:AH5,"E")+COUNTIF(AC5:AH5,"S")+COUNTIF(AC5:AH5,"D")&gt;=4,"Bronze","Participation")))))</f>
        <v/>
      </c>
      <c r="AK5" s="11">
        <f>IF(AND(ISNUMBER(T5),T5&gt;=1,T5=MAX($T$2:$T$25)),"Y","")</f>
        <v/>
      </c>
      <c r="AL5" s="10" t="n"/>
      <c r="AM5" s="9" t="n"/>
    </row>
    <row r="6">
      <c r="A6" s="8" t="n">
        <v>5</v>
      </c>
      <c r="B6" s="9" t="n"/>
      <c r="C6" s="9" t="n"/>
      <c r="D6" s="10" t="n"/>
      <c r="E6" s="10" t="n"/>
      <c r="F6" s="10" t="n"/>
      <c r="G6" s="10" t="n"/>
      <c r="H6" s="9" t="n"/>
      <c r="I6" s="10" t="n"/>
      <c r="J6" s="10" t="n"/>
      <c r="K6" s="10" t="n"/>
      <c r="L6" s="10" t="n"/>
      <c r="M6" s="10" t="n"/>
      <c r="N6" s="10" t="n"/>
      <c r="O6" s="10" t="n"/>
      <c r="P6" s="11">
        <f>IF(COUNT(J6:O6)=0,"",ROUND(AVERAGE(J6:O6),1))</f>
        <v/>
      </c>
      <c r="Q6" s="10" t="n"/>
      <c r="R6" s="11">
        <f>IF(Q6="","",ROUND(Q6/12*100,0))</f>
        <v/>
      </c>
      <c r="S6" s="10" t="n"/>
      <c r="T6" s="11">
        <f>IF(AND(ISNUMBER(I6),ISNUMBER(S6)),S6-I6,"")</f>
        <v/>
      </c>
      <c r="U6" s="10" t="n"/>
      <c r="V6" s="10" t="n"/>
      <c r="W6" s="10" t="n"/>
      <c r="X6" s="10" t="n"/>
      <c r="Y6" s="10" t="n"/>
      <c r="Z6" s="10" t="n"/>
      <c r="AA6" s="11">
        <f>IF(COUNT(U6:Z6)=0,"",ROUND(AVERAGE(U6:Z6),1))</f>
        <v/>
      </c>
      <c r="AB6" s="11">
        <f>IF(AND(ISNUMBER(P6),ISNUMBER(AA6)),ROUND(AA6-P6,1),"")</f>
        <v/>
      </c>
      <c r="AC6" s="10" t="n"/>
      <c r="AD6" s="10" t="n"/>
      <c r="AE6" s="10" t="n"/>
      <c r="AF6" s="10" t="n"/>
      <c r="AG6" s="10" t="n"/>
      <c r="AH6" s="10" t="n"/>
      <c r="AI6" s="11">
        <f>COUNTIF(AC6:AH6,"B")+COUNTIF(AC6:AH6,"D")+COUNTIF(AC6:AH6,"S")+COUNTIF(AC6:AH6,"E")</f>
        <v/>
      </c>
      <c r="AJ6" s="11">
        <f>IF(COUNTA(AC6:AH6)=0,"",IF(AI6&lt;5,"Check",IF(COUNTIF(AC6:AH6,"E")&gt;=4,"Gold",IF(COUNTIF(AC6:AH6,"E")+COUNTIF(AC6:AH6,"S")&gt;=4,"Silver",IF(COUNTIF(AC6:AH6,"E")+COUNTIF(AC6:AH6,"S")+COUNTIF(AC6:AH6,"D")&gt;=4,"Bronze","Participation")))))</f>
        <v/>
      </c>
      <c r="AK6" s="11">
        <f>IF(AND(ISNUMBER(T6),T6&gt;=1,T6=MAX($T$2:$T$25)),"Y","")</f>
        <v/>
      </c>
      <c r="AL6" s="10" t="n"/>
      <c r="AM6" s="9" t="n"/>
    </row>
    <row r="7">
      <c r="A7" s="8" t="n">
        <v>6</v>
      </c>
      <c r="B7" s="9" t="n"/>
      <c r="C7" s="9" t="n"/>
      <c r="D7" s="10" t="n"/>
      <c r="E7" s="10" t="n"/>
      <c r="F7" s="10" t="n"/>
      <c r="G7" s="10" t="n"/>
      <c r="H7" s="9" t="n"/>
      <c r="I7" s="10" t="n"/>
      <c r="J7" s="10" t="n"/>
      <c r="K7" s="10" t="n"/>
      <c r="L7" s="10" t="n"/>
      <c r="M7" s="10" t="n"/>
      <c r="N7" s="10" t="n"/>
      <c r="O7" s="10" t="n"/>
      <c r="P7" s="11">
        <f>IF(COUNT(J7:O7)=0,"",ROUND(AVERAGE(J7:O7),1))</f>
        <v/>
      </c>
      <c r="Q7" s="10" t="n"/>
      <c r="R7" s="11">
        <f>IF(Q7="","",ROUND(Q7/12*100,0))</f>
        <v/>
      </c>
      <c r="S7" s="10" t="n"/>
      <c r="T7" s="11">
        <f>IF(AND(ISNUMBER(I7),ISNUMBER(S7)),S7-I7,"")</f>
        <v/>
      </c>
      <c r="U7" s="10" t="n"/>
      <c r="V7" s="10" t="n"/>
      <c r="W7" s="10" t="n"/>
      <c r="X7" s="10" t="n"/>
      <c r="Y7" s="10" t="n"/>
      <c r="Z7" s="10" t="n"/>
      <c r="AA7" s="11">
        <f>IF(COUNT(U7:Z7)=0,"",ROUND(AVERAGE(U7:Z7),1))</f>
        <v/>
      </c>
      <c r="AB7" s="11">
        <f>IF(AND(ISNUMBER(P7),ISNUMBER(AA7)),ROUND(AA7-P7,1),"")</f>
        <v/>
      </c>
      <c r="AC7" s="10" t="n"/>
      <c r="AD7" s="10" t="n"/>
      <c r="AE7" s="10" t="n"/>
      <c r="AF7" s="10" t="n"/>
      <c r="AG7" s="10" t="n"/>
      <c r="AH7" s="10" t="n"/>
      <c r="AI7" s="11">
        <f>COUNTIF(AC7:AH7,"B")+COUNTIF(AC7:AH7,"D")+COUNTIF(AC7:AH7,"S")+COUNTIF(AC7:AH7,"E")</f>
        <v/>
      </c>
      <c r="AJ7" s="11">
        <f>IF(COUNTA(AC7:AH7)=0,"",IF(AI7&lt;5,"Check",IF(COUNTIF(AC7:AH7,"E")&gt;=4,"Gold",IF(COUNTIF(AC7:AH7,"E")+COUNTIF(AC7:AH7,"S")&gt;=4,"Silver",IF(COUNTIF(AC7:AH7,"E")+COUNTIF(AC7:AH7,"S")+COUNTIF(AC7:AH7,"D")&gt;=4,"Bronze","Participation")))))</f>
        <v/>
      </c>
      <c r="AK7" s="11">
        <f>IF(AND(ISNUMBER(T7),T7&gt;=1,T7=MAX($T$2:$T$25)),"Y","")</f>
        <v/>
      </c>
      <c r="AL7" s="10" t="n"/>
      <c r="AM7" s="9" t="n"/>
    </row>
    <row r="8">
      <c r="A8" s="8" t="n">
        <v>7</v>
      </c>
      <c r="B8" s="9" t="n"/>
      <c r="C8" s="9" t="n"/>
      <c r="D8" s="10" t="n"/>
      <c r="E8" s="10" t="n"/>
      <c r="F8" s="10" t="n"/>
      <c r="G8" s="10" t="n"/>
      <c r="H8" s="9" t="n"/>
      <c r="I8" s="10" t="n"/>
      <c r="J8" s="10" t="n"/>
      <c r="K8" s="10" t="n"/>
      <c r="L8" s="10" t="n"/>
      <c r="M8" s="10" t="n"/>
      <c r="N8" s="10" t="n"/>
      <c r="O8" s="10" t="n"/>
      <c r="P8" s="11">
        <f>IF(COUNT(J8:O8)=0,"",ROUND(AVERAGE(J8:O8),1))</f>
        <v/>
      </c>
      <c r="Q8" s="10" t="n"/>
      <c r="R8" s="11">
        <f>IF(Q8="","",ROUND(Q8/12*100,0))</f>
        <v/>
      </c>
      <c r="S8" s="10" t="n"/>
      <c r="T8" s="11">
        <f>IF(AND(ISNUMBER(I8),ISNUMBER(S8)),S8-I8,"")</f>
        <v/>
      </c>
      <c r="U8" s="10" t="n"/>
      <c r="V8" s="10" t="n"/>
      <c r="W8" s="10" t="n"/>
      <c r="X8" s="10" t="n"/>
      <c r="Y8" s="10" t="n"/>
      <c r="Z8" s="10" t="n"/>
      <c r="AA8" s="11">
        <f>IF(COUNT(U8:Z8)=0,"",ROUND(AVERAGE(U8:Z8),1))</f>
        <v/>
      </c>
      <c r="AB8" s="11">
        <f>IF(AND(ISNUMBER(P8),ISNUMBER(AA8)),ROUND(AA8-P8,1),"")</f>
        <v/>
      </c>
      <c r="AC8" s="10" t="n"/>
      <c r="AD8" s="10" t="n"/>
      <c r="AE8" s="10" t="n"/>
      <c r="AF8" s="10" t="n"/>
      <c r="AG8" s="10" t="n"/>
      <c r="AH8" s="10" t="n"/>
      <c r="AI8" s="11">
        <f>COUNTIF(AC8:AH8,"B")+COUNTIF(AC8:AH8,"D")+COUNTIF(AC8:AH8,"S")+COUNTIF(AC8:AH8,"E")</f>
        <v/>
      </c>
      <c r="AJ8" s="11">
        <f>IF(COUNTA(AC8:AH8)=0,"",IF(AI8&lt;5,"Check",IF(COUNTIF(AC8:AH8,"E")&gt;=4,"Gold",IF(COUNTIF(AC8:AH8,"E")+COUNTIF(AC8:AH8,"S")&gt;=4,"Silver",IF(COUNTIF(AC8:AH8,"E")+COUNTIF(AC8:AH8,"S")+COUNTIF(AC8:AH8,"D")&gt;=4,"Bronze","Participation")))))</f>
        <v/>
      </c>
      <c r="AK8" s="11">
        <f>IF(AND(ISNUMBER(T8),T8&gt;=1,T8=MAX($T$2:$T$25)),"Y","")</f>
        <v/>
      </c>
      <c r="AL8" s="10" t="n"/>
      <c r="AM8" s="9" t="n"/>
    </row>
    <row r="9">
      <c r="A9" s="8" t="n">
        <v>8</v>
      </c>
      <c r="B9" s="9" t="n"/>
      <c r="C9" s="9" t="n"/>
      <c r="D9" s="10" t="n"/>
      <c r="E9" s="10" t="n"/>
      <c r="F9" s="10" t="n"/>
      <c r="G9" s="10" t="n"/>
      <c r="H9" s="9" t="n"/>
      <c r="I9" s="10" t="n"/>
      <c r="J9" s="10" t="n"/>
      <c r="K9" s="10" t="n"/>
      <c r="L9" s="10" t="n"/>
      <c r="M9" s="10" t="n"/>
      <c r="N9" s="10" t="n"/>
      <c r="O9" s="10" t="n"/>
      <c r="P9" s="11">
        <f>IF(COUNT(J9:O9)=0,"",ROUND(AVERAGE(J9:O9),1))</f>
        <v/>
      </c>
      <c r="Q9" s="10" t="n"/>
      <c r="R9" s="11">
        <f>IF(Q9="","",ROUND(Q9/12*100,0))</f>
        <v/>
      </c>
      <c r="S9" s="10" t="n"/>
      <c r="T9" s="11">
        <f>IF(AND(ISNUMBER(I9),ISNUMBER(S9)),S9-I9,"")</f>
        <v/>
      </c>
      <c r="U9" s="10" t="n"/>
      <c r="V9" s="10" t="n"/>
      <c r="W9" s="10" t="n"/>
      <c r="X9" s="10" t="n"/>
      <c r="Y9" s="10" t="n"/>
      <c r="Z9" s="10" t="n"/>
      <c r="AA9" s="11">
        <f>IF(COUNT(U9:Z9)=0,"",ROUND(AVERAGE(U9:Z9),1))</f>
        <v/>
      </c>
      <c r="AB9" s="11">
        <f>IF(AND(ISNUMBER(P9),ISNUMBER(AA9)),ROUND(AA9-P9,1),"")</f>
        <v/>
      </c>
      <c r="AC9" s="10" t="n"/>
      <c r="AD9" s="10" t="n"/>
      <c r="AE9" s="10" t="n"/>
      <c r="AF9" s="10" t="n"/>
      <c r="AG9" s="10" t="n"/>
      <c r="AH9" s="10" t="n"/>
      <c r="AI9" s="11">
        <f>COUNTIF(AC9:AH9,"B")+COUNTIF(AC9:AH9,"D")+COUNTIF(AC9:AH9,"S")+COUNTIF(AC9:AH9,"E")</f>
        <v/>
      </c>
      <c r="AJ9" s="11">
        <f>IF(COUNTA(AC9:AH9)=0,"",IF(AI9&lt;5,"Check",IF(COUNTIF(AC9:AH9,"E")&gt;=4,"Gold",IF(COUNTIF(AC9:AH9,"E")+COUNTIF(AC9:AH9,"S")&gt;=4,"Silver",IF(COUNTIF(AC9:AH9,"E")+COUNTIF(AC9:AH9,"S")+COUNTIF(AC9:AH9,"D")&gt;=4,"Bronze","Participation")))))</f>
        <v/>
      </c>
      <c r="AK9" s="11">
        <f>IF(AND(ISNUMBER(T9),T9&gt;=1,T9=MAX($T$2:$T$25)),"Y","")</f>
        <v/>
      </c>
      <c r="AL9" s="10" t="n"/>
      <c r="AM9" s="9" t="n"/>
    </row>
    <row r="10">
      <c r="A10" s="8" t="n">
        <v>9</v>
      </c>
      <c r="B10" s="9" t="n"/>
      <c r="C10" s="9" t="n"/>
      <c r="D10" s="10" t="n"/>
      <c r="E10" s="10" t="n"/>
      <c r="F10" s="10" t="n"/>
      <c r="G10" s="10" t="n"/>
      <c r="H10" s="9" t="n"/>
      <c r="I10" s="10" t="n"/>
      <c r="J10" s="10" t="n"/>
      <c r="K10" s="10" t="n"/>
      <c r="L10" s="10" t="n"/>
      <c r="M10" s="10" t="n"/>
      <c r="N10" s="10" t="n"/>
      <c r="O10" s="10" t="n"/>
      <c r="P10" s="11">
        <f>IF(COUNT(J10:O10)=0,"",ROUND(AVERAGE(J10:O10),1))</f>
        <v/>
      </c>
      <c r="Q10" s="10" t="n"/>
      <c r="R10" s="11">
        <f>IF(Q10="","",ROUND(Q10/12*100,0))</f>
        <v/>
      </c>
      <c r="S10" s="10" t="n"/>
      <c r="T10" s="11">
        <f>IF(AND(ISNUMBER(I10),ISNUMBER(S10)),S10-I10,"")</f>
        <v/>
      </c>
      <c r="U10" s="10" t="n"/>
      <c r="V10" s="10" t="n"/>
      <c r="W10" s="10" t="n"/>
      <c r="X10" s="10" t="n"/>
      <c r="Y10" s="10" t="n"/>
      <c r="Z10" s="10" t="n"/>
      <c r="AA10" s="11">
        <f>IF(COUNT(U10:Z10)=0,"",ROUND(AVERAGE(U10:Z10),1))</f>
        <v/>
      </c>
      <c r="AB10" s="11">
        <f>IF(AND(ISNUMBER(P10),ISNUMBER(AA10)),ROUND(AA10-P10,1),"")</f>
        <v/>
      </c>
      <c r="AC10" s="10" t="n"/>
      <c r="AD10" s="10" t="n"/>
      <c r="AE10" s="10" t="n"/>
      <c r="AF10" s="10" t="n"/>
      <c r="AG10" s="10" t="n"/>
      <c r="AH10" s="10" t="n"/>
      <c r="AI10" s="11">
        <f>COUNTIF(AC10:AH10,"B")+COUNTIF(AC10:AH10,"D")+COUNTIF(AC10:AH10,"S")+COUNTIF(AC10:AH10,"E")</f>
        <v/>
      </c>
      <c r="AJ10" s="11">
        <f>IF(COUNTA(AC10:AH10)=0,"",IF(AI10&lt;5,"Check",IF(COUNTIF(AC10:AH10,"E")&gt;=4,"Gold",IF(COUNTIF(AC10:AH10,"E")+COUNTIF(AC10:AH10,"S")&gt;=4,"Silver",IF(COUNTIF(AC10:AH10,"E")+COUNTIF(AC10:AH10,"S")+COUNTIF(AC10:AH10,"D")&gt;=4,"Bronze","Participation")))))</f>
        <v/>
      </c>
      <c r="AK10" s="11">
        <f>IF(AND(ISNUMBER(T10),T10&gt;=1,T10=MAX($T$2:$T$25)),"Y","")</f>
        <v/>
      </c>
      <c r="AL10" s="10" t="n"/>
      <c r="AM10" s="9" t="n"/>
    </row>
    <row r="11">
      <c r="A11" s="8" t="n">
        <v>10</v>
      </c>
      <c r="B11" s="9" t="n"/>
      <c r="C11" s="9" t="n"/>
      <c r="D11" s="10" t="n"/>
      <c r="E11" s="10" t="n"/>
      <c r="F11" s="10" t="n"/>
      <c r="G11" s="10" t="n"/>
      <c r="H11" s="9" t="n"/>
      <c r="I11" s="10" t="n"/>
      <c r="J11" s="10" t="n"/>
      <c r="K11" s="10" t="n"/>
      <c r="L11" s="10" t="n"/>
      <c r="M11" s="10" t="n"/>
      <c r="N11" s="10" t="n"/>
      <c r="O11" s="10" t="n"/>
      <c r="P11" s="11">
        <f>IF(COUNT(J11:O11)=0,"",ROUND(AVERAGE(J11:O11),1))</f>
        <v/>
      </c>
      <c r="Q11" s="10" t="n"/>
      <c r="R11" s="11">
        <f>IF(Q11="","",ROUND(Q11/12*100,0))</f>
        <v/>
      </c>
      <c r="S11" s="10" t="n"/>
      <c r="T11" s="11">
        <f>IF(AND(ISNUMBER(I11),ISNUMBER(S11)),S11-I11,"")</f>
        <v/>
      </c>
      <c r="U11" s="10" t="n"/>
      <c r="V11" s="10" t="n"/>
      <c r="W11" s="10" t="n"/>
      <c r="X11" s="10" t="n"/>
      <c r="Y11" s="10" t="n"/>
      <c r="Z11" s="10" t="n"/>
      <c r="AA11" s="11">
        <f>IF(COUNT(U11:Z11)=0,"",ROUND(AVERAGE(U11:Z11),1))</f>
        <v/>
      </c>
      <c r="AB11" s="11">
        <f>IF(AND(ISNUMBER(P11),ISNUMBER(AA11)),ROUND(AA11-P11,1),"")</f>
        <v/>
      </c>
      <c r="AC11" s="10" t="n"/>
      <c r="AD11" s="10" t="n"/>
      <c r="AE11" s="10" t="n"/>
      <c r="AF11" s="10" t="n"/>
      <c r="AG11" s="10" t="n"/>
      <c r="AH11" s="10" t="n"/>
      <c r="AI11" s="11">
        <f>COUNTIF(AC11:AH11,"B")+COUNTIF(AC11:AH11,"D")+COUNTIF(AC11:AH11,"S")+COUNTIF(AC11:AH11,"E")</f>
        <v/>
      </c>
      <c r="AJ11" s="11">
        <f>IF(COUNTA(AC11:AH11)=0,"",IF(AI11&lt;5,"Check",IF(COUNTIF(AC11:AH11,"E")&gt;=4,"Gold",IF(COUNTIF(AC11:AH11,"E")+COUNTIF(AC11:AH11,"S")&gt;=4,"Silver",IF(COUNTIF(AC11:AH11,"E")+COUNTIF(AC11:AH11,"S")+COUNTIF(AC11:AH11,"D")&gt;=4,"Bronze","Participation")))))</f>
        <v/>
      </c>
      <c r="AK11" s="11">
        <f>IF(AND(ISNUMBER(T11),T11&gt;=1,T11=MAX($T$2:$T$25)),"Y","")</f>
        <v/>
      </c>
      <c r="AL11" s="10" t="n"/>
      <c r="AM11" s="9" t="n"/>
    </row>
    <row r="12">
      <c r="A12" s="8" t="n">
        <v>11</v>
      </c>
      <c r="B12" s="9" t="n"/>
      <c r="C12" s="9" t="n"/>
      <c r="D12" s="10" t="n"/>
      <c r="E12" s="10" t="n"/>
      <c r="F12" s="10" t="n"/>
      <c r="G12" s="10" t="n"/>
      <c r="H12" s="9" t="n"/>
      <c r="I12" s="10" t="n"/>
      <c r="J12" s="10" t="n"/>
      <c r="K12" s="10" t="n"/>
      <c r="L12" s="10" t="n"/>
      <c r="M12" s="10" t="n"/>
      <c r="N12" s="10" t="n"/>
      <c r="O12" s="10" t="n"/>
      <c r="P12" s="11">
        <f>IF(COUNT(J12:O12)=0,"",ROUND(AVERAGE(J12:O12),1))</f>
        <v/>
      </c>
      <c r="Q12" s="10" t="n"/>
      <c r="R12" s="11">
        <f>IF(Q12="","",ROUND(Q12/12*100,0))</f>
        <v/>
      </c>
      <c r="S12" s="10" t="n"/>
      <c r="T12" s="11">
        <f>IF(AND(ISNUMBER(I12),ISNUMBER(S12)),S12-I12,"")</f>
        <v/>
      </c>
      <c r="U12" s="10" t="n"/>
      <c r="V12" s="10" t="n"/>
      <c r="W12" s="10" t="n"/>
      <c r="X12" s="10" t="n"/>
      <c r="Y12" s="10" t="n"/>
      <c r="Z12" s="10" t="n"/>
      <c r="AA12" s="11">
        <f>IF(COUNT(U12:Z12)=0,"",ROUND(AVERAGE(U12:Z12),1))</f>
        <v/>
      </c>
      <c r="AB12" s="11">
        <f>IF(AND(ISNUMBER(P12),ISNUMBER(AA12)),ROUND(AA12-P12,1),"")</f>
        <v/>
      </c>
      <c r="AC12" s="10" t="n"/>
      <c r="AD12" s="10" t="n"/>
      <c r="AE12" s="10" t="n"/>
      <c r="AF12" s="10" t="n"/>
      <c r="AG12" s="10" t="n"/>
      <c r="AH12" s="10" t="n"/>
      <c r="AI12" s="11">
        <f>COUNTIF(AC12:AH12,"B")+COUNTIF(AC12:AH12,"D")+COUNTIF(AC12:AH12,"S")+COUNTIF(AC12:AH12,"E")</f>
        <v/>
      </c>
      <c r="AJ12" s="11">
        <f>IF(COUNTA(AC12:AH12)=0,"",IF(AI12&lt;5,"Check",IF(COUNTIF(AC12:AH12,"E")&gt;=4,"Gold",IF(COUNTIF(AC12:AH12,"E")+COUNTIF(AC12:AH12,"S")&gt;=4,"Silver",IF(COUNTIF(AC12:AH12,"E")+COUNTIF(AC12:AH12,"S")+COUNTIF(AC12:AH12,"D")&gt;=4,"Bronze","Participation")))))</f>
        <v/>
      </c>
      <c r="AK12" s="11">
        <f>IF(AND(ISNUMBER(T12),T12&gt;=1,T12=MAX($T$2:$T$25)),"Y","")</f>
        <v/>
      </c>
      <c r="AL12" s="10" t="n"/>
      <c r="AM12" s="9" t="n"/>
    </row>
    <row r="13">
      <c r="A13" s="8" t="n">
        <v>12</v>
      </c>
      <c r="B13" s="9" t="n"/>
      <c r="C13" s="9" t="n"/>
      <c r="D13" s="10" t="n"/>
      <c r="E13" s="10" t="n"/>
      <c r="F13" s="10" t="n"/>
      <c r="G13" s="10" t="n"/>
      <c r="H13" s="9" t="n"/>
      <c r="I13" s="10" t="n"/>
      <c r="J13" s="10" t="n"/>
      <c r="K13" s="10" t="n"/>
      <c r="L13" s="10" t="n"/>
      <c r="M13" s="10" t="n"/>
      <c r="N13" s="10" t="n"/>
      <c r="O13" s="10" t="n"/>
      <c r="P13" s="11">
        <f>IF(COUNT(J13:O13)=0,"",ROUND(AVERAGE(J13:O13),1))</f>
        <v/>
      </c>
      <c r="Q13" s="10" t="n"/>
      <c r="R13" s="11">
        <f>IF(Q13="","",ROUND(Q13/12*100,0))</f>
        <v/>
      </c>
      <c r="S13" s="10" t="n"/>
      <c r="T13" s="11">
        <f>IF(AND(ISNUMBER(I13),ISNUMBER(S13)),S13-I13,"")</f>
        <v/>
      </c>
      <c r="U13" s="10" t="n"/>
      <c r="V13" s="10" t="n"/>
      <c r="W13" s="10" t="n"/>
      <c r="X13" s="10" t="n"/>
      <c r="Y13" s="10" t="n"/>
      <c r="Z13" s="10" t="n"/>
      <c r="AA13" s="11">
        <f>IF(COUNT(U13:Z13)=0,"",ROUND(AVERAGE(U13:Z13),1))</f>
        <v/>
      </c>
      <c r="AB13" s="11">
        <f>IF(AND(ISNUMBER(P13),ISNUMBER(AA13)),ROUND(AA13-P13,1),"")</f>
        <v/>
      </c>
      <c r="AC13" s="10" t="n"/>
      <c r="AD13" s="10" t="n"/>
      <c r="AE13" s="10" t="n"/>
      <c r="AF13" s="10" t="n"/>
      <c r="AG13" s="10" t="n"/>
      <c r="AH13" s="10" t="n"/>
      <c r="AI13" s="11">
        <f>COUNTIF(AC13:AH13,"B")+COUNTIF(AC13:AH13,"D")+COUNTIF(AC13:AH13,"S")+COUNTIF(AC13:AH13,"E")</f>
        <v/>
      </c>
      <c r="AJ13" s="11">
        <f>IF(COUNTA(AC13:AH13)=0,"",IF(AI13&lt;5,"Check",IF(COUNTIF(AC13:AH13,"E")&gt;=4,"Gold",IF(COUNTIF(AC13:AH13,"E")+COUNTIF(AC13:AH13,"S")&gt;=4,"Silver",IF(COUNTIF(AC13:AH13,"E")+COUNTIF(AC13:AH13,"S")+COUNTIF(AC13:AH13,"D")&gt;=4,"Bronze","Participation")))))</f>
        <v/>
      </c>
      <c r="AK13" s="11">
        <f>IF(AND(ISNUMBER(T13),T13&gt;=1,T13=MAX($T$2:$T$25)),"Y","")</f>
        <v/>
      </c>
      <c r="AL13" s="10" t="n"/>
      <c r="AM13" s="9" t="n"/>
    </row>
    <row r="14">
      <c r="A14" s="8" t="n">
        <v>13</v>
      </c>
      <c r="B14" s="9" t="n"/>
      <c r="C14" s="9" t="n"/>
      <c r="D14" s="10" t="n"/>
      <c r="E14" s="10" t="n"/>
      <c r="F14" s="10" t="n"/>
      <c r="G14" s="10" t="n"/>
      <c r="H14" s="9" t="n"/>
      <c r="I14" s="10" t="n"/>
      <c r="J14" s="10" t="n"/>
      <c r="K14" s="10" t="n"/>
      <c r="L14" s="10" t="n"/>
      <c r="M14" s="10" t="n"/>
      <c r="N14" s="10" t="n"/>
      <c r="O14" s="10" t="n"/>
      <c r="P14" s="11">
        <f>IF(COUNT(J14:O14)=0,"",ROUND(AVERAGE(J14:O14),1))</f>
        <v/>
      </c>
      <c r="Q14" s="10" t="n"/>
      <c r="R14" s="11">
        <f>IF(Q14="","",ROUND(Q14/12*100,0))</f>
        <v/>
      </c>
      <c r="S14" s="10" t="n"/>
      <c r="T14" s="11">
        <f>IF(AND(ISNUMBER(I14),ISNUMBER(S14)),S14-I14,"")</f>
        <v/>
      </c>
      <c r="U14" s="10" t="n"/>
      <c r="V14" s="10" t="n"/>
      <c r="W14" s="10" t="n"/>
      <c r="X14" s="10" t="n"/>
      <c r="Y14" s="10" t="n"/>
      <c r="Z14" s="10" t="n"/>
      <c r="AA14" s="11">
        <f>IF(COUNT(U14:Z14)=0,"",ROUND(AVERAGE(U14:Z14),1))</f>
        <v/>
      </c>
      <c r="AB14" s="11">
        <f>IF(AND(ISNUMBER(P14),ISNUMBER(AA14)),ROUND(AA14-P14,1),"")</f>
        <v/>
      </c>
      <c r="AC14" s="10" t="n"/>
      <c r="AD14" s="10" t="n"/>
      <c r="AE14" s="10" t="n"/>
      <c r="AF14" s="10" t="n"/>
      <c r="AG14" s="10" t="n"/>
      <c r="AH14" s="10" t="n"/>
      <c r="AI14" s="11">
        <f>COUNTIF(AC14:AH14,"B")+COUNTIF(AC14:AH14,"D")+COUNTIF(AC14:AH14,"S")+COUNTIF(AC14:AH14,"E")</f>
        <v/>
      </c>
      <c r="AJ14" s="11">
        <f>IF(COUNTA(AC14:AH14)=0,"",IF(AI14&lt;5,"Check",IF(COUNTIF(AC14:AH14,"E")&gt;=4,"Gold",IF(COUNTIF(AC14:AH14,"E")+COUNTIF(AC14:AH14,"S")&gt;=4,"Silver",IF(COUNTIF(AC14:AH14,"E")+COUNTIF(AC14:AH14,"S")+COUNTIF(AC14:AH14,"D")&gt;=4,"Bronze","Participation")))))</f>
        <v/>
      </c>
      <c r="AK14" s="11">
        <f>IF(AND(ISNUMBER(T14),T14&gt;=1,T14=MAX($T$2:$T$25)),"Y","")</f>
        <v/>
      </c>
      <c r="AL14" s="10" t="n"/>
      <c r="AM14" s="9" t="n"/>
    </row>
    <row r="15">
      <c r="A15" s="8" t="n">
        <v>14</v>
      </c>
      <c r="B15" s="9" t="n"/>
      <c r="C15" s="9" t="n"/>
      <c r="D15" s="10" t="n"/>
      <c r="E15" s="10" t="n"/>
      <c r="F15" s="10" t="n"/>
      <c r="G15" s="10" t="n"/>
      <c r="H15" s="9" t="n"/>
      <c r="I15" s="10" t="n"/>
      <c r="J15" s="10" t="n"/>
      <c r="K15" s="10" t="n"/>
      <c r="L15" s="10" t="n"/>
      <c r="M15" s="10" t="n"/>
      <c r="N15" s="10" t="n"/>
      <c r="O15" s="10" t="n"/>
      <c r="P15" s="11">
        <f>IF(COUNT(J15:O15)=0,"",ROUND(AVERAGE(J15:O15),1))</f>
        <v/>
      </c>
      <c r="Q15" s="10" t="n"/>
      <c r="R15" s="11">
        <f>IF(Q15="","",ROUND(Q15/12*100,0))</f>
        <v/>
      </c>
      <c r="S15" s="10" t="n"/>
      <c r="T15" s="11">
        <f>IF(AND(ISNUMBER(I15),ISNUMBER(S15)),S15-I15,"")</f>
        <v/>
      </c>
      <c r="U15" s="10" t="n"/>
      <c r="V15" s="10" t="n"/>
      <c r="W15" s="10" t="n"/>
      <c r="X15" s="10" t="n"/>
      <c r="Y15" s="10" t="n"/>
      <c r="Z15" s="10" t="n"/>
      <c r="AA15" s="11">
        <f>IF(COUNT(U15:Z15)=0,"",ROUND(AVERAGE(U15:Z15),1))</f>
        <v/>
      </c>
      <c r="AB15" s="11">
        <f>IF(AND(ISNUMBER(P15),ISNUMBER(AA15)),ROUND(AA15-P15,1),"")</f>
        <v/>
      </c>
      <c r="AC15" s="10" t="n"/>
      <c r="AD15" s="10" t="n"/>
      <c r="AE15" s="10" t="n"/>
      <c r="AF15" s="10" t="n"/>
      <c r="AG15" s="10" t="n"/>
      <c r="AH15" s="10" t="n"/>
      <c r="AI15" s="11">
        <f>COUNTIF(AC15:AH15,"B")+COUNTIF(AC15:AH15,"D")+COUNTIF(AC15:AH15,"S")+COUNTIF(AC15:AH15,"E")</f>
        <v/>
      </c>
      <c r="AJ15" s="11">
        <f>IF(COUNTA(AC15:AH15)=0,"",IF(AI15&lt;5,"Check",IF(COUNTIF(AC15:AH15,"E")&gt;=4,"Gold",IF(COUNTIF(AC15:AH15,"E")+COUNTIF(AC15:AH15,"S")&gt;=4,"Silver",IF(COUNTIF(AC15:AH15,"E")+COUNTIF(AC15:AH15,"S")+COUNTIF(AC15:AH15,"D")&gt;=4,"Bronze","Participation")))))</f>
        <v/>
      </c>
      <c r="AK15" s="11">
        <f>IF(AND(ISNUMBER(T15),T15&gt;=1,T15=MAX($T$2:$T$25)),"Y","")</f>
        <v/>
      </c>
      <c r="AL15" s="10" t="n"/>
      <c r="AM15" s="9" t="n"/>
    </row>
    <row r="16">
      <c r="A16" s="8" t="n">
        <v>15</v>
      </c>
      <c r="B16" s="9" t="n"/>
      <c r="C16" s="9" t="n"/>
      <c r="D16" s="10" t="n"/>
      <c r="E16" s="10" t="n"/>
      <c r="F16" s="10" t="n"/>
      <c r="G16" s="10" t="n"/>
      <c r="H16" s="9" t="n"/>
      <c r="I16" s="10" t="n"/>
      <c r="J16" s="10" t="n"/>
      <c r="K16" s="10" t="n"/>
      <c r="L16" s="10" t="n"/>
      <c r="M16" s="10" t="n"/>
      <c r="N16" s="10" t="n"/>
      <c r="O16" s="10" t="n"/>
      <c r="P16" s="11">
        <f>IF(COUNT(J16:O16)=0,"",ROUND(AVERAGE(J16:O16),1))</f>
        <v/>
      </c>
      <c r="Q16" s="10" t="n"/>
      <c r="R16" s="11">
        <f>IF(Q16="","",ROUND(Q16/12*100,0))</f>
        <v/>
      </c>
      <c r="S16" s="10" t="n"/>
      <c r="T16" s="11">
        <f>IF(AND(ISNUMBER(I16),ISNUMBER(S16)),S16-I16,"")</f>
        <v/>
      </c>
      <c r="U16" s="10" t="n"/>
      <c r="V16" s="10" t="n"/>
      <c r="W16" s="10" t="n"/>
      <c r="X16" s="10" t="n"/>
      <c r="Y16" s="10" t="n"/>
      <c r="Z16" s="10" t="n"/>
      <c r="AA16" s="11">
        <f>IF(COUNT(U16:Z16)=0,"",ROUND(AVERAGE(U16:Z16),1))</f>
        <v/>
      </c>
      <c r="AB16" s="11">
        <f>IF(AND(ISNUMBER(P16),ISNUMBER(AA16)),ROUND(AA16-P16,1),"")</f>
        <v/>
      </c>
      <c r="AC16" s="10" t="n"/>
      <c r="AD16" s="10" t="n"/>
      <c r="AE16" s="10" t="n"/>
      <c r="AF16" s="10" t="n"/>
      <c r="AG16" s="10" t="n"/>
      <c r="AH16" s="10" t="n"/>
      <c r="AI16" s="11">
        <f>COUNTIF(AC16:AH16,"B")+COUNTIF(AC16:AH16,"D")+COUNTIF(AC16:AH16,"S")+COUNTIF(AC16:AH16,"E")</f>
        <v/>
      </c>
      <c r="AJ16" s="11">
        <f>IF(COUNTA(AC16:AH16)=0,"",IF(AI16&lt;5,"Check",IF(COUNTIF(AC16:AH16,"E")&gt;=4,"Gold",IF(COUNTIF(AC16:AH16,"E")+COUNTIF(AC16:AH16,"S")&gt;=4,"Silver",IF(COUNTIF(AC16:AH16,"E")+COUNTIF(AC16:AH16,"S")+COUNTIF(AC16:AH16,"D")&gt;=4,"Bronze","Participation")))))</f>
        <v/>
      </c>
      <c r="AK16" s="11">
        <f>IF(AND(ISNUMBER(T16),T16&gt;=1,T16=MAX($T$2:$T$25)),"Y","")</f>
        <v/>
      </c>
      <c r="AL16" s="10" t="n"/>
      <c r="AM16" s="9" t="n"/>
    </row>
    <row r="17">
      <c r="A17" s="8" t="n">
        <v>16</v>
      </c>
      <c r="B17" s="9" t="n"/>
      <c r="C17" s="9" t="n"/>
      <c r="D17" s="10" t="n"/>
      <c r="E17" s="10" t="n"/>
      <c r="F17" s="10" t="n"/>
      <c r="G17" s="10" t="n"/>
      <c r="H17" s="9" t="n"/>
      <c r="I17" s="10" t="n"/>
      <c r="J17" s="10" t="n"/>
      <c r="K17" s="10" t="n"/>
      <c r="L17" s="10" t="n"/>
      <c r="M17" s="10" t="n"/>
      <c r="N17" s="10" t="n"/>
      <c r="O17" s="10" t="n"/>
      <c r="P17" s="11">
        <f>IF(COUNT(J17:O17)=0,"",ROUND(AVERAGE(J17:O17),1))</f>
        <v/>
      </c>
      <c r="Q17" s="10" t="n"/>
      <c r="R17" s="11">
        <f>IF(Q17="","",ROUND(Q17/12*100,0))</f>
        <v/>
      </c>
      <c r="S17" s="10" t="n"/>
      <c r="T17" s="11">
        <f>IF(AND(ISNUMBER(I17),ISNUMBER(S17)),S17-I17,"")</f>
        <v/>
      </c>
      <c r="U17" s="10" t="n"/>
      <c r="V17" s="10" t="n"/>
      <c r="W17" s="10" t="n"/>
      <c r="X17" s="10" t="n"/>
      <c r="Y17" s="10" t="n"/>
      <c r="Z17" s="10" t="n"/>
      <c r="AA17" s="11">
        <f>IF(COUNT(U17:Z17)=0,"",ROUND(AVERAGE(U17:Z17),1))</f>
        <v/>
      </c>
      <c r="AB17" s="11">
        <f>IF(AND(ISNUMBER(P17),ISNUMBER(AA17)),ROUND(AA17-P17,1),"")</f>
        <v/>
      </c>
      <c r="AC17" s="10" t="n"/>
      <c r="AD17" s="10" t="n"/>
      <c r="AE17" s="10" t="n"/>
      <c r="AF17" s="10" t="n"/>
      <c r="AG17" s="10" t="n"/>
      <c r="AH17" s="10" t="n"/>
      <c r="AI17" s="11">
        <f>COUNTIF(AC17:AH17,"B")+COUNTIF(AC17:AH17,"D")+COUNTIF(AC17:AH17,"S")+COUNTIF(AC17:AH17,"E")</f>
        <v/>
      </c>
      <c r="AJ17" s="11">
        <f>IF(COUNTA(AC17:AH17)=0,"",IF(AI17&lt;5,"Check",IF(COUNTIF(AC17:AH17,"E")&gt;=4,"Gold",IF(COUNTIF(AC17:AH17,"E")+COUNTIF(AC17:AH17,"S")&gt;=4,"Silver",IF(COUNTIF(AC17:AH17,"E")+COUNTIF(AC17:AH17,"S")+COUNTIF(AC17:AH17,"D")&gt;=4,"Bronze","Participation")))))</f>
        <v/>
      </c>
      <c r="AK17" s="11">
        <f>IF(AND(ISNUMBER(T17),T17&gt;=1,T17=MAX($T$2:$T$25)),"Y","")</f>
        <v/>
      </c>
      <c r="AL17" s="10" t="n"/>
      <c r="AM17" s="9" t="n"/>
    </row>
    <row r="18">
      <c r="A18" s="8" t="n">
        <v>17</v>
      </c>
      <c r="B18" s="9" t="n"/>
      <c r="C18" s="9" t="n"/>
      <c r="D18" s="10" t="n"/>
      <c r="E18" s="10" t="n"/>
      <c r="F18" s="10" t="n"/>
      <c r="G18" s="10" t="n"/>
      <c r="H18" s="9" t="n"/>
      <c r="I18" s="10" t="n"/>
      <c r="J18" s="10" t="n"/>
      <c r="K18" s="10" t="n"/>
      <c r="L18" s="10" t="n"/>
      <c r="M18" s="10" t="n"/>
      <c r="N18" s="10" t="n"/>
      <c r="O18" s="10" t="n"/>
      <c r="P18" s="11">
        <f>IF(COUNT(J18:O18)=0,"",ROUND(AVERAGE(J18:O18),1))</f>
        <v/>
      </c>
      <c r="Q18" s="10" t="n"/>
      <c r="R18" s="11">
        <f>IF(Q18="","",ROUND(Q18/12*100,0))</f>
        <v/>
      </c>
      <c r="S18" s="10" t="n"/>
      <c r="T18" s="11">
        <f>IF(AND(ISNUMBER(I18),ISNUMBER(S18)),S18-I18,"")</f>
        <v/>
      </c>
      <c r="U18" s="10" t="n"/>
      <c r="V18" s="10" t="n"/>
      <c r="W18" s="10" t="n"/>
      <c r="X18" s="10" t="n"/>
      <c r="Y18" s="10" t="n"/>
      <c r="Z18" s="10" t="n"/>
      <c r="AA18" s="11">
        <f>IF(COUNT(U18:Z18)=0,"",ROUND(AVERAGE(U18:Z18),1))</f>
        <v/>
      </c>
      <c r="AB18" s="11">
        <f>IF(AND(ISNUMBER(P18),ISNUMBER(AA18)),ROUND(AA18-P18,1),"")</f>
        <v/>
      </c>
      <c r="AC18" s="10" t="n"/>
      <c r="AD18" s="10" t="n"/>
      <c r="AE18" s="10" t="n"/>
      <c r="AF18" s="10" t="n"/>
      <c r="AG18" s="10" t="n"/>
      <c r="AH18" s="10" t="n"/>
      <c r="AI18" s="11">
        <f>COUNTIF(AC18:AH18,"B")+COUNTIF(AC18:AH18,"D")+COUNTIF(AC18:AH18,"S")+COUNTIF(AC18:AH18,"E")</f>
        <v/>
      </c>
      <c r="AJ18" s="11">
        <f>IF(COUNTA(AC18:AH18)=0,"",IF(AI18&lt;5,"Check",IF(COUNTIF(AC18:AH18,"E")&gt;=4,"Gold",IF(COUNTIF(AC18:AH18,"E")+COUNTIF(AC18:AH18,"S")&gt;=4,"Silver",IF(COUNTIF(AC18:AH18,"E")+COUNTIF(AC18:AH18,"S")+COUNTIF(AC18:AH18,"D")&gt;=4,"Bronze","Participation")))))</f>
        <v/>
      </c>
      <c r="AK18" s="11">
        <f>IF(AND(ISNUMBER(T18),T18&gt;=1,T18=MAX($T$2:$T$25)),"Y","")</f>
        <v/>
      </c>
      <c r="AL18" s="10" t="n"/>
      <c r="AM18" s="9" t="n"/>
    </row>
    <row r="19">
      <c r="A19" s="8" t="n">
        <v>18</v>
      </c>
      <c r="B19" s="9" t="n"/>
      <c r="C19" s="9" t="n"/>
      <c r="D19" s="10" t="n"/>
      <c r="E19" s="10" t="n"/>
      <c r="F19" s="10" t="n"/>
      <c r="G19" s="10" t="n"/>
      <c r="H19" s="9" t="n"/>
      <c r="I19" s="10" t="n"/>
      <c r="J19" s="10" t="n"/>
      <c r="K19" s="10" t="n"/>
      <c r="L19" s="10" t="n"/>
      <c r="M19" s="10" t="n"/>
      <c r="N19" s="10" t="n"/>
      <c r="O19" s="10" t="n"/>
      <c r="P19" s="11">
        <f>IF(COUNT(J19:O19)=0,"",ROUND(AVERAGE(J19:O19),1))</f>
        <v/>
      </c>
      <c r="Q19" s="10" t="n"/>
      <c r="R19" s="11">
        <f>IF(Q19="","",ROUND(Q19/12*100,0))</f>
        <v/>
      </c>
      <c r="S19" s="10" t="n"/>
      <c r="T19" s="11">
        <f>IF(AND(ISNUMBER(I19),ISNUMBER(S19)),S19-I19,"")</f>
        <v/>
      </c>
      <c r="U19" s="10" t="n"/>
      <c r="V19" s="10" t="n"/>
      <c r="W19" s="10" t="n"/>
      <c r="X19" s="10" t="n"/>
      <c r="Y19" s="10" t="n"/>
      <c r="Z19" s="10" t="n"/>
      <c r="AA19" s="11">
        <f>IF(COUNT(U19:Z19)=0,"",ROUND(AVERAGE(U19:Z19),1))</f>
        <v/>
      </c>
      <c r="AB19" s="11">
        <f>IF(AND(ISNUMBER(P19),ISNUMBER(AA19)),ROUND(AA19-P19,1),"")</f>
        <v/>
      </c>
      <c r="AC19" s="10" t="n"/>
      <c r="AD19" s="10" t="n"/>
      <c r="AE19" s="10" t="n"/>
      <c r="AF19" s="10" t="n"/>
      <c r="AG19" s="10" t="n"/>
      <c r="AH19" s="10" t="n"/>
      <c r="AI19" s="11">
        <f>COUNTIF(AC19:AH19,"B")+COUNTIF(AC19:AH19,"D")+COUNTIF(AC19:AH19,"S")+COUNTIF(AC19:AH19,"E")</f>
        <v/>
      </c>
      <c r="AJ19" s="11">
        <f>IF(COUNTA(AC19:AH19)=0,"",IF(AI19&lt;5,"Check",IF(COUNTIF(AC19:AH19,"E")&gt;=4,"Gold",IF(COUNTIF(AC19:AH19,"E")+COUNTIF(AC19:AH19,"S")&gt;=4,"Silver",IF(COUNTIF(AC19:AH19,"E")+COUNTIF(AC19:AH19,"S")+COUNTIF(AC19:AH19,"D")&gt;=4,"Bronze","Participation")))))</f>
        <v/>
      </c>
      <c r="AK19" s="11">
        <f>IF(AND(ISNUMBER(T19),T19&gt;=1,T19=MAX($T$2:$T$25)),"Y","")</f>
        <v/>
      </c>
      <c r="AL19" s="10" t="n"/>
      <c r="AM19" s="9" t="n"/>
    </row>
    <row r="20">
      <c r="A20" s="8" t="n">
        <v>19</v>
      </c>
      <c r="B20" s="9" t="n"/>
      <c r="C20" s="9" t="n"/>
      <c r="D20" s="10" t="n"/>
      <c r="E20" s="10" t="n"/>
      <c r="F20" s="10" t="n"/>
      <c r="G20" s="10" t="n"/>
      <c r="H20" s="9" t="n"/>
      <c r="I20" s="10" t="n"/>
      <c r="J20" s="10" t="n"/>
      <c r="K20" s="10" t="n"/>
      <c r="L20" s="10" t="n"/>
      <c r="M20" s="10" t="n"/>
      <c r="N20" s="10" t="n"/>
      <c r="O20" s="10" t="n"/>
      <c r="P20" s="11">
        <f>IF(COUNT(J20:O20)=0,"",ROUND(AVERAGE(J20:O20),1))</f>
        <v/>
      </c>
      <c r="Q20" s="10" t="n"/>
      <c r="R20" s="11">
        <f>IF(Q20="","",ROUND(Q20/12*100,0))</f>
        <v/>
      </c>
      <c r="S20" s="10" t="n"/>
      <c r="T20" s="11">
        <f>IF(AND(ISNUMBER(I20),ISNUMBER(S20)),S20-I20,"")</f>
        <v/>
      </c>
      <c r="U20" s="10" t="n"/>
      <c r="V20" s="10" t="n"/>
      <c r="W20" s="10" t="n"/>
      <c r="X20" s="10" t="n"/>
      <c r="Y20" s="10" t="n"/>
      <c r="Z20" s="10" t="n"/>
      <c r="AA20" s="11">
        <f>IF(COUNT(U20:Z20)=0,"",ROUND(AVERAGE(U20:Z20),1))</f>
        <v/>
      </c>
      <c r="AB20" s="11">
        <f>IF(AND(ISNUMBER(P20),ISNUMBER(AA20)),ROUND(AA20-P20,1),"")</f>
        <v/>
      </c>
      <c r="AC20" s="10" t="n"/>
      <c r="AD20" s="10" t="n"/>
      <c r="AE20" s="10" t="n"/>
      <c r="AF20" s="10" t="n"/>
      <c r="AG20" s="10" t="n"/>
      <c r="AH20" s="10" t="n"/>
      <c r="AI20" s="11">
        <f>COUNTIF(AC20:AH20,"B")+COUNTIF(AC20:AH20,"D")+COUNTIF(AC20:AH20,"S")+COUNTIF(AC20:AH20,"E")</f>
        <v/>
      </c>
      <c r="AJ20" s="11">
        <f>IF(COUNTA(AC20:AH20)=0,"",IF(AI20&lt;5,"Check",IF(COUNTIF(AC20:AH20,"E")&gt;=4,"Gold",IF(COUNTIF(AC20:AH20,"E")+COUNTIF(AC20:AH20,"S")&gt;=4,"Silver",IF(COUNTIF(AC20:AH20,"E")+COUNTIF(AC20:AH20,"S")+COUNTIF(AC20:AH20,"D")&gt;=4,"Bronze","Participation")))))</f>
        <v/>
      </c>
      <c r="AK20" s="11">
        <f>IF(AND(ISNUMBER(T20),T20&gt;=1,T20=MAX($T$2:$T$25)),"Y","")</f>
        <v/>
      </c>
      <c r="AL20" s="10" t="n"/>
      <c r="AM20" s="9" t="n"/>
    </row>
    <row r="21">
      <c r="A21" s="8" t="n">
        <v>20</v>
      </c>
      <c r="B21" s="9" t="n"/>
      <c r="C21" s="9" t="n"/>
      <c r="D21" s="10" t="n"/>
      <c r="E21" s="10" t="n"/>
      <c r="F21" s="10" t="n"/>
      <c r="G21" s="10" t="n"/>
      <c r="H21" s="9" t="n"/>
      <c r="I21" s="10" t="n"/>
      <c r="J21" s="10" t="n"/>
      <c r="K21" s="10" t="n"/>
      <c r="L21" s="10" t="n"/>
      <c r="M21" s="10" t="n"/>
      <c r="N21" s="10" t="n"/>
      <c r="O21" s="10" t="n"/>
      <c r="P21" s="11">
        <f>IF(COUNT(J21:O21)=0,"",ROUND(AVERAGE(J21:O21),1))</f>
        <v/>
      </c>
      <c r="Q21" s="10" t="n"/>
      <c r="R21" s="11">
        <f>IF(Q21="","",ROUND(Q21/12*100,0))</f>
        <v/>
      </c>
      <c r="S21" s="10" t="n"/>
      <c r="T21" s="11">
        <f>IF(AND(ISNUMBER(I21),ISNUMBER(S21)),S21-I21,"")</f>
        <v/>
      </c>
      <c r="U21" s="10" t="n"/>
      <c r="V21" s="10" t="n"/>
      <c r="W21" s="10" t="n"/>
      <c r="X21" s="10" t="n"/>
      <c r="Y21" s="10" t="n"/>
      <c r="Z21" s="10" t="n"/>
      <c r="AA21" s="11">
        <f>IF(COUNT(U21:Z21)=0,"",ROUND(AVERAGE(U21:Z21),1))</f>
        <v/>
      </c>
      <c r="AB21" s="11">
        <f>IF(AND(ISNUMBER(P21),ISNUMBER(AA21)),ROUND(AA21-P21,1),"")</f>
        <v/>
      </c>
      <c r="AC21" s="10" t="n"/>
      <c r="AD21" s="10" t="n"/>
      <c r="AE21" s="10" t="n"/>
      <c r="AF21" s="10" t="n"/>
      <c r="AG21" s="10" t="n"/>
      <c r="AH21" s="10" t="n"/>
      <c r="AI21" s="11">
        <f>COUNTIF(AC21:AH21,"B")+COUNTIF(AC21:AH21,"D")+COUNTIF(AC21:AH21,"S")+COUNTIF(AC21:AH21,"E")</f>
        <v/>
      </c>
      <c r="AJ21" s="11">
        <f>IF(COUNTA(AC21:AH21)=0,"",IF(AI21&lt;5,"Check",IF(COUNTIF(AC21:AH21,"E")&gt;=4,"Gold",IF(COUNTIF(AC21:AH21,"E")+COUNTIF(AC21:AH21,"S")&gt;=4,"Silver",IF(COUNTIF(AC21:AH21,"E")+COUNTIF(AC21:AH21,"S")+COUNTIF(AC21:AH21,"D")&gt;=4,"Bronze","Participation")))))</f>
        <v/>
      </c>
      <c r="AK21" s="11">
        <f>IF(AND(ISNUMBER(T21),T21&gt;=1,T21=MAX($T$2:$T$25)),"Y","")</f>
        <v/>
      </c>
      <c r="AL21" s="10" t="n"/>
      <c r="AM21" s="9" t="n"/>
    </row>
    <row r="22">
      <c r="A22" s="8" t="n">
        <v>21</v>
      </c>
      <c r="B22" s="9" t="n"/>
      <c r="C22" s="9" t="n"/>
      <c r="D22" s="10" t="n"/>
      <c r="E22" s="10" t="n"/>
      <c r="F22" s="10" t="n"/>
      <c r="G22" s="10" t="n"/>
      <c r="H22" s="9" t="n"/>
      <c r="I22" s="10" t="n"/>
      <c r="J22" s="10" t="n"/>
      <c r="K22" s="10" t="n"/>
      <c r="L22" s="10" t="n"/>
      <c r="M22" s="10" t="n"/>
      <c r="N22" s="10" t="n"/>
      <c r="O22" s="10" t="n"/>
      <c r="P22" s="11">
        <f>IF(COUNT(J22:O22)=0,"",ROUND(AVERAGE(J22:O22),1))</f>
        <v/>
      </c>
      <c r="Q22" s="10" t="n"/>
      <c r="R22" s="11">
        <f>IF(Q22="","",ROUND(Q22/12*100,0))</f>
        <v/>
      </c>
      <c r="S22" s="10" t="n"/>
      <c r="T22" s="11">
        <f>IF(AND(ISNUMBER(I22),ISNUMBER(S22)),S22-I22,"")</f>
        <v/>
      </c>
      <c r="U22" s="10" t="n"/>
      <c r="V22" s="10" t="n"/>
      <c r="W22" s="10" t="n"/>
      <c r="X22" s="10" t="n"/>
      <c r="Y22" s="10" t="n"/>
      <c r="Z22" s="10" t="n"/>
      <c r="AA22" s="11">
        <f>IF(COUNT(U22:Z22)=0,"",ROUND(AVERAGE(U22:Z22),1))</f>
        <v/>
      </c>
      <c r="AB22" s="11">
        <f>IF(AND(ISNUMBER(P22),ISNUMBER(AA22)),ROUND(AA22-P22,1),"")</f>
        <v/>
      </c>
      <c r="AC22" s="10" t="n"/>
      <c r="AD22" s="10" t="n"/>
      <c r="AE22" s="10" t="n"/>
      <c r="AF22" s="10" t="n"/>
      <c r="AG22" s="10" t="n"/>
      <c r="AH22" s="10" t="n"/>
      <c r="AI22" s="11">
        <f>COUNTIF(AC22:AH22,"B")+COUNTIF(AC22:AH22,"D")+COUNTIF(AC22:AH22,"S")+COUNTIF(AC22:AH22,"E")</f>
        <v/>
      </c>
      <c r="AJ22" s="11">
        <f>IF(COUNTA(AC22:AH22)=0,"",IF(AI22&lt;5,"Check",IF(COUNTIF(AC22:AH22,"E")&gt;=4,"Gold",IF(COUNTIF(AC22:AH22,"E")+COUNTIF(AC22:AH22,"S")&gt;=4,"Silver",IF(COUNTIF(AC22:AH22,"E")+COUNTIF(AC22:AH22,"S")+COUNTIF(AC22:AH22,"D")&gt;=4,"Bronze","Participation")))))</f>
        <v/>
      </c>
      <c r="AK22" s="11">
        <f>IF(AND(ISNUMBER(T22),T22&gt;=1,T22=MAX($T$2:$T$25)),"Y","")</f>
        <v/>
      </c>
      <c r="AL22" s="10" t="n"/>
      <c r="AM22" s="9" t="n"/>
    </row>
    <row r="23">
      <c r="A23" s="8" t="n">
        <v>22</v>
      </c>
      <c r="B23" s="9" t="n"/>
      <c r="C23" s="9" t="n"/>
      <c r="D23" s="10" t="n"/>
      <c r="E23" s="10" t="n"/>
      <c r="F23" s="10" t="n"/>
      <c r="G23" s="10" t="n"/>
      <c r="H23" s="9" t="n"/>
      <c r="I23" s="10" t="n"/>
      <c r="J23" s="10" t="n"/>
      <c r="K23" s="10" t="n"/>
      <c r="L23" s="10" t="n"/>
      <c r="M23" s="10" t="n"/>
      <c r="N23" s="10" t="n"/>
      <c r="O23" s="10" t="n"/>
      <c r="P23" s="11">
        <f>IF(COUNT(J23:O23)=0,"",ROUND(AVERAGE(J23:O23),1))</f>
        <v/>
      </c>
      <c r="Q23" s="10" t="n"/>
      <c r="R23" s="11">
        <f>IF(Q23="","",ROUND(Q23/12*100,0))</f>
        <v/>
      </c>
      <c r="S23" s="10" t="n"/>
      <c r="T23" s="11">
        <f>IF(AND(ISNUMBER(I23),ISNUMBER(S23)),S23-I23,"")</f>
        <v/>
      </c>
      <c r="U23" s="10" t="n"/>
      <c r="V23" s="10" t="n"/>
      <c r="W23" s="10" t="n"/>
      <c r="X23" s="10" t="n"/>
      <c r="Y23" s="10" t="n"/>
      <c r="Z23" s="10" t="n"/>
      <c r="AA23" s="11">
        <f>IF(COUNT(U23:Z23)=0,"",ROUND(AVERAGE(U23:Z23),1))</f>
        <v/>
      </c>
      <c r="AB23" s="11">
        <f>IF(AND(ISNUMBER(P23),ISNUMBER(AA23)),ROUND(AA23-P23,1),"")</f>
        <v/>
      </c>
      <c r="AC23" s="10" t="n"/>
      <c r="AD23" s="10" t="n"/>
      <c r="AE23" s="10" t="n"/>
      <c r="AF23" s="10" t="n"/>
      <c r="AG23" s="10" t="n"/>
      <c r="AH23" s="10" t="n"/>
      <c r="AI23" s="11">
        <f>COUNTIF(AC23:AH23,"B")+COUNTIF(AC23:AH23,"D")+COUNTIF(AC23:AH23,"S")+COUNTIF(AC23:AH23,"E")</f>
        <v/>
      </c>
      <c r="AJ23" s="11">
        <f>IF(COUNTA(AC23:AH23)=0,"",IF(AI23&lt;5,"Check",IF(COUNTIF(AC23:AH23,"E")&gt;=4,"Gold",IF(COUNTIF(AC23:AH23,"E")+COUNTIF(AC23:AH23,"S")&gt;=4,"Silver",IF(COUNTIF(AC23:AH23,"E")+COUNTIF(AC23:AH23,"S")+COUNTIF(AC23:AH23,"D")&gt;=4,"Bronze","Participation")))))</f>
        <v/>
      </c>
      <c r="AK23" s="11">
        <f>IF(AND(ISNUMBER(T23),T23&gt;=1,T23=MAX($T$2:$T$25)),"Y","")</f>
        <v/>
      </c>
      <c r="AL23" s="10" t="n"/>
      <c r="AM23" s="9" t="n"/>
    </row>
    <row r="24">
      <c r="A24" s="8" t="n">
        <v>23</v>
      </c>
      <c r="B24" s="9" t="n"/>
      <c r="C24" s="9" t="n"/>
      <c r="D24" s="10" t="n"/>
      <c r="E24" s="10" t="n"/>
      <c r="F24" s="10" t="n"/>
      <c r="G24" s="10" t="n"/>
      <c r="H24" s="9" t="n"/>
      <c r="I24" s="10" t="n"/>
      <c r="J24" s="10" t="n"/>
      <c r="K24" s="10" t="n"/>
      <c r="L24" s="10" t="n"/>
      <c r="M24" s="10" t="n"/>
      <c r="N24" s="10" t="n"/>
      <c r="O24" s="10" t="n"/>
      <c r="P24" s="11">
        <f>IF(COUNT(J24:O24)=0,"",ROUND(AVERAGE(J24:O24),1))</f>
        <v/>
      </c>
      <c r="Q24" s="10" t="n"/>
      <c r="R24" s="11">
        <f>IF(Q24="","",ROUND(Q24/12*100,0))</f>
        <v/>
      </c>
      <c r="S24" s="10" t="n"/>
      <c r="T24" s="11">
        <f>IF(AND(ISNUMBER(I24),ISNUMBER(S24)),S24-I24,"")</f>
        <v/>
      </c>
      <c r="U24" s="10" t="n"/>
      <c r="V24" s="10" t="n"/>
      <c r="W24" s="10" t="n"/>
      <c r="X24" s="10" t="n"/>
      <c r="Y24" s="10" t="n"/>
      <c r="Z24" s="10" t="n"/>
      <c r="AA24" s="11">
        <f>IF(COUNT(U24:Z24)=0,"",ROUND(AVERAGE(U24:Z24),1))</f>
        <v/>
      </c>
      <c r="AB24" s="11">
        <f>IF(AND(ISNUMBER(P24),ISNUMBER(AA24)),ROUND(AA24-P24,1),"")</f>
        <v/>
      </c>
      <c r="AC24" s="10" t="n"/>
      <c r="AD24" s="10" t="n"/>
      <c r="AE24" s="10" t="n"/>
      <c r="AF24" s="10" t="n"/>
      <c r="AG24" s="10" t="n"/>
      <c r="AH24" s="10" t="n"/>
      <c r="AI24" s="11">
        <f>COUNTIF(AC24:AH24,"B")+COUNTIF(AC24:AH24,"D")+COUNTIF(AC24:AH24,"S")+COUNTIF(AC24:AH24,"E")</f>
        <v/>
      </c>
      <c r="AJ24" s="11">
        <f>IF(COUNTA(AC24:AH24)=0,"",IF(AI24&lt;5,"Check",IF(COUNTIF(AC24:AH24,"E")&gt;=4,"Gold",IF(COUNTIF(AC24:AH24,"E")+COUNTIF(AC24:AH24,"S")&gt;=4,"Silver",IF(COUNTIF(AC24:AH24,"E")+COUNTIF(AC24:AH24,"S")+COUNTIF(AC24:AH24,"D")&gt;=4,"Bronze","Participation")))))</f>
        <v/>
      </c>
      <c r="AK24" s="11">
        <f>IF(AND(ISNUMBER(T24),T24&gt;=1,T24=MAX($T$2:$T$25)),"Y","")</f>
        <v/>
      </c>
      <c r="AL24" s="10" t="n"/>
      <c r="AM24" s="9" t="n"/>
    </row>
    <row r="25">
      <c r="A25" s="8" t="n">
        <v>24</v>
      </c>
      <c r="B25" s="9" t="n"/>
      <c r="C25" s="9" t="n"/>
      <c r="D25" s="10" t="n"/>
      <c r="E25" s="10" t="n"/>
      <c r="F25" s="10" t="n"/>
      <c r="G25" s="10" t="n"/>
      <c r="H25" s="9" t="n"/>
      <c r="I25" s="10" t="n"/>
      <c r="J25" s="10" t="n"/>
      <c r="K25" s="10" t="n"/>
      <c r="L25" s="10" t="n"/>
      <c r="M25" s="10" t="n"/>
      <c r="N25" s="10" t="n"/>
      <c r="O25" s="10" t="n"/>
      <c r="P25" s="11">
        <f>IF(COUNT(J25:O25)=0,"",ROUND(AVERAGE(J25:O25),1))</f>
        <v/>
      </c>
      <c r="Q25" s="10" t="n"/>
      <c r="R25" s="11">
        <f>IF(Q25="","",ROUND(Q25/12*100,0))</f>
        <v/>
      </c>
      <c r="S25" s="10" t="n"/>
      <c r="T25" s="11">
        <f>IF(AND(ISNUMBER(I25),ISNUMBER(S25)),S25-I25,"")</f>
        <v/>
      </c>
      <c r="U25" s="10" t="n"/>
      <c r="V25" s="10" t="n"/>
      <c r="W25" s="10" t="n"/>
      <c r="X25" s="10" t="n"/>
      <c r="Y25" s="10" t="n"/>
      <c r="Z25" s="10" t="n"/>
      <c r="AA25" s="11">
        <f>IF(COUNT(U25:Z25)=0,"",ROUND(AVERAGE(U25:Z25),1))</f>
        <v/>
      </c>
      <c r="AB25" s="11">
        <f>IF(AND(ISNUMBER(P25),ISNUMBER(AA25)),ROUND(AA25-P25,1),"")</f>
        <v/>
      </c>
      <c r="AC25" s="10" t="n"/>
      <c r="AD25" s="10" t="n"/>
      <c r="AE25" s="10" t="n"/>
      <c r="AF25" s="10" t="n"/>
      <c r="AG25" s="10" t="n"/>
      <c r="AH25" s="10" t="n"/>
      <c r="AI25" s="11">
        <f>COUNTIF(AC25:AH25,"B")+COUNTIF(AC25:AH25,"D")+COUNTIF(AC25:AH25,"S")+COUNTIF(AC25:AH25,"E")</f>
        <v/>
      </c>
      <c r="AJ25" s="11">
        <f>IF(COUNTA(AC25:AH25)=0,"",IF(AI25&lt;5,"Check",IF(COUNTIF(AC25:AH25,"E")&gt;=4,"Gold",IF(COUNTIF(AC25:AH25,"E")+COUNTIF(AC25:AH25,"S")&gt;=4,"Silver",IF(COUNTIF(AC25:AH25,"E")+COUNTIF(AC25:AH25,"S")+COUNTIF(AC25:AH25,"D")&gt;=4,"Bronze","Participation")))))</f>
        <v/>
      </c>
      <c r="AK25" s="11">
        <f>IF(AND(ISNUMBER(T25),T25&gt;=1,T25=MAX($T$2:$T$25)),"Y","")</f>
        <v/>
      </c>
      <c r="AL25" s="10" t="n"/>
      <c r="AM25" s="9" t="n"/>
    </row>
  </sheetData>
  <conditionalFormatting sqref="T2:T25">
    <cfRule type="expression" priority="1" dxfId="0">
      <formula>AND(ISNUMBER(T2),T2&gt;=4)</formula>
    </cfRule>
    <cfRule type="expression" priority="2" dxfId="1">
      <formula>AND(ISNUMBER(T2),T2&lt;0)</formula>
    </cfRule>
  </conditionalFormatting>
  <conditionalFormatting sqref="R2:R25">
    <cfRule type="expression" priority="3" dxfId="2">
      <formula>AND(ISNUMBER(R2),R2&lt;40)</formula>
    </cfRule>
  </conditionalFormatting>
  <conditionalFormatting sqref="AB2:AB25">
    <cfRule type="expression" priority="4" dxfId="0">
      <formula>AND(ISNUMBER(AB2),AB2&gt;=0.5)</formula>
    </cfRule>
    <cfRule type="expression" priority="5" dxfId="3">
      <formula>AND(ISNUMBER(AB2),AB2&lt;=-0.5)</formula>
    </cfRule>
  </conditionalFormatting>
  <conditionalFormatting sqref="AJ2:AJ25">
    <cfRule type="expression" priority="6" dxfId="0">
      <formula>AJ2="Check"</formula>
    </cfRule>
  </conditionalFormatting>
  <dataValidations count="7">
    <dataValidation sqref="I2:I25 S2:S25" showDropDown="0" showInputMessage="0" showErrorMessage="1" allowBlank="1" errorTitle="Skills check" error="Enter a whole number from 0 to 20. Leave blank if absent." type="whole" operator="between">
      <formula1>0</formula1>
      <formula2>20</formula2>
    </dataValidation>
    <dataValidation sqref="Q2:Q25" showDropDown="0" showInputMessage="0" showErrorMessage="1" allowBlank="1" errorTitle="Checkpoint" error="Enter a whole number from 0 to 12." type="whole" operator="between">
      <formula1>0</formula1>
      <formula2>12</formula2>
    </dataValidation>
    <dataValidation sqref="J2:J25 K2:K25 L2:L25 M2:M25 N2:N25 O2:O25 U2:U25 V2:V25 W2:W25 X2:X25 Y2:Y25 Z2:Z25" showDropDown="0" showInputMessage="0" showErrorMessage="1" allowBlank="1" errorTitle="Survey" error="Enter 1 to 5." type="whole" operator="between">
      <formula1>1</formula1>
      <formula2>5</formula2>
    </dataValidation>
    <dataValidation sqref="AC2:AC25 AD2:AD25 AE2:AE25 AF2:AF25 AG2:AG25 AH2:AH25" showDropDown="0" showInputMessage="0" showErrorMessage="1" allowBlank="1" errorTitle="Rubric level" error="Choose B, D, S, E or N." type="list">
      <formula1>Lists!$A$2:$A$6</formula1>
    </dataValidation>
    <dataValidation sqref="E2:E25" showDropDown="0" showInputMessage="0" showErrorMessage="1" allowBlank="1" error="Choose a role from the list." type="list">
      <formula1>Lists!$B$2:$B$6</formula1>
    </dataValidation>
    <dataValidation sqref="AL2:AL25" showDropDown="0" showInputMessage="0" showErrorMessage="1" allowBlank="1" error="Type Y or leave blank." type="list">
      <formula1>Lists!$C$2:$C$2</formula1>
    </dataValidation>
    <dataValidation sqref="G2:G25" showDropDown="0" showInputMessage="0" showErrorMessage="1" allowBlank="1" errorTitle="Language band" error="Enter 1, 2 or 3 (see Teacher Guide Section 4) or leave blank." type="list">
      <formula1>Lists!$D$2:$D$4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9" customWidth="1" min="4" max="4"/>
    <col width="11" customWidth="1" min="5" max="5"/>
    <col width="10" customWidth="1" min="6" max="6"/>
    <col width="12" customWidth="1" min="7" max="7"/>
    <col width="14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8.5" customWidth="1" min="35" max="35"/>
    <col width="8.5" customWidth="1" min="36" max="36"/>
    <col width="8.5" customWidth="1" min="37" max="37"/>
    <col width="8.5" customWidth="1" min="38" max="38"/>
    <col width="40" customWidth="1" min="39" max="39"/>
  </cols>
  <sheetData>
    <row r="1" ht="66" customHeight="1">
      <c r="A1" s="7" t="inlineStr">
        <is>
          <t>No.</t>
        </is>
      </c>
      <c r="B1" s="7" t="inlineStr">
        <is>
          <t>Student name (English)</t>
        </is>
      </c>
      <c r="C1" s="7" t="inlineStr">
        <is>
          <t>中文姓名</t>
        </is>
      </c>
      <c r="D1" s="7" t="inlineStr">
        <is>
          <t>Group W1 to 5</t>
        </is>
      </c>
      <c r="E1" s="7" t="inlineStr">
        <is>
          <t>Role W1 to 5</t>
        </is>
      </c>
      <c r="F1" s="7" t="inlineStr">
        <is>
          <t>Project group W6 to 10</t>
        </is>
      </c>
      <c r="G1" s="7" t="inlineStr">
        <is>
          <t>Language band (1, 2 or 3)</t>
        </is>
      </c>
      <c r="H1" s="7" t="inlineStr">
        <is>
          <t>Access arrangement</t>
        </is>
      </c>
      <c r="I1" s="7" t="inlineStr">
        <is>
          <t>W1 skills check (/20)</t>
        </is>
      </c>
      <c r="J1" s="7" t="inlineStr">
        <is>
          <t>W1 survey S1</t>
        </is>
      </c>
      <c r="K1" s="7" t="inlineStr">
        <is>
          <t>W1 survey S2</t>
        </is>
      </c>
      <c r="L1" s="7" t="inlineStr">
        <is>
          <t>W1 survey S3</t>
        </is>
      </c>
      <c r="M1" s="7" t="inlineStr">
        <is>
          <t>W1 survey S4</t>
        </is>
      </c>
      <c r="N1" s="7" t="inlineStr">
        <is>
          <t>W1 survey S5</t>
        </is>
      </c>
      <c r="O1" s="7" t="inlineStr">
        <is>
          <t>W1 survey S6</t>
        </is>
      </c>
      <c r="P1" s="7" t="inlineStr">
        <is>
          <t>W1 survey mean</t>
        </is>
      </c>
      <c r="Q1" s="7" t="inlineStr">
        <is>
          <t>W5 checkpoint (/12)</t>
        </is>
      </c>
      <c r="R1" s="7" t="inlineStr">
        <is>
          <t>W5 checkpoint %</t>
        </is>
      </c>
      <c r="S1" s="7" t="inlineStr">
        <is>
          <t>W10 skills check (/20)</t>
        </is>
      </c>
      <c r="T1" s="7" t="inlineStr">
        <is>
          <t>Growth</t>
        </is>
      </c>
      <c r="U1" s="7" t="inlineStr">
        <is>
          <t>W10 survey S1</t>
        </is>
      </c>
      <c r="V1" s="7" t="inlineStr">
        <is>
          <t>W10 survey S2</t>
        </is>
      </c>
      <c r="W1" s="7" t="inlineStr">
        <is>
          <t>W10 survey S3</t>
        </is>
      </c>
      <c r="X1" s="7" t="inlineStr">
        <is>
          <t>W10 survey S4</t>
        </is>
      </c>
      <c r="Y1" s="7" t="inlineStr">
        <is>
          <t>W10 survey S5</t>
        </is>
      </c>
      <c r="Z1" s="7" t="inlineStr">
        <is>
          <t>W10 survey S6</t>
        </is>
      </c>
      <c r="AA1" s="7" t="inlineStr">
        <is>
          <t>W10 survey mean</t>
        </is>
      </c>
      <c r="AB1" s="7" t="inlineStr">
        <is>
          <t>Survey change</t>
        </is>
      </c>
      <c r="AC1" s="7" t="inlineStr">
        <is>
          <t>Strand 1 Questioning and predicting 提问与预测</t>
        </is>
      </c>
      <c r="AD1" s="7" t="inlineStr">
        <is>
          <t>Strand 2 Planning 计划设计</t>
        </is>
      </c>
      <c r="AE1" s="7" t="inlineStr">
        <is>
          <t>Strand 3 Doing and recording 实施与记录</t>
        </is>
      </c>
      <c r="AF1" s="7" t="inlineStr">
        <is>
          <t>Strand 4 Analysing and concluding 分析与结论</t>
        </is>
      </c>
      <c r="AG1" s="7" t="inlineStr">
        <is>
          <t>Strand 5 Evaluating and critical thinking 评价与批判性思维</t>
        </is>
      </c>
      <c r="AH1" s="7" t="inlineStr">
        <is>
          <t>Strand 6 Communicating 表达与交流</t>
        </is>
      </c>
      <c r="AI1" s="7" t="inlineStr">
        <is>
          <t>Strands judged</t>
        </is>
      </c>
      <c r="AJ1" s="7" t="inlineStr">
        <is>
          <t>Award</t>
        </is>
      </c>
      <c r="AK1" s="7" t="inlineStr">
        <is>
          <t>Most Improved</t>
        </is>
      </c>
      <c r="AL1" s="7" t="inlineStr">
        <is>
          <t>Certificate printed</t>
        </is>
      </c>
      <c r="AM1" s="7" t="inlineStr">
        <is>
          <t>Notes</t>
        </is>
      </c>
    </row>
    <row r="2">
      <c r="A2" s="8" t="n">
        <v>1</v>
      </c>
      <c r="B2" s="9" t="n"/>
      <c r="C2" s="9" t="n"/>
      <c r="D2" s="10" t="n"/>
      <c r="E2" s="10" t="n"/>
      <c r="F2" s="10" t="n"/>
      <c r="G2" s="10" t="n"/>
      <c r="H2" s="9" t="n"/>
      <c r="I2" s="10" t="n"/>
      <c r="J2" s="10" t="n"/>
      <c r="K2" s="10" t="n"/>
      <c r="L2" s="10" t="n"/>
      <c r="M2" s="10" t="n"/>
      <c r="N2" s="10" t="n"/>
      <c r="O2" s="10" t="n"/>
      <c r="P2" s="11">
        <f>IF(COUNT(J2:O2)=0,"",ROUND(AVERAGE(J2:O2),1))</f>
        <v/>
      </c>
      <c r="Q2" s="10" t="n"/>
      <c r="R2" s="11">
        <f>IF(Q2="","",ROUND(Q2/12*100,0))</f>
        <v/>
      </c>
      <c r="S2" s="10" t="n"/>
      <c r="T2" s="11">
        <f>IF(AND(ISNUMBER(I2),ISNUMBER(S2)),S2-I2,"")</f>
        <v/>
      </c>
      <c r="U2" s="10" t="n"/>
      <c r="V2" s="10" t="n"/>
      <c r="W2" s="10" t="n"/>
      <c r="X2" s="10" t="n"/>
      <c r="Y2" s="10" t="n"/>
      <c r="Z2" s="10" t="n"/>
      <c r="AA2" s="11">
        <f>IF(COUNT(U2:Z2)=0,"",ROUND(AVERAGE(U2:Z2),1))</f>
        <v/>
      </c>
      <c r="AB2" s="11">
        <f>IF(AND(ISNUMBER(P2),ISNUMBER(AA2)),ROUND(AA2-P2,1),"")</f>
        <v/>
      </c>
      <c r="AC2" s="10" t="n"/>
      <c r="AD2" s="10" t="n"/>
      <c r="AE2" s="10" t="n"/>
      <c r="AF2" s="10" t="n"/>
      <c r="AG2" s="10" t="n"/>
      <c r="AH2" s="10" t="n"/>
      <c r="AI2" s="11">
        <f>COUNTIF(AC2:AH2,"B")+COUNTIF(AC2:AH2,"D")+COUNTIF(AC2:AH2,"S")+COUNTIF(AC2:AH2,"E")</f>
        <v/>
      </c>
      <c r="AJ2" s="11">
        <f>IF(COUNTA(AC2:AH2)=0,"",IF(AI2&lt;5,"Check",IF(COUNTIF(AC2:AH2,"E")&gt;=4,"Gold",IF(COUNTIF(AC2:AH2,"E")+COUNTIF(AC2:AH2,"S")&gt;=4,"Silver",IF(COUNTIF(AC2:AH2,"E")+COUNTIF(AC2:AH2,"S")+COUNTIF(AC2:AH2,"D")&gt;=4,"Bronze","Participation")))))</f>
        <v/>
      </c>
      <c r="AK2" s="11">
        <f>IF(AND(ISNUMBER(T2),T2&gt;=1,T2=MAX($T$2:$T$25)),"Y","")</f>
        <v/>
      </c>
      <c r="AL2" s="10" t="n"/>
      <c r="AM2" s="9" t="n"/>
    </row>
    <row r="3">
      <c r="A3" s="8" t="n">
        <v>2</v>
      </c>
      <c r="B3" s="9" t="n"/>
      <c r="C3" s="9" t="n"/>
      <c r="D3" s="10" t="n"/>
      <c r="E3" s="10" t="n"/>
      <c r="F3" s="10" t="n"/>
      <c r="G3" s="10" t="n"/>
      <c r="H3" s="9" t="n"/>
      <c r="I3" s="10" t="n"/>
      <c r="J3" s="10" t="n"/>
      <c r="K3" s="10" t="n"/>
      <c r="L3" s="10" t="n"/>
      <c r="M3" s="10" t="n"/>
      <c r="N3" s="10" t="n"/>
      <c r="O3" s="10" t="n"/>
      <c r="P3" s="11">
        <f>IF(COUNT(J3:O3)=0,"",ROUND(AVERAGE(J3:O3),1))</f>
        <v/>
      </c>
      <c r="Q3" s="10" t="n"/>
      <c r="R3" s="11">
        <f>IF(Q3="","",ROUND(Q3/12*100,0))</f>
        <v/>
      </c>
      <c r="S3" s="10" t="n"/>
      <c r="T3" s="11">
        <f>IF(AND(ISNUMBER(I3),ISNUMBER(S3)),S3-I3,"")</f>
        <v/>
      </c>
      <c r="U3" s="10" t="n"/>
      <c r="V3" s="10" t="n"/>
      <c r="W3" s="10" t="n"/>
      <c r="X3" s="10" t="n"/>
      <c r="Y3" s="10" t="n"/>
      <c r="Z3" s="10" t="n"/>
      <c r="AA3" s="11">
        <f>IF(COUNT(U3:Z3)=0,"",ROUND(AVERAGE(U3:Z3),1))</f>
        <v/>
      </c>
      <c r="AB3" s="11">
        <f>IF(AND(ISNUMBER(P3),ISNUMBER(AA3)),ROUND(AA3-P3,1),"")</f>
        <v/>
      </c>
      <c r="AC3" s="10" t="n"/>
      <c r="AD3" s="10" t="n"/>
      <c r="AE3" s="10" t="n"/>
      <c r="AF3" s="10" t="n"/>
      <c r="AG3" s="10" t="n"/>
      <c r="AH3" s="10" t="n"/>
      <c r="AI3" s="11">
        <f>COUNTIF(AC3:AH3,"B")+COUNTIF(AC3:AH3,"D")+COUNTIF(AC3:AH3,"S")+COUNTIF(AC3:AH3,"E")</f>
        <v/>
      </c>
      <c r="AJ3" s="11">
        <f>IF(COUNTA(AC3:AH3)=0,"",IF(AI3&lt;5,"Check",IF(COUNTIF(AC3:AH3,"E")&gt;=4,"Gold",IF(COUNTIF(AC3:AH3,"E")+COUNTIF(AC3:AH3,"S")&gt;=4,"Silver",IF(COUNTIF(AC3:AH3,"E")+COUNTIF(AC3:AH3,"S")+COUNTIF(AC3:AH3,"D")&gt;=4,"Bronze","Participation")))))</f>
        <v/>
      </c>
      <c r="AK3" s="11">
        <f>IF(AND(ISNUMBER(T3),T3&gt;=1,T3=MAX($T$2:$T$25)),"Y","")</f>
        <v/>
      </c>
      <c r="AL3" s="10" t="n"/>
      <c r="AM3" s="9" t="n"/>
    </row>
    <row r="4">
      <c r="A4" s="8" t="n">
        <v>3</v>
      </c>
      <c r="B4" s="9" t="n"/>
      <c r="C4" s="9" t="n"/>
      <c r="D4" s="10" t="n"/>
      <c r="E4" s="10" t="n"/>
      <c r="F4" s="10" t="n"/>
      <c r="G4" s="10" t="n"/>
      <c r="H4" s="9" t="n"/>
      <c r="I4" s="10" t="n"/>
      <c r="J4" s="10" t="n"/>
      <c r="K4" s="10" t="n"/>
      <c r="L4" s="10" t="n"/>
      <c r="M4" s="10" t="n"/>
      <c r="N4" s="10" t="n"/>
      <c r="O4" s="10" t="n"/>
      <c r="P4" s="11">
        <f>IF(COUNT(J4:O4)=0,"",ROUND(AVERAGE(J4:O4),1))</f>
        <v/>
      </c>
      <c r="Q4" s="10" t="n"/>
      <c r="R4" s="11">
        <f>IF(Q4="","",ROUND(Q4/12*100,0))</f>
        <v/>
      </c>
      <c r="S4" s="10" t="n"/>
      <c r="T4" s="11">
        <f>IF(AND(ISNUMBER(I4),ISNUMBER(S4)),S4-I4,"")</f>
        <v/>
      </c>
      <c r="U4" s="10" t="n"/>
      <c r="V4" s="10" t="n"/>
      <c r="W4" s="10" t="n"/>
      <c r="X4" s="10" t="n"/>
      <c r="Y4" s="10" t="n"/>
      <c r="Z4" s="10" t="n"/>
      <c r="AA4" s="11">
        <f>IF(COUNT(U4:Z4)=0,"",ROUND(AVERAGE(U4:Z4),1))</f>
        <v/>
      </c>
      <c r="AB4" s="11">
        <f>IF(AND(ISNUMBER(P4),ISNUMBER(AA4)),ROUND(AA4-P4,1),"")</f>
        <v/>
      </c>
      <c r="AC4" s="10" t="n"/>
      <c r="AD4" s="10" t="n"/>
      <c r="AE4" s="10" t="n"/>
      <c r="AF4" s="10" t="n"/>
      <c r="AG4" s="10" t="n"/>
      <c r="AH4" s="10" t="n"/>
      <c r="AI4" s="11">
        <f>COUNTIF(AC4:AH4,"B")+COUNTIF(AC4:AH4,"D")+COUNTIF(AC4:AH4,"S")+COUNTIF(AC4:AH4,"E")</f>
        <v/>
      </c>
      <c r="AJ4" s="11">
        <f>IF(COUNTA(AC4:AH4)=0,"",IF(AI4&lt;5,"Check",IF(COUNTIF(AC4:AH4,"E")&gt;=4,"Gold",IF(COUNTIF(AC4:AH4,"E")+COUNTIF(AC4:AH4,"S")&gt;=4,"Silver",IF(COUNTIF(AC4:AH4,"E")+COUNTIF(AC4:AH4,"S")+COUNTIF(AC4:AH4,"D")&gt;=4,"Bronze","Participation")))))</f>
        <v/>
      </c>
      <c r="AK4" s="11">
        <f>IF(AND(ISNUMBER(T4),T4&gt;=1,T4=MAX($T$2:$T$25)),"Y","")</f>
        <v/>
      </c>
      <c r="AL4" s="10" t="n"/>
      <c r="AM4" s="9" t="n"/>
    </row>
    <row r="5">
      <c r="A5" s="8" t="n">
        <v>4</v>
      </c>
      <c r="B5" s="9" t="n"/>
      <c r="C5" s="9" t="n"/>
      <c r="D5" s="10" t="n"/>
      <c r="E5" s="10" t="n"/>
      <c r="F5" s="10" t="n"/>
      <c r="G5" s="10" t="n"/>
      <c r="H5" s="9" t="n"/>
      <c r="I5" s="10" t="n"/>
      <c r="J5" s="10" t="n"/>
      <c r="K5" s="10" t="n"/>
      <c r="L5" s="10" t="n"/>
      <c r="M5" s="10" t="n"/>
      <c r="N5" s="10" t="n"/>
      <c r="O5" s="10" t="n"/>
      <c r="P5" s="11">
        <f>IF(COUNT(J5:O5)=0,"",ROUND(AVERAGE(J5:O5),1))</f>
        <v/>
      </c>
      <c r="Q5" s="10" t="n"/>
      <c r="R5" s="11">
        <f>IF(Q5="","",ROUND(Q5/12*100,0))</f>
        <v/>
      </c>
      <c r="S5" s="10" t="n"/>
      <c r="T5" s="11">
        <f>IF(AND(ISNUMBER(I5),ISNUMBER(S5)),S5-I5,"")</f>
        <v/>
      </c>
      <c r="U5" s="10" t="n"/>
      <c r="V5" s="10" t="n"/>
      <c r="W5" s="10" t="n"/>
      <c r="X5" s="10" t="n"/>
      <c r="Y5" s="10" t="n"/>
      <c r="Z5" s="10" t="n"/>
      <c r="AA5" s="11">
        <f>IF(COUNT(U5:Z5)=0,"",ROUND(AVERAGE(U5:Z5),1))</f>
        <v/>
      </c>
      <c r="AB5" s="11">
        <f>IF(AND(ISNUMBER(P5),ISNUMBER(AA5)),ROUND(AA5-P5,1),"")</f>
        <v/>
      </c>
      <c r="AC5" s="10" t="n"/>
      <c r="AD5" s="10" t="n"/>
      <c r="AE5" s="10" t="n"/>
      <c r="AF5" s="10" t="n"/>
      <c r="AG5" s="10" t="n"/>
      <c r="AH5" s="10" t="n"/>
      <c r="AI5" s="11">
        <f>COUNTIF(AC5:AH5,"B")+COUNTIF(AC5:AH5,"D")+COUNTIF(AC5:AH5,"S")+COUNTIF(AC5:AH5,"E")</f>
        <v/>
      </c>
      <c r="AJ5" s="11">
        <f>IF(COUNTA(AC5:AH5)=0,"",IF(AI5&lt;5,"Check",IF(COUNTIF(AC5:AH5,"E")&gt;=4,"Gold",IF(COUNTIF(AC5:AH5,"E")+COUNTIF(AC5:AH5,"S")&gt;=4,"Silver",IF(COUNTIF(AC5:AH5,"E")+COUNTIF(AC5:AH5,"S")+COUNTIF(AC5:AH5,"D")&gt;=4,"Bronze","Participation")))))</f>
        <v/>
      </c>
      <c r="AK5" s="11">
        <f>IF(AND(ISNUMBER(T5),T5&gt;=1,T5=MAX($T$2:$T$25)),"Y","")</f>
        <v/>
      </c>
      <c r="AL5" s="10" t="n"/>
      <c r="AM5" s="9" t="n"/>
    </row>
    <row r="6">
      <c r="A6" s="8" t="n">
        <v>5</v>
      </c>
      <c r="B6" s="9" t="n"/>
      <c r="C6" s="9" t="n"/>
      <c r="D6" s="10" t="n"/>
      <c r="E6" s="10" t="n"/>
      <c r="F6" s="10" t="n"/>
      <c r="G6" s="10" t="n"/>
      <c r="H6" s="9" t="n"/>
      <c r="I6" s="10" t="n"/>
      <c r="J6" s="10" t="n"/>
      <c r="K6" s="10" t="n"/>
      <c r="L6" s="10" t="n"/>
      <c r="M6" s="10" t="n"/>
      <c r="N6" s="10" t="n"/>
      <c r="O6" s="10" t="n"/>
      <c r="P6" s="11">
        <f>IF(COUNT(J6:O6)=0,"",ROUND(AVERAGE(J6:O6),1))</f>
        <v/>
      </c>
      <c r="Q6" s="10" t="n"/>
      <c r="R6" s="11">
        <f>IF(Q6="","",ROUND(Q6/12*100,0))</f>
        <v/>
      </c>
      <c r="S6" s="10" t="n"/>
      <c r="T6" s="11">
        <f>IF(AND(ISNUMBER(I6),ISNUMBER(S6)),S6-I6,"")</f>
        <v/>
      </c>
      <c r="U6" s="10" t="n"/>
      <c r="V6" s="10" t="n"/>
      <c r="W6" s="10" t="n"/>
      <c r="X6" s="10" t="n"/>
      <c r="Y6" s="10" t="n"/>
      <c r="Z6" s="10" t="n"/>
      <c r="AA6" s="11">
        <f>IF(COUNT(U6:Z6)=0,"",ROUND(AVERAGE(U6:Z6),1))</f>
        <v/>
      </c>
      <c r="AB6" s="11">
        <f>IF(AND(ISNUMBER(P6),ISNUMBER(AA6)),ROUND(AA6-P6,1),"")</f>
        <v/>
      </c>
      <c r="AC6" s="10" t="n"/>
      <c r="AD6" s="10" t="n"/>
      <c r="AE6" s="10" t="n"/>
      <c r="AF6" s="10" t="n"/>
      <c r="AG6" s="10" t="n"/>
      <c r="AH6" s="10" t="n"/>
      <c r="AI6" s="11">
        <f>COUNTIF(AC6:AH6,"B")+COUNTIF(AC6:AH6,"D")+COUNTIF(AC6:AH6,"S")+COUNTIF(AC6:AH6,"E")</f>
        <v/>
      </c>
      <c r="AJ6" s="11">
        <f>IF(COUNTA(AC6:AH6)=0,"",IF(AI6&lt;5,"Check",IF(COUNTIF(AC6:AH6,"E")&gt;=4,"Gold",IF(COUNTIF(AC6:AH6,"E")+COUNTIF(AC6:AH6,"S")&gt;=4,"Silver",IF(COUNTIF(AC6:AH6,"E")+COUNTIF(AC6:AH6,"S")+COUNTIF(AC6:AH6,"D")&gt;=4,"Bronze","Participation")))))</f>
        <v/>
      </c>
      <c r="AK6" s="11">
        <f>IF(AND(ISNUMBER(T6),T6&gt;=1,T6=MAX($T$2:$T$25)),"Y","")</f>
        <v/>
      </c>
      <c r="AL6" s="10" t="n"/>
      <c r="AM6" s="9" t="n"/>
    </row>
    <row r="7">
      <c r="A7" s="8" t="n">
        <v>6</v>
      </c>
      <c r="B7" s="9" t="n"/>
      <c r="C7" s="9" t="n"/>
      <c r="D7" s="10" t="n"/>
      <c r="E7" s="10" t="n"/>
      <c r="F7" s="10" t="n"/>
      <c r="G7" s="10" t="n"/>
      <c r="H7" s="9" t="n"/>
      <c r="I7" s="10" t="n"/>
      <c r="J7" s="10" t="n"/>
      <c r="K7" s="10" t="n"/>
      <c r="L7" s="10" t="n"/>
      <c r="M7" s="10" t="n"/>
      <c r="N7" s="10" t="n"/>
      <c r="O7" s="10" t="n"/>
      <c r="P7" s="11">
        <f>IF(COUNT(J7:O7)=0,"",ROUND(AVERAGE(J7:O7),1))</f>
        <v/>
      </c>
      <c r="Q7" s="10" t="n"/>
      <c r="R7" s="11">
        <f>IF(Q7="","",ROUND(Q7/12*100,0))</f>
        <v/>
      </c>
      <c r="S7" s="10" t="n"/>
      <c r="T7" s="11">
        <f>IF(AND(ISNUMBER(I7),ISNUMBER(S7)),S7-I7,"")</f>
        <v/>
      </c>
      <c r="U7" s="10" t="n"/>
      <c r="V7" s="10" t="n"/>
      <c r="W7" s="10" t="n"/>
      <c r="X7" s="10" t="n"/>
      <c r="Y7" s="10" t="n"/>
      <c r="Z7" s="10" t="n"/>
      <c r="AA7" s="11">
        <f>IF(COUNT(U7:Z7)=0,"",ROUND(AVERAGE(U7:Z7),1))</f>
        <v/>
      </c>
      <c r="AB7" s="11">
        <f>IF(AND(ISNUMBER(P7),ISNUMBER(AA7)),ROUND(AA7-P7,1),"")</f>
        <v/>
      </c>
      <c r="AC7" s="10" t="n"/>
      <c r="AD7" s="10" t="n"/>
      <c r="AE7" s="10" t="n"/>
      <c r="AF7" s="10" t="n"/>
      <c r="AG7" s="10" t="n"/>
      <c r="AH7" s="10" t="n"/>
      <c r="AI7" s="11">
        <f>COUNTIF(AC7:AH7,"B")+COUNTIF(AC7:AH7,"D")+COUNTIF(AC7:AH7,"S")+COUNTIF(AC7:AH7,"E")</f>
        <v/>
      </c>
      <c r="AJ7" s="11">
        <f>IF(COUNTA(AC7:AH7)=0,"",IF(AI7&lt;5,"Check",IF(COUNTIF(AC7:AH7,"E")&gt;=4,"Gold",IF(COUNTIF(AC7:AH7,"E")+COUNTIF(AC7:AH7,"S")&gt;=4,"Silver",IF(COUNTIF(AC7:AH7,"E")+COUNTIF(AC7:AH7,"S")+COUNTIF(AC7:AH7,"D")&gt;=4,"Bronze","Participation")))))</f>
        <v/>
      </c>
      <c r="AK7" s="11">
        <f>IF(AND(ISNUMBER(T7),T7&gt;=1,T7=MAX($T$2:$T$25)),"Y","")</f>
        <v/>
      </c>
      <c r="AL7" s="10" t="n"/>
      <c r="AM7" s="9" t="n"/>
    </row>
    <row r="8">
      <c r="A8" s="8" t="n">
        <v>7</v>
      </c>
      <c r="B8" s="9" t="n"/>
      <c r="C8" s="9" t="n"/>
      <c r="D8" s="10" t="n"/>
      <c r="E8" s="10" t="n"/>
      <c r="F8" s="10" t="n"/>
      <c r="G8" s="10" t="n"/>
      <c r="H8" s="9" t="n"/>
      <c r="I8" s="10" t="n"/>
      <c r="J8" s="10" t="n"/>
      <c r="K8" s="10" t="n"/>
      <c r="L8" s="10" t="n"/>
      <c r="M8" s="10" t="n"/>
      <c r="N8" s="10" t="n"/>
      <c r="O8" s="10" t="n"/>
      <c r="P8" s="11">
        <f>IF(COUNT(J8:O8)=0,"",ROUND(AVERAGE(J8:O8),1))</f>
        <v/>
      </c>
      <c r="Q8" s="10" t="n"/>
      <c r="R8" s="11">
        <f>IF(Q8="","",ROUND(Q8/12*100,0))</f>
        <v/>
      </c>
      <c r="S8" s="10" t="n"/>
      <c r="T8" s="11">
        <f>IF(AND(ISNUMBER(I8),ISNUMBER(S8)),S8-I8,"")</f>
        <v/>
      </c>
      <c r="U8" s="10" t="n"/>
      <c r="V8" s="10" t="n"/>
      <c r="W8" s="10" t="n"/>
      <c r="X8" s="10" t="n"/>
      <c r="Y8" s="10" t="n"/>
      <c r="Z8" s="10" t="n"/>
      <c r="AA8" s="11">
        <f>IF(COUNT(U8:Z8)=0,"",ROUND(AVERAGE(U8:Z8),1))</f>
        <v/>
      </c>
      <c r="AB8" s="11">
        <f>IF(AND(ISNUMBER(P8),ISNUMBER(AA8)),ROUND(AA8-P8,1),"")</f>
        <v/>
      </c>
      <c r="AC8" s="10" t="n"/>
      <c r="AD8" s="10" t="n"/>
      <c r="AE8" s="10" t="n"/>
      <c r="AF8" s="10" t="n"/>
      <c r="AG8" s="10" t="n"/>
      <c r="AH8" s="10" t="n"/>
      <c r="AI8" s="11">
        <f>COUNTIF(AC8:AH8,"B")+COUNTIF(AC8:AH8,"D")+COUNTIF(AC8:AH8,"S")+COUNTIF(AC8:AH8,"E")</f>
        <v/>
      </c>
      <c r="AJ8" s="11">
        <f>IF(COUNTA(AC8:AH8)=0,"",IF(AI8&lt;5,"Check",IF(COUNTIF(AC8:AH8,"E")&gt;=4,"Gold",IF(COUNTIF(AC8:AH8,"E")+COUNTIF(AC8:AH8,"S")&gt;=4,"Silver",IF(COUNTIF(AC8:AH8,"E")+COUNTIF(AC8:AH8,"S")+COUNTIF(AC8:AH8,"D")&gt;=4,"Bronze","Participation")))))</f>
        <v/>
      </c>
      <c r="AK8" s="11">
        <f>IF(AND(ISNUMBER(T8),T8&gt;=1,T8=MAX($T$2:$T$25)),"Y","")</f>
        <v/>
      </c>
      <c r="AL8" s="10" t="n"/>
      <c r="AM8" s="9" t="n"/>
    </row>
    <row r="9">
      <c r="A9" s="8" t="n">
        <v>8</v>
      </c>
      <c r="B9" s="9" t="n"/>
      <c r="C9" s="9" t="n"/>
      <c r="D9" s="10" t="n"/>
      <c r="E9" s="10" t="n"/>
      <c r="F9" s="10" t="n"/>
      <c r="G9" s="10" t="n"/>
      <c r="H9" s="9" t="n"/>
      <c r="I9" s="10" t="n"/>
      <c r="J9" s="10" t="n"/>
      <c r="K9" s="10" t="n"/>
      <c r="L9" s="10" t="n"/>
      <c r="M9" s="10" t="n"/>
      <c r="N9" s="10" t="n"/>
      <c r="O9" s="10" t="n"/>
      <c r="P9" s="11">
        <f>IF(COUNT(J9:O9)=0,"",ROUND(AVERAGE(J9:O9),1))</f>
        <v/>
      </c>
      <c r="Q9" s="10" t="n"/>
      <c r="R9" s="11">
        <f>IF(Q9="","",ROUND(Q9/12*100,0))</f>
        <v/>
      </c>
      <c r="S9" s="10" t="n"/>
      <c r="T9" s="11">
        <f>IF(AND(ISNUMBER(I9),ISNUMBER(S9)),S9-I9,"")</f>
        <v/>
      </c>
      <c r="U9" s="10" t="n"/>
      <c r="V9" s="10" t="n"/>
      <c r="W9" s="10" t="n"/>
      <c r="X9" s="10" t="n"/>
      <c r="Y9" s="10" t="n"/>
      <c r="Z9" s="10" t="n"/>
      <c r="AA9" s="11">
        <f>IF(COUNT(U9:Z9)=0,"",ROUND(AVERAGE(U9:Z9),1))</f>
        <v/>
      </c>
      <c r="AB9" s="11">
        <f>IF(AND(ISNUMBER(P9),ISNUMBER(AA9)),ROUND(AA9-P9,1),"")</f>
        <v/>
      </c>
      <c r="AC9" s="10" t="n"/>
      <c r="AD9" s="10" t="n"/>
      <c r="AE9" s="10" t="n"/>
      <c r="AF9" s="10" t="n"/>
      <c r="AG9" s="10" t="n"/>
      <c r="AH9" s="10" t="n"/>
      <c r="AI9" s="11">
        <f>COUNTIF(AC9:AH9,"B")+COUNTIF(AC9:AH9,"D")+COUNTIF(AC9:AH9,"S")+COUNTIF(AC9:AH9,"E")</f>
        <v/>
      </c>
      <c r="AJ9" s="11">
        <f>IF(COUNTA(AC9:AH9)=0,"",IF(AI9&lt;5,"Check",IF(COUNTIF(AC9:AH9,"E")&gt;=4,"Gold",IF(COUNTIF(AC9:AH9,"E")+COUNTIF(AC9:AH9,"S")&gt;=4,"Silver",IF(COUNTIF(AC9:AH9,"E")+COUNTIF(AC9:AH9,"S")+COUNTIF(AC9:AH9,"D")&gt;=4,"Bronze","Participation")))))</f>
        <v/>
      </c>
      <c r="AK9" s="11">
        <f>IF(AND(ISNUMBER(T9),T9&gt;=1,T9=MAX($T$2:$T$25)),"Y","")</f>
        <v/>
      </c>
      <c r="AL9" s="10" t="n"/>
      <c r="AM9" s="9" t="n"/>
    </row>
    <row r="10">
      <c r="A10" s="8" t="n">
        <v>9</v>
      </c>
      <c r="B10" s="9" t="n"/>
      <c r="C10" s="9" t="n"/>
      <c r="D10" s="10" t="n"/>
      <c r="E10" s="10" t="n"/>
      <c r="F10" s="10" t="n"/>
      <c r="G10" s="10" t="n"/>
      <c r="H10" s="9" t="n"/>
      <c r="I10" s="10" t="n"/>
      <c r="J10" s="10" t="n"/>
      <c r="K10" s="10" t="n"/>
      <c r="L10" s="10" t="n"/>
      <c r="M10" s="10" t="n"/>
      <c r="N10" s="10" t="n"/>
      <c r="O10" s="10" t="n"/>
      <c r="P10" s="11">
        <f>IF(COUNT(J10:O10)=0,"",ROUND(AVERAGE(J10:O10),1))</f>
        <v/>
      </c>
      <c r="Q10" s="10" t="n"/>
      <c r="R10" s="11">
        <f>IF(Q10="","",ROUND(Q10/12*100,0))</f>
        <v/>
      </c>
      <c r="S10" s="10" t="n"/>
      <c r="T10" s="11">
        <f>IF(AND(ISNUMBER(I10),ISNUMBER(S10)),S10-I10,"")</f>
        <v/>
      </c>
      <c r="U10" s="10" t="n"/>
      <c r="V10" s="10" t="n"/>
      <c r="W10" s="10" t="n"/>
      <c r="X10" s="10" t="n"/>
      <c r="Y10" s="10" t="n"/>
      <c r="Z10" s="10" t="n"/>
      <c r="AA10" s="11">
        <f>IF(COUNT(U10:Z10)=0,"",ROUND(AVERAGE(U10:Z10),1))</f>
        <v/>
      </c>
      <c r="AB10" s="11">
        <f>IF(AND(ISNUMBER(P10),ISNUMBER(AA10)),ROUND(AA10-P10,1),"")</f>
        <v/>
      </c>
      <c r="AC10" s="10" t="n"/>
      <c r="AD10" s="10" t="n"/>
      <c r="AE10" s="10" t="n"/>
      <c r="AF10" s="10" t="n"/>
      <c r="AG10" s="10" t="n"/>
      <c r="AH10" s="10" t="n"/>
      <c r="AI10" s="11">
        <f>COUNTIF(AC10:AH10,"B")+COUNTIF(AC10:AH10,"D")+COUNTIF(AC10:AH10,"S")+COUNTIF(AC10:AH10,"E")</f>
        <v/>
      </c>
      <c r="AJ10" s="11">
        <f>IF(COUNTA(AC10:AH10)=0,"",IF(AI10&lt;5,"Check",IF(COUNTIF(AC10:AH10,"E")&gt;=4,"Gold",IF(COUNTIF(AC10:AH10,"E")+COUNTIF(AC10:AH10,"S")&gt;=4,"Silver",IF(COUNTIF(AC10:AH10,"E")+COUNTIF(AC10:AH10,"S")+COUNTIF(AC10:AH10,"D")&gt;=4,"Bronze","Participation")))))</f>
        <v/>
      </c>
      <c r="AK10" s="11">
        <f>IF(AND(ISNUMBER(T10),T10&gt;=1,T10=MAX($T$2:$T$25)),"Y","")</f>
        <v/>
      </c>
      <c r="AL10" s="10" t="n"/>
      <c r="AM10" s="9" t="n"/>
    </row>
    <row r="11">
      <c r="A11" s="8" t="n">
        <v>10</v>
      </c>
      <c r="B11" s="9" t="n"/>
      <c r="C11" s="9" t="n"/>
      <c r="D11" s="10" t="n"/>
      <c r="E11" s="10" t="n"/>
      <c r="F11" s="10" t="n"/>
      <c r="G11" s="10" t="n"/>
      <c r="H11" s="9" t="n"/>
      <c r="I11" s="10" t="n"/>
      <c r="J11" s="10" t="n"/>
      <c r="K11" s="10" t="n"/>
      <c r="L11" s="10" t="n"/>
      <c r="M11" s="10" t="n"/>
      <c r="N11" s="10" t="n"/>
      <c r="O11" s="10" t="n"/>
      <c r="P11" s="11">
        <f>IF(COUNT(J11:O11)=0,"",ROUND(AVERAGE(J11:O11),1))</f>
        <v/>
      </c>
      <c r="Q11" s="10" t="n"/>
      <c r="R11" s="11">
        <f>IF(Q11="","",ROUND(Q11/12*100,0))</f>
        <v/>
      </c>
      <c r="S11" s="10" t="n"/>
      <c r="T11" s="11">
        <f>IF(AND(ISNUMBER(I11),ISNUMBER(S11)),S11-I11,"")</f>
        <v/>
      </c>
      <c r="U11" s="10" t="n"/>
      <c r="V11" s="10" t="n"/>
      <c r="W11" s="10" t="n"/>
      <c r="X11" s="10" t="n"/>
      <c r="Y11" s="10" t="n"/>
      <c r="Z11" s="10" t="n"/>
      <c r="AA11" s="11">
        <f>IF(COUNT(U11:Z11)=0,"",ROUND(AVERAGE(U11:Z11),1))</f>
        <v/>
      </c>
      <c r="AB11" s="11">
        <f>IF(AND(ISNUMBER(P11),ISNUMBER(AA11)),ROUND(AA11-P11,1),"")</f>
        <v/>
      </c>
      <c r="AC11" s="10" t="n"/>
      <c r="AD11" s="10" t="n"/>
      <c r="AE11" s="10" t="n"/>
      <c r="AF11" s="10" t="n"/>
      <c r="AG11" s="10" t="n"/>
      <c r="AH11" s="10" t="n"/>
      <c r="AI11" s="11">
        <f>COUNTIF(AC11:AH11,"B")+COUNTIF(AC11:AH11,"D")+COUNTIF(AC11:AH11,"S")+COUNTIF(AC11:AH11,"E")</f>
        <v/>
      </c>
      <c r="AJ11" s="11">
        <f>IF(COUNTA(AC11:AH11)=0,"",IF(AI11&lt;5,"Check",IF(COUNTIF(AC11:AH11,"E")&gt;=4,"Gold",IF(COUNTIF(AC11:AH11,"E")+COUNTIF(AC11:AH11,"S")&gt;=4,"Silver",IF(COUNTIF(AC11:AH11,"E")+COUNTIF(AC11:AH11,"S")+COUNTIF(AC11:AH11,"D")&gt;=4,"Bronze","Participation")))))</f>
        <v/>
      </c>
      <c r="AK11" s="11">
        <f>IF(AND(ISNUMBER(T11),T11&gt;=1,T11=MAX($T$2:$T$25)),"Y","")</f>
        <v/>
      </c>
      <c r="AL11" s="10" t="n"/>
      <c r="AM11" s="9" t="n"/>
    </row>
    <row r="12">
      <c r="A12" s="8" t="n">
        <v>11</v>
      </c>
      <c r="B12" s="9" t="n"/>
      <c r="C12" s="9" t="n"/>
      <c r="D12" s="10" t="n"/>
      <c r="E12" s="10" t="n"/>
      <c r="F12" s="10" t="n"/>
      <c r="G12" s="10" t="n"/>
      <c r="H12" s="9" t="n"/>
      <c r="I12" s="10" t="n"/>
      <c r="J12" s="10" t="n"/>
      <c r="K12" s="10" t="n"/>
      <c r="L12" s="10" t="n"/>
      <c r="M12" s="10" t="n"/>
      <c r="N12" s="10" t="n"/>
      <c r="O12" s="10" t="n"/>
      <c r="P12" s="11">
        <f>IF(COUNT(J12:O12)=0,"",ROUND(AVERAGE(J12:O12),1))</f>
        <v/>
      </c>
      <c r="Q12" s="10" t="n"/>
      <c r="R12" s="11">
        <f>IF(Q12="","",ROUND(Q12/12*100,0))</f>
        <v/>
      </c>
      <c r="S12" s="10" t="n"/>
      <c r="T12" s="11">
        <f>IF(AND(ISNUMBER(I12),ISNUMBER(S12)),S12-I12,"")</f>
        <v/>
      </c>
      <c r="U12" s="10" t="n"/>
      <c r="V12" s="10" t="n"/>
      <c r="W12" s="10" t="n"/>
      <c r="X12" s="10" t="n"/>
      <c r="Y12" s="10" t="n"/>
      <c r="Z12" s="10" t="n"/>
      <c r="AA12" s="11">
        <f>IF(COUNT(U12:Z12)=0,"",ROUND(AVERAGE(U12:Z12),1))</f>
        <v/>
      </c>
      <c r="AB12" s="11">
        <f>IF(AND(ISNUMBER(P12),ISNUMBER(AA12)),ROUND(AA12-P12,1),"")</f>
        <v/>
      </c>
      <c r="AC12" s="10" t="n"/>
      <c r="AD12" s="10" t="n"/>
      <c r="AE12" s="10" t="n"/>
      <c r="AF12" s="10" t="n"/>
      <c r="AG12" s="10" t="n"/>
      <c r="AH12" s="10" t="n"/>
      <c r="AI12" s="11">
        <f>COUNTIF(AC12:AH12,"B")+COUNTIF(AC12:AH12,"D")+COUNTIF(AC12:AH12,"S")+COUNTIF(AC12:AH12,"E")</f>
        <v/>
      </c>
      <c r="AJ12" s="11">
        <f>IF(COUNTA(AC12:AH12)=0,"",IF(AI12&lt;5,"Check",IF(COUNTIF(AC12:AH12,"E")&gt;=4,"Gold",IF(COUNTIF(AC12:AH12,"E")+COUNTIF(AC12:AH12,"S")&gt;=4,"Silver",IF(COUNTIF(AC12:AH12,"E")+COUNTIF(AC12:AH12,"S")+COUNTIF(AC12:AH12,"D")&gt;=4,"Bronze","Participation")))))</f>
        <v/>
      </c>
      <c r="AK12" s="11">
        <f>IF(AND(ISNUMBER(T12),T12&gt;=1,T12=MAX($T$2:$T$25)),"Y","")</f>
        <v/>
      </c>
      <c r="AL12" s="10" t="n"/>
      <c r="AM12" s="9" t="n"/>
    </row>
    <row r="13">
      <c r="A13" s="8" t="n">
        <v>12</v>
      </c>
      <c r="B13" s="9" t="n"/>
      <c r="C13" s="9" t="n"/>
      <c r="D13" s="10" t="n"/>
      <c r="E13" s="10" t="n"/>
      <c r="F13" s="10" t="n"/>
      <c r="G13" s="10" t="n"/>
      <c r="H13" s="9" t="n"/>
      <c r="I13" s="10" t="n"/>
      <c r="J13" s="10" t="n"/>
      <c r="K13" s="10" t="n"/>
      <c r="L13" s="10" t="n"/>
      <c r="M13" s="10" t="n"/>
      <c r="N13" s="10" t="n"/>
      <c r="O13" s="10" t="n"/>
      <c r="P13" s="11">
        <f>IF(COUNT(J13:O13)=0,"",ROUND(AVERAGE(J13:O13),1))</f>
        <v/>
      </c>
      <c r="Q13" s="10" t="n"/>
      <c r="R13" s="11">
        <f>IF(Q13="","",ROUND(Q13/12*100,0))</f>
        <v/>
      </c>
      <c r="S13" s="10" t="n"/>
      <c r="T13" s="11">
        <f>IF(AND(ISNUMBER(I13),ISNUMBER(S13)),S13-I13,"")</f>
        <v/>
      </c>
      <c r="U13" s="10" t="n"/>
      <c r="V13" s="10" t="n"/>
      <c r="W13" s="10" t="n"/>
      <c r="X13" s="10" t="n"/>
      <c r="Y13" s="10" t="n"/>
      <c r="Z13" s="10" t="n"/>
      <c r="AA13" s="11">
        <f>IF(COUNT(U13:Z13)=0,"",ROUND(AVERAGE(U13:Z13),1))</f>
        <v/>
      </c>
      <c r="AB13" s="11">
        <f>IF(AND(ISNUMBER(P13),ISNUMBER(AA13)),ROUND(AA13-P13,1),"")</f>
        <v/>
      </c>
      <c r="AC13" s="10" t="n"/>
      <c r="AD13" s="10" t="n"/>
      <c r="AE13" s="10" t="n"/>
      <c r="AF13" s="10" t="n"/>
      <c r="AG13" s="10" t="n"/>
      <c r="AH13" s="10" t="n"/>
      <c r="AI13" s="11">
        <f>COUNTIF(AC13:AH13,"B")+COUNTIF(AC13:AH13,"D")+COUNTIF(AC13:AH13,"S")+COUNTIF(AC13:AH13,"E")</f>
        <v/>
      </c>
      <c r="AJ13" s="11">
        <f>IF(COUNTA(AC13:AH13)=0,"",IF(AI13&lt;5,"Check",IF(COUNTIF(AC13:AH13,"E")&gt;=4,"Gold",IF(COUNTIF(AC13:AH13,"E")+COUNTIF(AC13:AH13,"S")&gt;=4,"Silver",IF(COUNTIF(AC13:AH13,"E")+COUNTIF(AC13:AH13,"S")+COUNTIF(AC13:AH13,"D")&gt;=4,"Bronze","Participation")))))</f>
        <v/>
      </c>
      <c r="AK13" s="11">
        <f>IF(AND(ISNUMBER(T13),T13&gt;=1,T13=MAX($T$2:$T$25)),"Y","")</f>
        <v/>
      </c>
      <c r="AL13" s="10" t="n"/>
      <c r="AM13" s="9" t="n"/>
    </row>
    <row r="14">
      <c r="A14" s="8" t="n">
        <v>13</v>
      </c>
      <c r="B14" s="9" t="n"/>
      <c r="C14" s="9" t="n"/>
      <c r="D14" s="10" t="n"/>
      <c r="E14" s="10" t="n"/>
      <c r="F14" s="10" t="n"/>
      <c r="G14" s="10" t="n"/>
      <c r="H14" s="9" t="n"/>
      <c r="I14" s="10" t="n"/>
      <c r="J14" s="10" t="n"/>
      <c r="K14" s="10" t="n"/>
      <c r="L14" s="10" t="n"/>
      <c r="M14" s="10" t="n"/>
      <c r="N14" s="10" t="n"/>
      <c r="O14" s="10" t="n"/>
      <c r="P14" s="11">
        <f>IF(COUNT(J14:O14)=0,"",ROUND(AVERAGE(J14:O14),1))</f>
        <v/>
      </c>
      <c r="Q14" s="10" t="n"/>
      <c r="R14" s="11">
        <f>IF(Q14="","",ROUND(Q14/12*100,0))</f>
        <v/>
      </c>
      <c r="S14" s="10" t="n"/>
      <c r="T14" s="11">
        <f>IF(AND(ISNUMBER(I14),ISNUMBER(S14)),S14-I14,"")</f>
        <v/>
      </c>
      <c r="U14" s="10" t="n"/>
      <c r="V14" s="10" t="n"/>
      <c r="W14" s="10" t="n"/>
      <c r="X14" s="10" t="n"/>
      <c r="Y14" s="10" t="n"/>
      <c r="Z14" s="10" t="n"/>
      <c r="AA14" s="11">
        <f>IF(COUNT(U14:Z14)=0,"",ROUND(AVERAGE(U14:Z14),1))</f>
        <v/>
      </c>
      <c r="AB14" s="11">
        <f>IF(AND(ISNUMBER(P14),ISNUMBER(AA14)),ROUND(AA14-P14,1),"")</f>
        <v/>
      </c>
      <c r="AC14" s="10" t="n"/>
      <c r="AD14" s="10" t="n"/>
      <c r="AE14" s="10" t="n"/>
      <c r="AF14" s="10" t="n"/>
      <c r="AG14" s="10" t="n"/>
      <c r="AH14" s="10" t="n"/>
      <c r="AI14" s="11">
        <f>COUNTIF(AC14:AH14,"B")+COUNTIF(AC14:AH14,"D")+COUNTIF(AC14:AH14,"S")+COUNTIF(AC14:AH14,"E")</f>
        <v/>
      </c>
      <c r="AJ14" s="11">
        <f>IF(COUNTA(AC14:AH14)=0,"",IF(AI14&lt;5,"Check",IF(COUNTIF(AC14:AH14,"E")&gt;=4,"Gold",IF(COUNTIF(AC14:AH14,"E")+COUNTIF(AC14:AH14,"S")&gt;=4,"Silver",IF(COUNTIF(AC14:AH14,"E")+COUNTIF(AC14:AH14,"S")+COUNTIF(AC14:AH14,"D")&gt;=4,"Bronze","Participation")))))</f>
        <v/>
      </c>
      <c r="AK14" s="11">
        <f>IF(AND(ISNUMBER(T14),T14&gt;=1,T14=MAX($T$2:$T$25)),"Y","")</f>
        <v/>
      </c>
      <c r="AL14" s="10" t="n"/>
      <c r="AM14" s="9" t="n"/>
    </row>
    <row r="15">
      <c r="A15" s="8" t="n">
        <v>14</v>
      </c>
      <c r="B15" s="9" t="n"/>
      <c r="C15" s="9" t="n"/>
      <c r="D15" s="10" t="n"/>
      <c r="E15" s="10" t="n"/>
      <c r="F15" s="10" t="n"/>
      <c r="G15" s="10" t="n"/>
      <c r="H15" s="9" t="n"/>
      <c r="I15" s="10" t="n"/>
      <c r="J15" s="10" t="n"/>
      <c r="K15" s="10" t="n"/>
      <c r="L15" s="10" t="n"/>
      <c r="M15" s="10" t="n"/>
      <c r="N15" s="10" t="n"/>
      <c r="O15" s="10" t="n"/>
      <c r="P15" s="11">
        <f>IF(COUNT(J15:O15)=0,"",ROUND(AVERAGE(J15:O15),1))</f>
        <v/>
      </c>
      <c r="Q15" s="10" t="n"/>
      <c r="R15" s="11">
        <f>IF(Q15="","",ROUND(Q15/12*100,0))</f>
        <v/>
      </c>
      <c r="S15" s="10" t="n"/>
      <c r="T15" s="11">
        <f>IF(AND(ISNUMBER(I15),ISNUMBER(S15)),S15-I15,"")</f>
        <v/>
      </c>
      <c r="U15" s="10" t="n"/>
      <c r="V15" s="10" t="n"/>
      <c r="W15" s="10" t="n"/>
      <c r="X15" s="10" t="n"/>
      <c r="Y15" s="10" t="n"/>
      <c r="Z15" s="10" t="n"/>
      <c r="AA15" s="11">
        <f>IF(COUNT(U15:Z15)=0,"",ROUND(AVERAGE(U15:Z15),1))</f>
        <v/>
      </c>
      <c r="AB15" s="11">
        <f>IF(AND(ISNUMBER(P15),ISNUMBER(AA15)),ROUND(AA15-P15,1),"")</f>
        <v/>
      </c>
      <c r="AC15" s="10" t="n"/>
      <c r="AD15" s="10" t="n"/>
      <c r="AE15" s="10" t="n"/>
      <c r="AF15" s="10" t="n"/>
      <c r="AG15" s="10" t="n"/>
      <c r="AH15" s="10" t="n"/>
      <c r="AI15" s="11">
        <f>COUNTIF(AC15:AH15,"B")+COUNTIF(AC15:AH15,"D")+COUNTIF(AC15:AH15,"S")+COUNTIF(AC15:AH15,"E")</f>
        <v/>
      </c>
      <c r="AJ15" s="11">
        <f>IF(COUNTA(AC15:AH15)=0,"",IF(AI15&lt;5,"Check",IF(COUNTIF(AC15:AH15,"E")&gt;=4,"Gold",IF(COUNTIF(AC15:AH15,"E")+COUNTIF(AC15:AH15,"S")&gt;=4,"Silver",IF(COUNTIF(AC15:AH15,"E")+COUNTIF(AC15:AH15,"S")+COUNTIF(AC15:AH15,"D")&gt;=4,"Bronze","Participation")))))</f>
        <v/>
      </c>
      <c r="AK15" s="11">
        <f>IF(AND(ISNUMBER(T15),T15&gt;=1,T15=MAX($T$2:$T$25)),"Y","")</f>
        <v/>
      </c>
      <c r="AL15" s="10" t="n"/>
      <c r="AM15" s="9" t="n"/>
    </row>
    <row r="16">
      <c r="A16" s="8" t="n">
        <v>15</v>
      </c>
      <c r="B16" s="9" t="n"/>
      <c r="C16" s="9" t="n"/>
      <c r="D16" s="10" t="n"/>
      <c r="E16" s="10" t="n"/>
      <c r="F16" s="10" t="n"/>
      <c r="G16" s="10" t="n"/>
      <c r="H16" s="9" t="n"/>
      <c r="I16" s="10" t="n"/>
      <c r="J16" s="10" t="n"/>
      <c r="K16" s="10" t="n"/>
      <c r="L16" s="10" t="n"/>
      <c r="M16" s="10" t="n"/>
      <c r="N16" s="10" t="n"/>
      <c r="O16" s="10" t="n"/>
      <c r="P16" s="11">
        <f>IF(COUNT(J16:O16)=0,"",ROUND(AVERAGE(J16:O16),1))</f>
        <v/>
      </c>
      <c r="Q16" s="10" t="n"/>
      <c r="R16" s="11">
        <f>IF(Q16="","",ROUND(Q16/12*100,0))</f>
        <v/>
      </c>
      <c r="S16" s="10" t="n"/>
      <c r="T16" s="11">
        <f>IF(AND(ISNUMBER(I16),ISNUMBER(S16)),S16-I16,"")</f>
        <v/>
      </c>
      <c r="U16" s="10" t="n"/>
      <c r="V16" s="10" t="n"/>
      <c r="W16" s="10" t="n"/>
      <c r="X16" s="10" t="n"/>
      <c r="Y16" s="10" t="n"/>
      <c r="Z16" s="10" t="n"/>
      <c r="AA16" s="11">
        <f>IF(COUNT(U16:Z16)=0,"",ROUND(AVERAGE(U16:Z16),1))</f>
        <v/>
      </c>
      <c r="AB16" s="11">
        <f>IF(AND(ISNUMBER(P16),ISNUMBER(AA16)),ROUND(AA16-P16,1),"")</f>
        <v/>
      </c>
      <c r="AC16" s="10" t="n"/>
      <c r="AD16" s="10" t="n"/>
      <c r="AE16" s="10" t="n"/>
      <c r="AF16" s="10" t="n"/>
      <c r="AG16" s="10" t="n"/>
      <c r="AH16" s="10" t="n"/>
      <c r="AI16" s="11">
        <f>COUNTIF(AC16:AH16,"B")+COUNTIF(AC16:AH16,"D")+COUNTIF(AC16:AH16,"S")+COUNTIF(AC16:AH16,"E")</f>
        <v/>
      </c>
      <c r="AJ16" s="11">
        <f>IF(COUNTA(AC16:AH16)=0,"",IF(AI16&lt;5,"Check",IF(COUNTIF(AC16:AH16,"E")&gt;=4,"Gold",IF(COUNTIF(AC16:AH16,"E")+COUNTIF(AC16:AH16,"S")&gt;=4,"Silver",IF(COUNTIF(AC16:AH16,"E")+COUNTIF(AC16:AH16,"S")+COUNTIF(AC16:AH16,"D")&gt;=4,"Bronze","Participation")))))</f>
        <v/>
      </c>
      <c r="AK16" s="11">
        <f>IF(AND(ISNUMBER(T16),T16&gt;=1,T16=MAX($T$2:$T$25)),"Y","")</f>
        <v/>
      </c>
      <c r="AL16" s="10" t="n"/>
      <c r="AM16" s="9" t="n"/>
    </row>
    <row r="17">
      <c r="A17" s="8" t="n">
        <v>16</v>
      </c>
      <c r="B17" s="9" t="n"/>
      <c r="C17" s="9" t="n"/>
      <c r="D17" s="10" t="n"/>
      <c r="E17" s="10" t="n"/>
      <c r="F17" s="10" t="n"/>
      <c r="G17" s="10" t="n"/>
      <c r="H17" s="9" t="n"/>
      <c r="I17" s="10" t="n"/>
      <c r="J17" s="10" t="n"/>
      <c r="K17" s="10" t="n"/>
      <c r="L17" s="10" t="n"/>
      <c r="M17" s="10" t="n"/>
      <c r="N17" s="10" t="n"/>
      <c r="O17" s="10" t="n"/>
      <c r="P17" s="11">
        <f>IF(COUNT(J17:O17)=0,"",ROUND(AVERAGE(J17:O17),1))</f>
        <v/>
      </c>
      <c r="Q17" s="10" t="n"/>
      <c r="R17" s="11">
        <f>IF(Q17="","",ROUND(Q17/12*100,0))</f>
        <v/>
      </c>
      <c r="S17" s="10" t="n"/>
      <c r="T17" s="11">
        <f>IF(AND(ISNUMBER(I17),ISNUMBER(S17)),S17-I17,"")</f>
        <v/>
      </c>
      <c r="U17" s="10" t="n"/>
      <c r="V17" s="10" t="n"/>
      <c r="W17" s="10" t="n"/>
      <c r="X17" s="10" t="n"/>
      <c r="Y17" s="10" t="n"/>
      <c r="Z17" s="10" t="n"/>
      <c r="AA17" s="11">
        <f>IF(COUNT(U17:Z17)=0,"",ROUND(AVERAGE(U17:Z17),1))</f>
        <v/>
      </c>
      <c r="AB17" s="11">
        <f>IF(AND(ISNUMBER(P17),ISNUMBER(AA17)),ROUND(AA17-P17,1),"")</f>
        <v/>
      </c>
      <c r="AC17" s="10" t="n"/>
      <c r="AD17" s="10" t="n"/>
      <c r="AE17" s="10" t="n"/>
      <c r="AF17" s="10" t="n"/>
      <c r="AG17" s="10" t="n"/>
      <c r="AH17" s="10" t="n"/>
      <c r="AI17" s="11">
        <f>COUNTIF(AC17:AH17,"B")+COUNTIF(AC17:AH17,"D")+COUNTIF(AC17:AH17,"S")+COUNTIF(AC17:AH17,"E")</f>
        <v/>
      </c>
      <c r="AJ17" s="11">
        <f>IF(COUNTA(AC17:AH17)=0,"",IF(AI17&lt;5,"Check",IF(COUNTIF(AC17:AH17,"E")&gt;=4,"Gold",IF(COUNTIF(AC17:AH17,"E")+COUNTIF(AC17:AH17,"S")&gt;=4,"Silver",IF(COUNTIF(AC17:AH17,"E")+COUNTIF(AC17:AH17,"S")+COUNTIF(AC17:AH17,"D")&gt;=4,"Bronze","Participation")))))</f>
        <v/>
      </c>
      <c r="AK17" s="11">
        <f>IF(AND(ISNUMBER(T17),T17&gt;=1,T17=MAX($T$2:$T$25)),"Y","")</f>
        <v/>
      </c>
      <c r="AL17" s="10" t="n"/>
      <c r="AM17" s="9" t="n"/>
    </row>
    <row r="18">
      <c r="A18" s="8" t="n">
        <v>17</v>
      </c>
      <c r="B18" s="9" t="n"/>
      <c r="C18" s="9" t="n"/>
      <c r="D18" s="10" t="n"/>
      <c r="E18" s="10" t="n"/>
      <c r="F18" s="10" t="n"/>
      <c r="G18" s="10" t="n"/>
      <c r="H18" s="9" t="n"/>
      <c r="I18" s="10" t="n"/>
      <c r="J18" s="10" t="n"/>
      <c r="K18" s="10" t="n"/>
      <c r="L18" s="10" t="n"/>
      <c r="M18" s="10" t="n"/>
      <c r="N18" s="10" t="n"/>
      <c r="O18" s="10" t="n"/>
      <c r="P18" s="11">
        <f>IF(COUNT(J18:O18)=0,"",ROUND(AVERAGE(J18:O18),1))</f>
        <v/>
      </c>
      <c r="Q18" s="10" t="n"/>
      <c r="R18" s="11">
        <f>IF(Q18="","",ROUND(Q18/12*100,0))</f>
        <v/>
      </c>
      <c r="S18" s="10" t="n"/>
      <c r="T18" s="11">
        <f>IF(AND(ISNUMBER(I18),ISNUMBER(S18)),S18-I18,"")</f>
        <v/>
      </c>
      <c r="U18" s="10" t="n"/>
      <c r="V18" s="10" t="n"/>
      <c r="W18" s="10" t="n"/>
      <c r="X18" s="10" t="n"/>
      <c r="Y18" s="10" t="n"/>
      <c r="Z18" s="10" t="n"/>
      <c r="AA18" s="11">
        <f>IF(COUNT(U18:Z18)=0,"",ROUND(AVERAGE(U18:Z18),1))</f>
        <v/>
      </c>
      <c r="AB18" s="11">
        <f>IF(AND(ISNUMBER(P18),ISNUMBER(AA18)),ROUND(AA18-P18,1),"")</f>
        <v/>
      </c>
      <c r="AC18" s="10" t="n"/>
      <c r="AD18" s="10" t="n"/>
      <c r="AE18" s="10" t="n"/>
      <c r="AF18" s="10" t="n"/>
      <c r="AG18" s="10" t="n"/>
      <c r="AH18" s="10" t="n"/>
      <c r="AI18" s="11">
        <f>COUNTIF(AC18:AH18,"B")+COUNTIF(AC18:AH18,"D")+COUNTIF(AC18:AH18,"S")+COUNTIF(AC18:AH18,"E")</f>
        <v/>
      </c>
      <c r="AJ18" s="11">
        <f>IF(COUNTA(AC18:AH18)=0,"",IF(AI18&lt;5,"Check",IF(COUNTIF(AC18:AH18,"E")&gt;=4,"Gold",IF(COUNTIF(AC18:AH18,"E")+COUNTIF(AC18:AH18,"S")&gt;=4,"Silver",IF(COUNTIF(AC18:AH18,"E")+COUNTIF(AC18:AH18,"S")+COUNTIF(AC18:AH18,"D")&gt;=4,"Bronze","Participation")))))</f>
        <v/>
      </c>
      <c r="AK18" s="11">
        <f>IF(AND(ISNUMBER(T18),T18&gt;=1,T18=MAX($T$2:$T$25)),"Y","")</f>
        <v/>
      </c>
      <c r="AL18" s="10" t="n"/>
      <c r="AM18" s="9" t="n"/>
    </row>
    <row r="19">
      <c r="A19" s="8" t="n">
        <v>18</v>
      </c>
      <c r="B19" s="9" t="n"/>
      <c r="C19" s="9" t="n"/>
      <c r="D19" s="10" t="n"/>
      <c r="E19" s="10" t="n"/>
      <c r="F19" s="10" t="n"/>
      <c r="G19" s="10" t="n"/>
      <c r="H19" s="9" t="n"/>
      <c r="I19" s="10" t="n"/>
      <c r="J19" s="10" t="n"/>
      <c r="K19" s="10" t="n"/>
      <c r="L19" s="10" t="n"/>
      <c r="M19" s="10" t="n"/>
      <c r="N19" s="10" t="n"/>
      <c r="O19" s="10" t="n"/>
      <c r="P19" s="11">
        <f>IF(COUNT(J19:O19)=0,"",ROUND(AVERAGE(J19:O19),1))</f>
        <v/>
      </c>
      <c r="Q19" s="10" t="n"/>
      <c r="R19" s="11">
        <f>IF(Q19="","",ROUND(Q19/12*100,0))</f>
        <v/>
      </c>
      <c r="S19" s="10" t="n"/>
      <c r="T19" s="11">
        <f>IF(AND(ISNUMBER(I19),ISNUMBER(S19)),S19-I19,"")</f>
        <v/>
      </c>
      <c r="U19" s="10" t="n"/>
      <c r="V19" s="10" t="n"/>
      <c r="W19" s="10" t="n"/>
      <c r="X19" s="10" t="n"/>
      <c r="Y19" s="10" t="n"/>
      <c r="Z19" s="10" t="n"/>
      <c r="AA19" s="11">
        <f>IF(COUNT(U19:Z19)=0,"",ROUND(AVERAGE(U19:Z19),1))</f>
        <v/>
      </c>
      <c r="AB19" s="11">
        <f>IF(AND(ISNUMBER(P19),ISNUMBER(AA19)),ROUND(AA19-P19,1),"")</f>
        <v/>
      </c>
      <c r="AC19" s="10" t="n"/>
      <c r="AD19" s="10" t="n"/>
      <c r="AE19" s="10" t="n"/>
      <c r="AF19" s="10" t="n"/>
      <c r="AG19" s="10" t="n"/>
      <c r="AH19" s="10" t="n"/>
      <c r="AI19" s="11">
        <f>COUNTIF(AC19:AH19,"B")+COUNTIF(AC19:AH19,"D")+COUNTIF(AC19:AH19,"S")+COUNTIF(AC19:AH19,"E")</f>
        <v/>
      </c>
      <c r="AJ19" s="11">
        <f>IF(COUNTA(AC19:AH19)=0,"",IF(AI19&lt;5,"Check",IF(COUNTIF(AC19:AH19,"E")&gt;=4,"Gold",IF(COUNTIF(AC19:AH19,"E")+COUNTIF(AC19:AH19,"S")&gt;=4,"Silver",IF(COUNTIF(AC19:AH19,"E")+COUNTIF(AC19:AH19,"S")+COUNTIF(AC19:AH19,"D")&gt;=4,"Bronze","Participation")))))</f>
        <v/>
      </c>
      <c r="AK19" s="11">
        <f>IF(AND(ISNUMBER(T19),T19&gt;=1,T19=MAX($T$2:$T$25)),"Y","")</f>
        <v/>
      </c>
      <c r="AL19" s="10" t="n"/>
      <c r="AM19" s="9" t="n"/>
    </row>
    <row r="20">
      <c r="A20" s="8" t="n">
        <v>19</v>
      </c>
      <c r="B20" s="9" t="n"/>
      <c r="C20" s="9" t="n"/>
      <c r="D20" s="10" t="n"/>
      <c r="E20" s="10" t="n"/>
      <c r="F20" s="10" t="n"/>
      <c r="G20" s="10" t="n"/>
      <c r="H20" s="9" t="n"/>
      <c r="I20" s="10" t="n"/>
      <c r="J20" s="10" t="n"/>
      <c r="K20" s="10" t="n"/>
      <c r="L20" s="10" t="n"/>
      <c r="M20" s="10" t="n"/>
      <c r="N20" s="10" t="n"/>
      <c r="O20" s="10" t="n"/>
      <c r="P20" s="11">
        <f>IF(COUNT(J20:O20)=0,"",ROUND(AVERAGE(J20:O20),1))</f>
        <v/>
      </c>
      <c r="Q20" s="10" t="n"/>
      <c r="R20" s="11">
        <f>IF(Q20="","",ROUND(Q20/12*100,0))</f>
        <v/>
      </c>
      <c r="S20" s="10" t="n"/>
      <c r="T20" s="11">
        <f>IF(AND(ISNUMBER(I20),ISNUMBER(S20)),S20-I20,"")</f>
        <v/>
      </c>
      <c r="U20" s="10" t="n"/>
      <c r="V20" s="10" t="n"/>
      <c r="W20" s="10" t="n"/>
      <c r="X20" s="10" t="n"/>
      <c r="Y20" s="10" t="n"/>
      <c r="Z20" s="10" t="n"/>
      <c r="AA20" s="11">
        <f>IF(COUNT(U20:Z20)=0,"",ROUND(AVERAGE(U20:Z20),1))</f>
        <v/>
      </c>
      <c r="AB20" s="11">
        <f>IF(AND(ISNUMBER(P20),ISNUMBER(AA20)),ROUND(AA20-P20,1),"")</f>
        <v/>
      </c>
      <c r="AC20" s="10" t="n"/>
      <c r="AD20" s="10" t="n"/>
      <c r="AE20" s="10" t="n"/>
      <c r="AF20" s="10" t="n"/>
      <c r="AG20" s="10" t="n"/>
      <c r="AH20" s="10" t="n"/>
      <c r="AI20" s="11">
        <f>COUNTIF(AC20:AH20,"B")+COUNTIF(AC20:AH20,"D")+COUNTIF(AC20:AH20,"S")+COUNTIF(AC20:AH20,"E")</f>
        <v/>
      </c>
      <c r="AJ20" s="11">
        <f>IF(COUNTA(AC20:AH20)=0,"",IF(AI20&lt;5,"Check",IF(COUNTIF(AC20:AH20,"E")&gt;=4,"Gold",IF(COUNTIF(AC20:AH20,"E")+COUNTIF(AC20:AH20,"S")&gt;=4,"Silver",IF(COUNTIF(AC20:AH20,"E")+COUNTIF(AC20:AH20,"S")+COUNTIF(AC20:AH20,"D")&gt;=4,"Bronze","Participation")))))</f>
        <v/>
      </c>
      <c r="AK20" s="11">
        <f>IF(AND(ISNUMBER(T20),T20&gt;=1,T20=MAX($T$2:$T$25)),"Y","")</f>
        <v/>
      </c>
      <c r="AL20" s="10" t="n"/>
      <c r="AM20" s="9" t="n"/>
    </row>
    <row r="21">
      <c r="A21" s="8" t="n">
        <v>20</v>
      </c>
      <c r="B21" s="9" t="n"/>
      <c r="C21" s="9" t="n"/>
      <c r="D21" s="10" t="n"/>
      <c r="E21" s="10" t="n"/>
      <c r="F21" s="10" t="n"/>
      <c r="G21" s="10" t="n"/>
      <c r="H21" s="9" t="n"/>
      <c r="I21" s="10" t="n"/>
      <c r="J21" s="10" t="n"/>
      <c r="K21" s="10" t="n"/>
      <c r="L21" s="10" t="n"/>
      <c r="M21" s="10" t="n"/>
      <c r="N21" s="10" t="n"/>
      <c r="O21" s="10" t="n"/>
      <c r="P21" s="11">
        <f>IF(COUNT(J21:O21)=0,"",ROUND(AVERAGE(J21:O21),1))</f>
        <v/>
      </c>
      <c r="Q21" s="10" t="n"/>
      <c r="R21" s="11">
        <f>IF(Q21="","",ROUND(Q21/12*100,0))</f>
        <v/>
      </c>
      <c r="S21" s="10" t="n"/>
      <c r="T21" s="11">
        <f>IF(AND(ISNUMBER(I21),ISNUMBER(S21)),S21-I21,"")</f>
        <v/>
      </c>
      <c r="U21" s="10" t="n"/>
      <c r="V21" s="10" t="n"/>
      <c r="W21" s="10" t="n"/>
      <c r="X21" s="10" t="n"/>
      <c r="Y21" s="10" t="n"/>
      <c r="Z21" s="10" t="n"/>
      <c r="AA21" s="11">
        <f>IF(COUNT(U21:Z21)=0,"",ROUND(AVERAGE(U21:Z21),1))</f>
        <v/>
      </c>
      <c r="AB21" s="11">
        <f>IF(AND(ISNUMBER(P21),ISNUMBER(AA21)),ROUND(AA21-P21,1),"")</f>
        <v/>
      </c>
      <c r="AC21" s="10" t="n"/>
      <c r="AD21" s="10" t="n"/>
      <c r="AE21" s="10" t="n"/>
      <c r="AF21" s="10" t="n"/>
      <c r="AG21" s="10" t="n"/>
      <c r="AH21" s="10" t="n"/>
      <c r="AI21" s="11">
        <f>COUNTIF(AC21:AH21,"B")+COUNTIF(AC21:AH21,"D")+COUNTIF(AC21:AH21,"S")+COUNTIF(AC21:AH21,"E")</f>
        <v/>
      </c>
      <c r="AJ21" s="11">
        <f>IF(COUNTA(AC21:AH21)=0,"",IF(AI21&lt;5,"Check",IF(COUNTIF(AC21:AH21,"E")&gt;=4,"Gold",IF(COUNTIF(AC21:AH21,"E")+COUNTIF(AC21:AH21,"S")&gt;=4,"Silver",IF(COUNTIF(AC21:AH21,"E")+COUNTIF(AC21:AH21,"S")+COUNTIF(AC21:AH21,"D")&gt;=4,"Bronze","Participation")))))</f>
        <v/>
      </c>
      <c r="AK21" s="11">
        <f>IF(AND(ISNUMBER(T21),T21&gt;=1,T21=MAX($T$2:$T$25)),"Y","")</f>
        <v/>
      </c>
      <c r="AL21" s="10" t="n"/>
      <c r="AM21" s="9" t="n"/>
    </row>
    <row r="22">
      <c r="A22" s="8" t="n">
        <v>21</v>
      </c>
      <c r="B22" s="9" t="n"/>
      <c r="C22" s="9" t="n"/>
      <c r="D22" s="10" t="n"/>
      <c r="E22" s="10" t="n"/>
      <c r="F22" s="10" t="n"/>
      <c r="G22" s="10" t="n"/>
      <c r="H22" s="9" t="n"/>
      <c r="I22" s="10" t="n"/>
      <c r="J22" s="10" t="n"/>
      <c r="K22" s="10" t="n"/>
      <c r="L22" s="10" t="n"/>
      <c r="M22" s="10" t="n"/>
      <c r="N22" s="10" t="n"/>
      <c r="O22" s="10" t="n"/>
      <c r="P22" s="11">
        <f>IF(COUNT(J22:O22)=0,"",ROUND(AVERAGE(J22:O22),1))</f>
        <v/>
      </c>
      <c r="Q22" s="10" t="n"/>
      <c r="R22" s="11">
        <f>IF(Q22="","",ROUND(Q22/12*100,0))</f>
        <v/>
      </c>
      <c r="S22" s="10" t="n"/>
      <c r="T22" s="11">
        <f>IF(AND(ISNUMBER(I22),ISNUMBER(S22)),S22-I22,"")</f>
        <v/>
      </c>
      <c r="U22" s="10" t="n"/>
      <c r="V22" s="10" t="n"/>
      <c r="W22" s="10" t="n"/>
      <c r="X22" s="10" t="n"/>
      <c r="Y22" s="10" t="n"/>
      <c r="Z22" s="10" t="n"/>
      <c r="AA22" s="11">
        <f>IF(COUNT(U22:Z22)=0,"",ROUND(AVERAGE(U22:Z22),1))</f>
        <v/>
      </c>
      <c r="AB22" s="11">
        <f>IF(AND(ISNUMBER(P22),ISNUMBER(AA22)),ROUND(AA22-P22,1),"")</f>
        <v/>
      </c>
      <c r="AC22" s="10" t="n"/>
      <c r="AD22" s="10" t="n"/>
      <c r="AE22" s="10" t="n"/>
      <c r="AF22" s="10" t="n"/>
      <c r="AG22" s="10" t="n"/>
      <c r="AH22" s="10" t="n"/>
      <c r="AI22" s="11">
        <f>COUNTIF(AC22:AH22,"B")+COUNTIF(AC22:AH22,"D")+COUNTIF(AC22:AH22,"S")+COUNTIF(AC22:AH22,"E")</f>
        <v/>
      </c>
      <c r="AJ22" s="11">
        <f>IF(COUNTA(AC22:AH22)=0,"",IF(AI22&lt;5,"Check",IF(COUNTIF(AC22:AH22,"E")&gt;=4,"Gold",IF(COUNTIF(AC22:AH22,"E")+COUNTIF(AC22:AH22,"S")&gt;=4,"Silver",IF(COUNTIF(AC22:AH22,"E")+COUNTIF(AC22:AH22,"S")+COUNTIF(AC22:AH22,"D")&gt;=4,"Bronze","Participation")))))</f>
        <v/>
      </c>
      <c r="AK22" s="11">
        <f>IF(AND(ISNUMBER(T22),T22&gt;=1,T22=MAX($T$2:$T$25)),"Y","")</f>
        <v/>
      </c>
      <c r="AL22" s="10" t="n"/>
      <c r="AM22" s="9" t="n"/>
    </row>
    <row r="23">
      <c r="A23" s="8" t="n">
        <v>22</v>
      </c>
      <c r="B23" s="9" t="n"/>
      <c r="C23" s="9" t="n"/>
      <c r="D23" s="10" t="n"/>
      <c r="E23" s="10" t="n"/>
      <c r="F23" s="10" t="n"/>
      <c r="G23" s="10" t="n"/>
      <c r="H23" s="9" t="n"/>
      <c r="I23" s="10" t="n"/>
      <c r="J23" s="10" t="n"/>
      <c r="K23" s="10" t="n"/>
      <c r="L23" s="10" t="n"/>
      <c r="M23" s="10" t="n"/>
      <c r="N23" s="10" t="n"/>
      <c r="O23" s="10" t="n"/>
      <c r="P23" s="11">
        <f>IF(COUNT(J23:O23)=0,"",ROUND(AVERAGE(J23:O23),1))</f>
        <v/>
      </c>
      <c r="Q23" s="10" t="n"/>
      <c r="R23" s="11">
        <f>IF(Q23="","",ROUND(Q23/12*100,0))</f>
        <v/>
      </c>
      <c r="S23" s="10" t="n"/>
      <c r="T23" s="11">
        <f>IF(AND(ISNUMBER(I23),ISNUMBER(S23)),S23-I23,"")</f>
        <v/>
      </c>
      <c r="U23" s="10" t="n"/>
      <c r="V23" s="10" t="n"/>
      <c r="W23" s="10" t="n"/>
      <c r="X23" s="10" t="n"/>
      <c r="Y23" s="10" t="n"/>
      <c r="Z23" s="10" t="n"/>
      <c r="AA23" s="11">
        <f>IF(COUNT(U23:Z23)=0,"",ROUND(AVERAGE(U23:Z23),1))</f>
        <v/>
      </c>
      <c r="AB23" s="11">
        <f>IF(AND(ISNUMBER(P23),ISNUMBER(AA23)),ROUND(AA23-P23,1),"")</f>
        <v/>
      </c>
      <c r="AC23" s="10" t="n"/>
      <c r="AD23" s="10" t="n"/>
      <c r="AE23" s="10" t="n"/>
      <c r="AF23" s="10" t="n"/>
      <c r="AG23" s="10" t="n"/>
      <c r="AH23" s="10" t="n"/>
      <c r="AI23" s="11">
        <f>COUNTIF(AC23:AH23,"B")+COUNTIF(AC23:AH23,"D")+COUNTIF(AC23:AH23,"S")+COUNTIF(AC23:AH23,"E")</f>
        <v/>
      </c>
      <c r="AJ23" s="11">
        <f>IF(COUNTA(AC23:AH23)=0,"",IF(AI23&lt;5,"Check",IF(COUNTIF(AC23:AH23,"E")&gt;=4,"Gold",IF(COUNTIF(AC23:AH23,"E")+COUNTIF(AC23:AH23,"S")&gt;=4,"Silver",IF(COUNTIF(AC23:AH23,"E")+COUNTIF(AC23:AH23,"S")+COUNTIF(AC23:AH23,"D")&gt;=4,"Bronze","Participation")))))</f>
        <v/>
      </c>
      <c r="AK23" s="11">
        <f>IF(AND(ISNUMBER(T23),T23&gt;=1,T23=MAX($T$2:$T$25)),"Y","")</f>
        <v/>
      </c>
      <c r="AL23" s="10" t="n"/>
      <c r="AM23" s="9" t="n"/>
    </row>
    <row r="24">
      <c r="A24" s="8" t="n">
        <v>23</v>
      </c>
      <c r="B24" s="9" t="n"/>
      <c r="C24" s="9" t="n"/>
      <c r="D24" s="10" t="n"/>
      <c r="E24" s="10" t="n"/>
      <c r="F24" s="10" t="n"/>
      <c r="G24" s="10" t="n"/>
      <c r="H24" s="9" t="n"/>
      <c r="I24" s="10" t="n"/>
      <c r="J24" s="10" t="n"/>
      <c r="K24" s="10" t="n"/>
      <c r="L24" s="10" t="n"/>
      <c r="M24" s="10" t="n"/>
      <c r="N24" s="10" t="n"/>
      <c r="O24" s="10" t="n"/>
      <c r="P24" s="11">
        <f>IF(COUNT(J24:O24)=0,"",ROUND(AVERAGE(J24:O24),1))</f>
        <v/>
      </c>
      <c r="Q24" s="10" t="n"/>
      <c r="R24" s="11">
        <f>IF(Q24="","",ROUND(Q24/12*100,0))</f>
        <v/>
      </c>
      <c r="S24" s="10" t="n"/>
      <c r="T24" s="11">
        <f>IF(AND(ISNUMBER(I24),ISNUMBER(S24)),S24-I24,"")</f>
        <v/>
      </c>
      <c r="U24" s="10" t="n"/>
      <c r="V24" s="10" t="n"/>
      <c r="W24" s="10" t="n"/>
      <c r="X24" s="10" t="n"/>
      <c r="Y24" s="10" t="n"/>
      <c r="Z24" s="10" t="n"/>
      <c r="AA24" s="11">
        <f>IF(COUNT(U24:Z24)=0,"",ROUND(AVERAGE(U24:Z24),1))</f>
        <v/>
      </c>
      <c r="AB24" s="11">
        <f>IF(AND(ISNUMBER(P24),ISNUMBER(AA24)),ROUND(AA24-P24,1),"")</f>
        <v/>
      </c>
      <c r="AC24" s="10" t="n"/>
      <c r="AD24" s="10" t="n"/>
      <c r="AE24" s="10" t="n"/>
      <c r="AF24" s="10" t="n"/>
      <c r="AG24" s="10" t="n"/>
      <c r="AH24" s="10" t="n"/>
      <c r="AI24" s="11">
        <f>COUNTIF(AC24:AH24,"B")+COUNTIF(AC24:AH24,"D")+COUNTIF(AC24:AH24,"S")+COUNTIF(AC24:AH24,"E")</f>
        <v/>
      </c>
      <c r="AJ24" s="11">
        <f>IF(COUNTA(AC24:AH24)=0,"",IF(AI24&lt;5,"Check",IF(COUNTIF(AC24:AH24,"E")&gt;=4,"Gold",IF(COUNTIF(AC24:AH24,"E")+COUNTIF(AC24:AH24,"S")&gt;=4,"Silver",IF(COUNTIF(AC24:AH24,"E")+COUNTIF(AC24:AH24,"S")+COUNTIF(AC24:AH24,"D")&gt;=4,"Bronze","Participation")))))</f>
        <v/>
      </c>
      <c r="AK24" s="11">
        <f>IF(AND(ISNUMBER(T24),T24&gt;=1,T24=MAX($T$2:$T$25)),"Y","")</f>
        <v/>
      </c>
      <c r="AL24" s="10" t="n"/>
      <c r="AM24" s="9" t="n"/>
    </row>
    <row r="25">
      <c r="A25" s="8" t="n">
        <v>24</v>
      </c>
      <c r="B25" s="9" t="n"/>
      <c r="C25" s="9" t="n"/>
      <c r="D25" s="10" t="n"/>
      <c r="E25" s="10" t="n"/>
      <c r="F25" s="10" t="n"/>
      <c r="G25" s="10" t="n"/>
      <c r="H25" s="9" t="n"/>
      <c r="I25" s="10" t="n"/>
      <c r="J25" s="10" t="n"/>
      <c r="K25" s="10" t="n"/>
      <c r="L25" s="10" t="n"/>
      <c r="M25" s="10" t="n"/>
      <c r="N25" s="10" t="n"/>
      <c r="O25" s="10" t="n"/>
      <c r="P25" s="11">
        <f>IF(COUNT(J25:O25)=0,"",ROUND(AVERAGE(J25:O25),1))</f>
        <v/>
      </c>
      <c r="Q25" s="10" t="n"/>
      <c r="R25" s="11">
        <f>IF(Q25="","",ROUND(Q25/12*100,0))</f>
        <v/>
      </c>
      <c r="S25" s="10" t="n"/>
      <c r="T25" s="11">
        <f>IF(AND(ISNUMBER(I25),ISNUMBER(S25)),S25-I25,"")</f>
        <v/>
      </c>
      <c r="U25" s="10" t="n"/>
      <c r="V25" s="10" t="n"/>
      <c r="W25" s="10" t="n"/>
      <c r="X25" s="10" t="n"/>
      <c r="Y25" s="10" t="n"/>
      <c r="Z25" s="10" t="n"/>
      <c r="AA25" s="11">
        <f>IF(COUNT(U25:Z25)=0,"",ROUND(AVERAGE(U25:Z25),1))</f>
        <v/>
      </c>
      <c r="AB25" s="11">
        <f>IF(AND(ISNUMBER(P25),ISNUMBER(AA25)),ROUND(AA25-P25,1),"")</f>
        <v/>
      </c>
      <c r="AC25" s="10" t="n"/>
      <c r="AD25" s="10" t="n"/>
      <c r="AE25" s="10" t="n"/>
      <c r="AF25" s="10" t="n"/>
      <c r="AG25" s="10" t="n"/>
      <c r="AH25" s="10" t="n"/>
      <c r="AI25" s="11">
        <f>COUNTIF(AC25:AH25,"B")+COUNTIF(AC25:AH25,"D")+COUNTIF(AC25:AH25,"S")+COUNTIF(AC25:AH25,"E")</f>
        <v/>
      </c>
      <c r="AJ25" s="11">
        <f>IF(COUNTA(AC25:AH25)=0,"",IF(AI25&lt;5,"Check",IF(COUNTIF(AC25:AH25,"E")&gt;=4,"Gold",IF(COUNTIF(AC25:AH25,"E")+COUNTIF(AC25:AH25,"S")&gt;=4,"Silver",IF(COUNTIF(AC25:AH25,"E")+COUNTIF(AC25:AH25,"S")+COUNTIF(AC25:AH25,"D")&gt;=4,"Bronze","Participation")))))</f>
        <v/>
      </c>
      <c r="AK25" s="11">
        <f>IF(AND(ISNUMBER(T25),T25&gt;=1,T25=MAX($T$2:$T$25)),"Y","")</f>
        <v/>
      </c>
      <c r="AL25" s="10" t="n"/>
      <c r="AM25" s="9" t="n"/>
    </row>
  </sheetData>
  <conditionalFormatting sqref="T2:T25">
    <cfRule type="expression" priority="1" dxfId="0">
      <formula>AND(ISNUMBER(T2),T2&gt;=4)</formula>
    </cfRule>
    <cfRule type="expression" priority="2" dxfId="1">
      <formula>AND(ISNUMBER(T2),T2&lt;0)</formula>
    </cfRule>
  </conditionalFormatting>
  <conditionalFormatting sqref="R2:R25">
    <cfRule type="expression" priority="3" dxfId="2">
      <formula>AND(ISNUMBER(R2),R2&lt;40)</formula>
    </cfRule>
  </conditionalFormatting>
  <conditionalFormatting sqref="AB2:AB25">
    <cfRule type="expression" priority="4" dxfId="0">
      <formula>AND(ISNUMBER(AB2),AB2&gt;=0.5)</formula>
    </cfRule>
    <cfRule type="expression" priority="5" dxfId="3">
      <formula>AND(ISNUMBER(AB2),AB2&lt;=-0.5)</formula>
    </cfRule>
  </conditionalFormatting>
  <conditionalFormatting sqref="AJ2:AJ25">
    <cfRule type="expression" priority="6" dxfId="0">
      <formula>AJ2="Check"</formula>
    </cfRule>
  </conditionalFormatting>
  <dataValidations count="7">
    <dataValidation sqref="I2:I25 S2:S25" showDropDown="0" showInputMessage="0" showErrorMessage="1" allowBlank="1" errorTitle="Skills check" error="Enter a whole number from 0 to 20. Leave blank if absent." type="whole" operator="between">
      <formula1>0</formula1>
      <formula2>20</formula2>
    </dataValidation>
    <dataValidation sqref="Q2:Q25" showDropDown="0" showInputMessage="0" showErrorMessage="1" allowBlank="1" errorTitle="Checkpoint" error="Enter a whole number from 0 to 12." type="whole" operator="between">
      <formula1>0</formula1>
      <formula2>12</formula2>
    </dataValidation>
    <dataValidation sqref="J2:J25 K2:K25 L2:L25 M2:M25 N2:N25 O2:O25 U2:U25 V2:V25 W2:W25 X2:X25 Y2:Y25 Z2:Z25" showDropDown="0" showInputMessage="0" showErrorMessage="1" allowBlank="1" errorTitle="Survey" error="Enter 1 to 5." type="whole" operator="between">
      <formula1>1</formula1>
      <formula2>5</formula2>
    </dataValidation>
    <dataValidation sqref="AC2:AC25 AD2:AD25 AE2:AE25 AF2:AF25 AG2:AG25 AH2:AH25" showDropDown="0" showInputMessage="0" showErrorMessage="1" allowBlank="1" errorTitle="Rubric level" error="Choose B, D, S, E or N." type="list">
      <formula1>Lists!$A$2:$A$6</formula1>
    </dataValidation>
    <dataValidation sqref="E2:E25" showDropDown="0" showInputMessage="0" showErrorMessage="1" allowBlank="1" error="Choose a role from the list." type="list">
      <formula1>Lists!$B$2:$B$6</formula1>
    </dataValidation>
    <dataValidation sqref="AL2:AL25" showDropDown="0" showInputMessage="0" showErrorMessage="1" allowBlank="1" error="Type Y or leave blank." type="list">
      <formula1>Lists!$C$2:$C$2</formula1>
    </dataValidation>
    <dataValidation sqref="G2:G25" showDropDown="0" showInputMessage="0" showErrorMessage="1" allowBlank="1" errorTitle="Language band" error="Enter 1, 2 or 3 (see Teacher Guide Section 4) or leave blank." type="list">
      <formula1>Lists!$D$2:$D$4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9" customWidth="1" min="4" max="4"/>
    <col width="11" customWidth="1" min="5" max="5"/>
    <col width="10" customWidth="1" min="6" max="6"/>
    <col width="12" customWidth="1" min="7" max="7"/>
    <col width="14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8.5" customWidth="1" min="35" max="35"/>
    <col width="8.5" customWidth="1" min="36" max="36"/>
    <col width="8.5" customWidth="1" min="37" max="37"/>
    <col width="8.5" customWidth="1" min="38" max="38"/>
    <col width="40" customWidth="1" min="39" max="39"/>
  </cols>
  <sheetData>
    <row r="1" ht="66" customHeight="1">
      <c r="A1" s="7" t="inlineStr">
        <is>
          <t>No.</t>
        </is>
      </c>
      <c r="B1" s="7" t="inlineStr">
        <is>
          <t>Student name (English)</t>
        </is>
      </c>
      <c r="C1" s="7" t="inlineStr">
        <is>
          <t>中文姓名</t>
        </is>
      </c>
      <c r="D1" s="7" t="inlineStr">
        <is>
          <t>Group W1 to 5</t>
        </is>
      </c>
      <c r="E1" s="7" t="inlineStr">
        <is>
          <t>Role W1 to 5</t>
        </is>
      </c>
      <c r="F1" s="7" t="inlineStr">
        <is>
          <t>Project group W6 to 10</t>
        </is>
      </c>
      <c r="G1" s="7" t="inlineStr">
        <is>
          <t>Language band (1, 2 or 3)</t>
        </is>
      </c>
      <c r="H1" s="7" t="inlineStr">
        <is>
          <t>Access arrangement</t>
        </is>
      </c>
      <c r="I1" s="7" t="inlineStr">
        <is>
          <t>W1 skills check (/20)</t>
        </is>
      </c>
      <c r="J1" s="7" t="inlineStr">
        <is>
          <t>W1 survey S1</t>
        </is>
      </c>
      <c r="K1" s="7" t="inlineStr">
        <is>
          <t>W1 survey S2</t>
        </is>
      </c>
      <c r="L1" s="7" t="inlineStr">
        <is>
          <t>W1 survey S3</t>
        </is>
      </c>
      <c r="M1" s="7" t="inlineStr">
        <is>
          <t>W1 survey S4</t>
        </is>
      </c>
      <c r="N1" s="7" t="inlineStr">
        <is>
          <t>W1 survey S5</t>
        </is>
      </c>
      <c r="O1" s="7" t="inlineStr">
        <is>
          <t>W1 survey S6</t>
        </is>
      </c>
      <c r="P1" s="7" t="inlineStr">
        <is>
          <t>W1 survey mean</t>
        </is>
      </c>
      <c r="Q1" s="7" t="inlineStr">
        <is>
          <t>W5 checkpoint (/12)</t>
        </is>
      </c>
      <c r="R1" s="7" t="inlineStr">
        <is>
          <t>W5 checkpoint %</t>
        </is>
      </c>
      <c r="S1" s="7" t="inlineStr">
        <is>
          <t>W10 skills check (/20)</t>
        </is>
      </c>
      <c r="T1" s="7" t="inlineStr">
        <is>
          <t>Growth</t>
        </is>
      </c>
      <c r="U1" s="7" t="inlineStr">
        <is>
          <t>W10 survey S1</t>
        </is>
      </c>
      <c r="V1" s="7" t="inlineStr">
        <is>
          <t>W10 survey S2</t>
        </is>
      </c>
      <c r="W1" s="7" t="inlineStr">
        <is>
          <t>W10 survey S3</t>
        </is>
      </c>
      <c r="X1" s="7" t="inlineStr">
        <is>
          <t>W10 survey S4</t>
        </is>
      </c>
      <c r="Y1" s="7" t="inlineStr">
        <is>
          <t>W10 survey S5</t>
        </is>
      </c>
      <c r="Z1" s="7" t="inlineStr">
        <is>
          <t>W10 survey S6</t>
        </is>
      </c>
      <c r="AA1" s="7" t="inlineStr">
        <is>
          <t>W10 survey mean</t>
        </is>
      </c>
      <c r="AB1" s="7" t="inlineStr">
        <is>
          <t>Survey change</t>
        </is>
      </c>
      <c r="AC1" s="7" t="inlineStr">
        <is>
          <t>Strand 1 Questioning and predicting 提问与预测</t>
        </is>
      </c>
      <c r="AD1" s="7" t="inlineStr">
        <is>
          <t>Strand 2 Planning 计划设计</t>
        </is>
      </c>
      <c r="AE1" s="7" t="inlineStr">
        <is>
          <t>Strand 3 Doing and recording 实施与记录</t>
        </is>
      </c>
      <c r="AF1" s="7" t="inlineStr">
        <is>
          <t>Strand 4 Analysing and concluding 分析与结论</t>
        </is>
      </c>
      <c r="AG1" s="7" t="inlineStr">
        <is>
          <t>Strand 5 Evaluating and critical thinking 评价与批判性思维</t>
        </is>
      </c>
      <c r="AH1" s="7" t="inlineStr">
        <is>
          <t>Strand 6 Communicating 表达与交流</t>
        </is>
      </c>
      <c r="AI1" s="7" t="inlineStr">
        <is>
          <t>Strands judged</t>
        </is>
      </c>
      <c r="AJ1" s="7" t="inlineStr">
        <is>
          <t>Award</t>
        </is>
      </c>
      <c r="AK1" s="7" t="inlineStr">
        <is>
          <t>Most Improved</t>
        </is>
      </c>
      <c r="AL1" s="7" t="inlineStr">
        <is>
          <t>Certificate printed</t>
        </is>
      </c>
      <c r="AM1" s="7" t="inlineStr">
        <is>
          <t>Notes</t>
        </is>
      </c>
    </row>
    <row r="2">
      <c r="A2" s="8" t="n">
        <v>1</v>
      </c>
      <c r="B2" s="9" t="n"/>
      <c r="C2" s="9" t="n"/>
      <c r="D2" s="10" t="n"/>
      <c r="E2" s="10" t="n"/>
      <c r="F2" s="10" t="n"/>
      <c r="G2" s="10" t="n"/>
      <c r="H2" s="9" t="n"/>
      <c r="I2" s="10" t="n"/>
      <c r="J2" s="10" t="n"/>
      <c r="K2" s="10" t="n"/>
      <c r="L2" s="10" t="n"/>
      <c r="M2" s="10" t="n"/>
      <c r="N2" s="10" t="n"/>
      <c r="O2" s="10" t="n"/>
      <c r="P2" s="11">
        <f>IF(COUNT(J2:O2)=0,"",ROUND(AVERAGE(J2:O2),1))</f>
        <v/>
      </c>
      <c r="Q2" s="10" t="n"/>
      <c r="R2" s="11">
        <f>IF(Q2="","",ROUND(Q2/12*100,0))</f>
        <v/>
      </c>
      <c r="S2" s="10" t="n"/>
      <c r="T2" s="11">
        <f>IF(AND(ISNUMBER(I2),ISNUMBER(S2)),S2-I2,"")</f>
        <v/>
      </c>
      <c r="U2" s="10" t="n"/>
      <c r="V2" s="10" t="n"/>
      <c r="W2" s="10" t="n"/>
      <c r="X2" s="10" t="n"/>
      <c r="Y2" s="10" t="n"/>
      <c r="Z2" s="10" t="n"/>
      <c r="AA2" s="11">
        <f>IF(COUNT(U2:Z2)=0,"",ROUND(AVERAGE(U2:Z2),1))</f>
        <v/>
      </c>
      <c r="AB2" s="11">
        <f>IF(AND(ISNUMBER(P2),ISNUMBER(AA2)),ROUND(AA2-P2,1),"")</f>
        <v/>
      </c>
      <c r="AC2" s="10" t="n"/>
      <c r="AD2" s="10" t="n"/>
      <c r="AE2" s="10" t="n"/>
      <c r="AF2" s="10" t="n"/>
      <c r="AG2" s="10" t="n"/>
      <c r="AH2" s="10" t="n"/>
      <c r="AI2" s="11">
        <f>COUNTIF(AC2:AH2,"B")+COUNTIF(AC2:AH2,"D")+COUNTIF(AC2:AH2,"S")+COUNTIF(AC2:AH2,"E")</f>
        <v/>
      </c>
      <c r="AJ2" s="11">
        <f>IF(COUNTA(AC2:AH2)=0,"",IF(AI2&lt;5,"Check",IF(COUNTIF(AC2:AH2,"E")&gt;=4,"Gold",IF(COUNTIF(AC2:AH2,"E")+COUNTIF(AC2:AH2,"S")&gt;=4,"Silver",IF(COUNTIF(AC2:AH2,"E")+COUNTIF(AC2:AH2,"S")+COUNTIF(AC2:AH2,"D")&gt;=4,"Bronze","Participation")))))</f>
        <v/>
      </c>
      <c r="AK2" s="11">
        <f>IF(AND(ISNUMBER(T2),T2&gt;=1,T2=MAX($T$2:$T$25)),"Y","")</f>
        <v/>
      </c>
      <c r="AL2" s="10" t="n"/>
      <c r="AM2" s="9" t="n"/>
    </row>
    <row r="3">
      <c r="A3" s="8" t="n">
        <v>2</v>
      </c>
      <c r="B3" s="9" t="n"/>
      <c r="C3" s="9" t="n"/>
      <c r="D3" s="10" t="n"/>
      <c r="E3" s="10" t="n"/>
      <c r="F3" s="10" t="n"/>
      <c r="G3" s="10" t="n"/>
      <c r="H3" s="9" t="n"/>
      <c r="I3" s="10" t="n"/>
      <c r="J3" s="10" t="n"/>
      <c r="K3" s="10" t="n"/>
      <c r="L3" s="10" t="n"/>
      <c r="M3" s="10" t="n"/>
      <c r="N3" s="10" t="n"/>
      <c r="O3" s="10" t="n"/>
      <c r="P3" s="11">
        <f>IF(COUNT(J3:O3)=0,"",ROUND(AVERAGE(J3:O3),1))</f>
        <v/>
      </c>
      <c r="Q3" s="10" t="n"/>
      <c r="R3" s="11">
        <f>IF(Q3="","",ROUND(Q3/12*100,0))</f>
        <v/>
      </c>
      <c r="S3" s="10" t="n"/>
      <c r="T3" s="11">
        <f>IF(AND(ISNUMBER(I3),ISNUMBER(S3)),S3-I3,"")</f>
        <v/>
      </c>
      <c r="U3" s="10" t="n"/>
      <c r="V3" s="10" t="n"/>
      <c r="W3" s="10" t="n"/>
      <c r="X3" s="10" t="n"/>
      <c r="Y3" s="10" t="n"/>
      <c r="Z3" s="10" t="n"/>
      <c r="AA3" s="11">
        <f>IF(COUNT(U3:Z3)=0,"",ROUND(AVERAGE(U3:Z3),1))</f>
        <v/>
      </c>
      <c r="AB3" s="11">
        <f>IF(AND(ISNUMBER(P3),ISNUMBER(AA3)),ROUND(AA3-P3,1),"")</f>
        <v/>
      </c>
      <c r="AC3" s="10" t="n"/>
      <c r="AD3" s="10" t="n"/>
      <c r="AE3" s="10" t="n"/>
      <c r="AF3" s="10" t="n"/>
      <c r="AG3" s="10" t="n"/>
      <c r="AH3" s="10" t="n"/>
      <c r="AI3" s="11">
        <f>COUNTIF(AC3:AH3,"B")+COUNTIF(AC3:AH3,"D")+COUNTIF(AC3:AH3,"S")+COUNTIF(AC3:AH3,"E")</f>
        <v/>
      </c>
      <c r="AJ3" s="11">
        <f>IF(COUNTA(AC3:AH3)=0,"",IF(AI3&lt;5,"Check",IF(COUNTIF(AC3:AH3,"E")&gt;=4,"Gold",IF(COUNTIF(AC3:AH3,"E")+COUNTIF(AC3:AH3,"S")&gt;=4,"Silver",IF(COUNTIF(AC3:AH3,"E")+COUNTIF(AC3:AH3,"S")+COUNTIF(AC3:AH3,"D")&gt;=4,"Bronze","Participation")))))</f>
        <v/>
      </c>
      <c r="AK3" s="11">
        <f>IF(AND(ISNUMBER(T3),T3&gt;=1,T3=MAX($T$2:$T$25)),"Y","")</f>
        <v/>
      </c>
      <c r="AL3" s="10" t="n"/>
      <c r="AM3" s="9" t="n"/>
    </row>
    <row r="4">
      <c r="A4" s="8" t="n">
        <v>3</v>
      </c>
      <c r="B4" s="9" t="n"/>
      <c r="C4" s="9" t="n"/>
      <c r="D4" s="10" t="n"/>
      <c r="E4" s="10" t="n"/>
      <c r="F4" s="10" t="n"/>
      <c r="G4" s="10" t="n"/>
      <c r="H4" s="9" t="n"/>
      <c r="I4" s="10" t="n"/>
      <c r="J4" s="10" t="n"/>
      <c r="K4" s="10" t="n"/>
      <c r="L4" s="10" t="n"/>
      <c r="M4" s="10" t="n"/>
      <c r="N4" s="10" t="n"/>
      <c r="O4" s="10" t="n"/>
      <c r="P4" s="11">
        <f>IF(COUNT(J4:O4)=0,"",ROUND(AVERAGE(J4:O4),1))</f>
        <v/>
      </c>
      <c r="Q4" s="10" t="n"/>
      <c r="R4" s="11">
        <f>IF(Q4="","",ROUND(Q4/12*100,0))</f>
        <v/>
      </c>
      <c r="S4" s="10" t="n"/>
      <c r="T4" s="11">
        <f>IF(AND(ISNUMBER(I4),ISNUMBER(S4)),S4-I4,"")</f>
        <v/>
      </c>
      <c r="U4" s="10" t="n"/>
      <c r="V4" s="10" t="n"/>
      <c r="W4" s="10" t="n"/>
      <c r="X4" s="10" t="n"/>
      <c r="Y4" s="10" t="n"/>
      <c r="Z4" s="10" t="n"/>
      <c r="AA4" s="11">
        <f>IF(COUNT(U4:Z4)=0,"",ROUND(AVERAGE(U4:Z4),1))</f>
        <v/>
      </c>
      <c r="AB4" s="11">
        <f>IF(AND(ISNUMBER(P4),ISNUMBER(AA4)),ROUND(AA4-P4,1),"")</f>
        <v/>
      </c>
      <c r="AC4" s="10" t="n"/>
      <c r="AD4" s="10" t="n"/>
      <c r="AE4" s="10" t="n"/>
      <c r="AF4" s="10" t="n"/>
      <c r="AG4" s="10" t="n"/>
      <c r="AH4" s="10" t="n"/>
      <c r="AI4" s="11">
        <f>COUNTIF(AC4:AH4,"B")+COUNTIF(AC4:AH4,"D")+COUNTIF(AC4:AH4,"S")+COUNTIF(AC4:AH4,"E")</f>
        <v/>
      </c>
      <c r="AJ4" s="11">
        <f>IF(COUNTA(AC4:AH4)=0,"",IF(AI4&lt;5,"Check",IF(COUNTIF(AC4:AH4,"E")&gt;=4,"Gold",IF(COUNTIF(AC4:AH4,"E")+COUNTIF(AC4:AH4,"S")&gt;=4,"Silver",IF(COUNTIF(AC4:AH4,"E")+COUNTIF(AC4:AH4,"S")+COUNTIF(AC4:AH4,"D")&gt;=4,"Bronze","Participation")))))</f>
        <v/>
      </c>
      <c r="AK4" s="11">
        <f>IF(AND(ISNUMBER(T4),T4&gt;=1,T4=MAX($T$2:$T$25)),"Y","")</f>
        <v/>
      </c>
      <c r="AL4" s="10" t="n"/>
      <c r="AM4" s="9" t="n"/>
    </row>
    <row r="5">
      <c r="A5" s="8" t="n">
        <v>4</v>
      </c>
      <c r="B5" s="9" t="n"/>
      <c r="C5" s="9" t="n"/>
      <c r="D5" s="10" t="n"/>
      <c r="E5" s="10" t="n"/>
      <c r="F5" s="10" t="n"/>
      <c r="G5" s="10" t="n"/>
      <c r="H5" s="9" t="n"/>
      <c r="I5" s="10" t="n"/>
      <c r="J5" s="10" t="n"/>
      <c r="K5" s="10" t="n"/>
      <c r="L5" s="10" t="n"/>
      <c r="M5" s="10" t="n"/>
      <c r="N5" s="10" t="n"/>
      <c r="O5" s="10" t="n"/>
      <c r="P5" s="11">
        <f>IF(COUNT(J5:O5)=0,"",ROUND(AVERAGE(J5:O5),1))</f>
        <v/>
      </c>
      <c r="Q5" s="10" t="n"/>
      <c r="R5" s="11">
        <f>IF(Q5="","",ROUND(Q5/12*100,0))</f>
        <v/>
      </c>
      <c r="S5" s="10" t="n"/>
      <c r="T5" s="11">
        <f>IF(AND(ISNUMBER(I5),ISNUMBER(S5)),S5-I5,"")</f>
        <v/>
      </c>
      <c r="U5" s="10" t="n"/>
      <c r="V5" s="10" t="n"/>
      <c r="W5" s="10" t="n"/>
      <c r="X5" s="10" t="n"/>
      <c r="Y5" s="10" t="n"/>
      <c r="Z5" s="10" t="n"/>
      <c r="AA5" s="11">
        <f>IF(COUNT(U5:Z5)=0,"",ROUND(AVERAGE(U5:Z5),1))</f>
        <v/>
      </c>
      <c r="AB5" s="11">
        <f>IF(AND(ISNUMBER(P5),ISNUMBER(AA5)),ROUND(AA5-P5,1),"")</f>
        <v/>
      </c>
      <c r="AC5" s="10" t="n"/>
      <c r="AD5" s="10" t="n"/>
      <c r="AE5" s="10" t="n"/>
      <c r="AF5" s="10" t="n"/>
      <c r="AG5" s="10" t="n"/>
      <c r="AH5" s="10" t="n"/>
      <c r="AI5" s="11">
        <f>COUNTIF(AC5:AH5,"B")+COUNTIF(AC5:AH5,"D")+COUNTIF(AC5:AH5,"S")+COUNTIF(AC5:AH5,"E")</f>
        <v/>
      </c>
      <c r="AJ5" s="11">
        <f>IF(COUNTA(AC5:AH5)=0,"",IF(AI5&lt;5,"Check",IF(COUNTIF(AC5:AH5,"E")&gt;=4,"Gold",IF(COUNTIF(AC5:AH5,"E")+COUNTIF(AC5:AH5,"S")&gt;=4,"Silver",IF(COUNTIF(AC5:AH5,"E")+COUNTIF(AC5:AH5,"S")+COUNTIF(AC5:AH5,"D")&gt;=4,"Bronze","Participation")))))</f>
        <v/>
      </c>
      <c r="AK5" s="11">
        <f>IF(AND(ISNUMBER(T5),T5&gt;=1,T5=MAX($T$2:$T$25)),"Y","")</f>
        <v/>
      </c>
      <c r="AL5" s="10" t="n"/>
      <c r="AM5" s="9" t="n"/>
    </row>
    <row r="6">
      <c r="A6" s="8" t="n">
        <v>5</v>
      </c>
      <c r="B6" s="9" t="n"/>
      <c r="C6" s="9" t="n"/>
      <c r="D6" s="10" t="n"/>
      <c r="E6" s="10" t="n"/>
      <c r="F6" s="10" t="n"/>
      <c r="G6" s="10" t="n"/>
      <c r="H6" s="9" t="n"/>
      <c r="I6" s="10" t="n"/>
      <c r="J6" s="10" t="n"/>
      <c r="K6" s="10" t="n"/>
      <c r="L6" s="10" t="n"/>
      <c r="M6" s="10" t="n"/>
      <c r="N6" s="10" t="n"/>
      <c r="O6" s="10" t="n"/>
      <c r="P6" s="11">
        <f>IF(COUNT(J6:O6)=0,"",ROUND(AVERAGE(J6:O6),1))</f>
        <v/>
      </c>
      <c r="Q6" s="10" t="n"/>
      <c r="R6" s="11">
        <f>IF(Q6="","",ROUND(Q6/12*100,0))</f>
        <v/>
      </c>
      <c r="S6" s="10" t="n"/>
      <c r="T6" s="11">
        <f>IF(AND(ISNUMBER(I6),ISNUMBER(S6)),S6-I6,"")</f>
        <v/>
      </c>
      <c r="U6" s="10" t="n"/>
      <c r="V6" s="10" t="n"/>
      <c r="W6" s="10" t="n"/>
      <c r="X6" s="10" t="n"/>
      <c r="Y6" s="10" t="n"/>
      <c r="Z6" s="10" t="n"/>
      <c r="AA6" s="11">
        <f>IF(COUNT(U6:Z6)=0,"",ROUND(AVERAGE(U6:Z6),1))</f>
        <v/>
      </c>
      <c r="AB6" s="11">
        <f>IF(AND(ISNUMBER(P6),ISNUMBER(AA6)),ROUND(AA6-P6,1),"")</f>
        <v/>
      </c>
      <c r="AC6" s="10" t="n"/>
      <c r="AD6" s="10" t="n"/>
      <c r="AE6" s="10" t="n"/>
      <c r="AF6" s="10" t="n"/>
      <c r="AG6" s="10" t="n"/>
      <c r="AH6" s="10" t="n"/>
      <c r="AI6" s="11">
        <f>COUNTIF(AC6:AH6,"B")+COUNTIF(AC6:AH6,"D")+COUNTIF(AC6:AH6,"S")+COUNTIF(AC6:AH6,"E")</f>
        <v/>
      </c>
      <c r="AJ6" s="11">
        <f>IF(COUNTA(AC6:AH6)=0,"",IF(AI6&lt;5,"Check",IF(COUNTIF(AC6:AH6,"E")&gt;=4,"Gold",IF(COUNTIF(AC6:AH6,"E")+COUNTIF(AC6:AH6,"S")&gt;=4,"Silver",IF(COUNTIF(AC6:AH6,"E")+COUNTIF(AC6:AH6,"S")+COUNTIF(AC6:AH6,"D")&gt;=4,"Bronze","Participation")))))</f>
        <v/>
      </c>
      <c r="AK6" s="11">
        <f>IF(AND(ISNUMBER(T6),T6&gt;=1,T6=MAX($T$2:$T$25)),"Y","")</f>
        <v/>
      </c>
      <c r="AL6" s="10" t="n"/>
      <c r="AM6" s="9" t="n"/>
    </row>
    <row r="7">
      <c r="A7" s="8" t="n">
        <v>6</v>
      </c>
      <c r="B7" s="9" t="n"/>
      <c r="C7" s="9" t="n"/>
      <c r="D7" s="10" t="n"/>
      <c r="E7" s="10" t="n"/>
      <c r="F7" s="10" t="n"/>
      <c r="G7" s="10" t="n"/>
      <c r="H7" s="9" t="n"/>
      <c r="I7" s="10" t="n"/>
      <c r="J7" s="10" t="n"/>
      <c r="K7" s="10" t="n"/>
      <c r="L7" s="10" t="n"/>
      <c r="M7" s="10" t="n"/>
      <c r="N7" s="10" t="n"/>
      <c r="O7" s="10" t="n"/>
      <c r="P7" s="11">
        <f>IF(COUNT(J7:O7)=0,"",ROUND(AVERAGE(J7:O7),1))</f>
        <v/>
      </c>
      <c r="Q7" s="10" t="n"/>
      <c r="R7" s="11">
        <f>IF(Q7="","",ROUND(Q7/12*100,0))</f>
        <v/>
      </c>
      <c r="S7" s="10" t="n"/>
      <c r="T7" s="11">
        <f>IF(AND(ISNUMBER(I7),ISNUMBER(S7)),S7-I7,"")</f>
        <v/>
      </c>
      <c r="U7" s="10" t="n"/>
      <c r="V7" s="10" t="n"/>
      <c r="W7" s="10" t="n"/>
      <c r="X7" s="10" t="n"/>
      <c r="Y7" s="10" t="n"/>
      <c r="Z7" s="10" t="n"/>
      <c r="AA7" s="11">
        <f>IF(COUNT(U7:Z7)=0,"",ROUND(AVERAGE(U7:Z7),1))</f>
        <v/>
      </c>
      <c r="AB7" s="11">
        <f>IF(AND(ISNUMBER(P7),ISNUMBER(AA7)),ROUND(AA7-P7,1),"")</f>
        <v/>
      </c>
      <c r="AC7" s="10" t="n"/>
      <c r="AD7" s="10" t="n"/>
      <c r="AE7" s="10" t="n"/>
      <c r="AF7" s="10" t="n"/>
      <c r="AG7" s="10" t="n"/>
      <c r="AH7" s="10" t="n"/>
      <c r="AI7" s="11">
        <f>COUNTIF(AC7:AH7,"B")+COUNTIF(AC7:AH7,"D")+COUNTIF(AC7:AH7,"S")+COUNTIF(AC7:AH7,"E")</f>
        <v/>
      </c>
      <c r="AJ7" s="11">
        <f>IF(COUNTA(AC7:AH7)=0,"",IF(AI7&lt;5,"Check",IF(COUNTIF(AC7:AH7,"E")&gt;=4,"Gold",IF(COUNTIF(AC7:AH7,"E")+COUNTIF(AC7:AH7,"S")&gt;=4,"Silver",IF(COUNTIF(AC7:AH7,"E")+COUNTIF(AC7:AH7,"S")+COUNTIF(AC7:AH7,"D")&gt;=4,"Bronze","Participation")))))</f>
        <v/>
      </c>
      <c r="AK7" s="11">
        <f>IF(AND(ISNUMBER(T7),T7&gt;=1,T7=MAX($T$2:$T$25)),"Y","")</f>
        <v/>
      </c>
      <c r="AL7" s="10" t="n"/>
      <c r="AM7" s="9" t="n"/>
    </row>
    <row r="8">
      <c r="A8" s="8" t="n">
        <v>7</v>
      </c>
      <c r="B8" s="9" t="n"/>
      <c r="C8" s="9" t="n"/>
      <c r="D8" s="10" t="n"/>
      <c r="E8" s="10" t="n"/>
      <c r="F8" s="10" t="n"/>
      <c r="G8" s="10" t="n"/>
      <c r="H8" s="9" t="n"/>
      <c r="I8" s="10" t="n"/>
      <c r="J8" s="10" t="n"/>
      <c r="K8" s="10" t="n"/>
      <c r="L8" s="10" t="n"/>
      <c r="M8" s="10" t="n"/>
      <c r="N8" s="10" t="n"/>
      <c r="O8" s="10" t="n"/>
      <c r="P8" s="11">
        <f>IF(COUNT(J8:O8)=0,"",ROUND(AVERAGE(J8:O8),1))</f>
        <v/>
      </c>
      <c r="Q8" s="10" t="n"/>
      <c r="R8" s="11">
        <f>IF(Q8="","",ROUND(Q8/12*100,0))</f>
        <v/>
      </c>
      <c r="S8" s="10" t="n"/>
      <c r="T8" s="11">
        <f>IF(AND(ISNUMBER(I8),ISNUMBER(S8)),S8-I8,"")</f>
        <v/>
      </c>
      <c r="U8" s="10" t="n"/>
      <c r="V8" s="10" t="n"/>
      <c r="W8" s="10" t="n"/>
      <c r="X8" s="10" t="n"/>
      <c r="Y8" s="10" t="n"/>
      <c r="Z8" s="10" t="n"/>
      <c r="AA8" s="11">
        <f>IF(COUNT(U8:Z8)=0,"",ROUND(AVERAGE(U8:Z8),1))</f>
        <v/>
      </c>
      <c r="AB8" s="11">
        <f>IF(AND(ISNUMBER(P8),ISNUMBER(AA8)),ROUND(AA8-P8,1),"")</f>
        <v/>
      </c>
      <c r="AC8" s="10" t="n"/>
      <c r="AD8" s="10" t="n"/>
      <c r="AE8" s="10" t="n"/>
      <c r="AF8" s="10" t="n"/>
      <c r="AG8" s="10" t="n"/>
      <c r="AH8" s="10" t="n"/>
      <c r="AI8" s="11">
        <f>COUNTIF(AC8:AH8,"B")+COUNTIF(AC8:AH8,"D")+COUNTIF(AC8:AH8,"S")+COUNTIF(AC8:AH8,"E")</f>
        <v/>
      </c>
      <c r="AJ8" s="11">
        <f>IF(COUNTA(AC8:AH8)=0,"",IF(AI8&lt;5,"Check",IF(COUNTIF(AC8:AH8,"E")&gt;=4,"Gold",IF(COUNTIF(AC8:AH8,"E")+COUNTIF(AC8:AH8,"S")&gt;=4,"Silver",IF(COUNTIF(AC8:AH8,"E")+COUNTIF(AC8:AH8,"S")+COUNTIF(AC8:AH8,"D")&gt;=4,"Bronze","Participation")))))</f>
        <v/>
      </c>
      <c r="AK8" s="11">
        <f>IF(AND(ISNUMBER(T8),T8&gt;=1,T8=MAX($T$2:$T$25)),"Y","")</f>
        <v/>
      </c>
      <c r="AL8" s="10" t="n"/>
      <c r="AM8" s="9" t="n"/>
    </row>
    <row r="9">
      <c r="A9" s="8" t="n">
        <v>8</v>
      </c>
      <c r="B9" s="9" t="n"/>
      <c r="C9" s="9" t="n"/>
      <c r="D9" s="10" t="n"/>
      <c r="E9" s="10" t="n"/>
      <c r="F9" s="10" t="n"/>
      <c r="G9" s="10" t="n"/>
      <c r="H9" s="9" t="n"/>
      <c r="I9" s="10" t="n"/>
      <c r="J9" s="10" t="n"/>
      <c r="K9" s="10" t="n"/>
      <c r="L9" s="10" t="n"/>
      <c r="M9" s="10" t="n"/>
      <c r="N9" s="10" t="n"/>
      <c r="O9" s="10" t="n"/>
      <c r="P9" s="11">
        <f>IF(COUNT(J9:O9)=0,"",ROUND(AVERAGE(J9:O9),1))</f>
        <v/>
      </c>
      <c r="Q9" s="10" t="n"/>
      <c r="R9" s="11">
        <f>IF(Q9="","",ROUND(Q9/12*100,0))</f>
        <v/>
      </c>
      <c r="S9" s="10" t="n"/>
      <c r="T9" s="11">
        <f>IF(AND(ISNUMBER(I9),ISNUMBER(S9)),S9-I9,"")</f>
        <v/>
      </c>
      <c r="U9" s="10" t="n"/>
      <c r="V9" s="10" t="n"/>
      <c r="W9" s="10" t="n"/>
      <c r="X9" s="10" t="n"/>
      <c r="Y9" s="10" t="n"/>
      <c r="Z9" s="10" t="n"/>
      <c r="AA9" s="11">
        <f>IF(COUNT(U9:Z9)=0,"",ROUND(AVERAGE(U9:Z9),1))</f>
        <v/>
      </c>
      <c r="AB9" s="11">
        <f>IF(AND(ISNUMBER(P9),ISNUMBER(AA9)),ROUND(AA9-P9,1),"")</f>
        <v/>
      </c>
      <c r="AC9" s="10" t="n"/>
      <c r="AD9" s="10" t="n"/>
      <c r="AE9" s="10" t="n"/>
      <c r="AF9" s="10" t="n"/>
      <c r="AG9" s="10" t="n"/>
      <c r="AH9" s="10" t="n"/>
      <c r="AI9" s="11">
        <f>COUNTIF(AC9:AH9,"B")+COUNTIF(AC9:AH9,"D")+COUNTIF(AC9:AH9,"S")+COUNTIF(AC9:AH9,"E")</f>
        <v/>
      </c>
      <c r="AJ9" s="11">
        <f>IF(COUNTA(AC9:AH9)=0,"",IF(AI9&lt;5,"Check",IF(COUNTIF(AC9:AH9,"E")&gt;=4,"Gold",IF(COUNTIF(AC9:AH9,"E")+COUNTIF(AC9:AH9,"S")&gt;=4,"Silver",IF(COUNTIF(AC9:AH9,"E")+COUNTIF(AC9:AH9,"S")+COUNTIF(AC9:AH9,"D")&gt;=4,"Bronze","Participation")))))</f>
        <v/>
      </c>
      <c r="AK9" s="11">
        <f>IF(AND(ISNUMBER(T9),T9&gt;=1,T9=MAX($T$2:$T$25)),"Y","")</f>
        <v/>
      </c>
      <c r="AL9" s="10" t="n"/>
      <c r="AM9" s="9" t="n"/>
    </row>
    <row r="10">
      <c r="A10" s="8" t="n">
        <v>9</v>
      </c>
      <c r="B10" s="9" t="n"/>
      <c r="C10" s="9" t="n"/>
      <c r="D10" s="10" t="n"/>
      <c r="E10" s="10" t="n"/>
      <c r="F10" s="10" t="n"/>
      <c r="G10" s="10" t="n"/>
      <c r="H10" s="9" t="n"/>
      <c r="I10" s="10" t="n"/>
      <c r="J10" s="10" t="n"/>
      <c r="K10" s="10" t="n"/>
      <c r="L10" s="10" t="n"/>
      <c r="M10" s="10" t="n"/>
      <c r="N10" s="10" t="n"/>
      <c r="O10" s="10" t="n"/>
      <c r="P10" s="11">
        <f>IF(COUNT(J10:O10)=0,"",ROUND(AVERAGE(J10:O10),1))</f>
        <v/>
      </c>
      <c r="Q10" s="10" t="n"/>
      <c r="R10" s="11">
        <f>IF(Q10="","",ROUND(Q10/12*100,0))</f>
        <v/>
      </c>
      <c r="S10" s="10" t="n"/>
      <c r="T10" s="11">
        <f>IF(AND(ISNUMBER(I10),ISNUMBER(S10)),S10-I10,"")</f>
        <v/>
      </c>
      <c r="U10" s="10" t="n"/>
      <c r="V10" s="10" t="n"/>
      <c r="W10" s="10" t="n"/>
      <c r="X10" s="10" t="n"/>
      <c r="Y10" s="10" t="n"/>
      <c r="Z10" s="10" t="n"/>
      <c r="AA10" s="11">
        <f>IF(COUNT(U10:Z10)=0,"",ROUND(AVERAGE(U10:Z10),1))</f>
        <v/>
      </c>
      <c r="AB10" s="11">
        <f>IF(AND(ISNUMBER(P10),ISNUMBER(AA10)),ROUND(AA10-P10,1),"")</f>
        <v/>
      </c>
      <c r="AC10" s="10" t="n"/>
      <c r="AD10" s="10" t="n"/>
      <c r="AE10" s="10" t="n"/>
      <c r="AF10" s="10" t="n"/>
      <c r="AG10" s="10" t="n"/>
      <c r="AH10" s="10" t="n"/>
      <c r="AI10" s="11">
        <f>COUNTIF(AC10:AH10,"B")+COUNTIF(AC10:AH10,"D")+COUNTIF(AC10:AH10,"S")+COUNTIF(AC10:AH10,"E")</f>
        <v/>
      </c>
      <c r="AJ10" s="11">
        <f>IF(COUNTA(AC10:AH10)=0,"",IF(AI10&lt;5,"Check",IF(COUNTIF(AC10:AH10,"E")&gt;=4,"Gold",IF(COUNTIF(AC10:AH10,"E")+COUNTIF(AC10:AH10,"S")&gt;=4,"Silver",IF(COUNTIF(AC10:AH10,"E")+COUNTIF(AC10:AH10,"S")+COUNTIF(AC10:AH10,"D")&gt;=4,"Bronze","Participation")))))</f>
        <v/>
      </c>
      <c r="AK10" s="11">
        <f>IF(AND(ISNUMBER(T10),T10&gt;=1,T10=MAX($T$2:$T$25)),"Y","")</f>
        <v/>
      </c>
      <c r="AL10" s="10" t="n"/>
      <c r="AM10" s="9" t="n"/>
    </row>
    <row r="11">
      <c r="A11" s="8" t="n">
        <v>10</v>
      </c>
      <c r="B11" s="9" t="n"/>
      <c r="C11" s="9" t="n"/>
      <c r="D11" s="10" t="n"/>
      <c r="E11" s="10" t="n"/>
      <c r="F11" s="10" t="n"/>
      <c r="G11" s="10" t="n"/>
      <c r="H11" s="9" t="n"/>
      <c r="I11" s="10" t="n"/>
      <c r="J11" s="10" t="n"/>
      <c r="K11" s="10" t="n"/>
      <c r="L11" s="10" t="n"/>
      <c r="M11" s="10" t="n"/>
      <c r="N11" s="10" t="n"/>
      <c r="O11" s="10" t="n"/>
      <c r="P11" s="11">
        <f>IF(COUNT(J11:O11)=0,"",ROUND(AVERAGE(J11:O11),1))</f>
        <v/>
      </c>
      <c r="Q11" s="10" t="n"/>
      <c r="R11" s="11">
        <f>IF(Q11="","",ROUND(Q11/12*100,0))</f>
        <v/>
      </c>
      <c r="S11" s="10" t="n"/>
      <c r="T11" s="11">
        <f>IF(AND(ISNUMBER(I11),ISNUMBER(S11)),S11-I11,"")</f>
        <v/>
      </c>
      <c r="U11" s="10" t="n"/>
      <c r="V11" s="10" t="n"/>
      <c r="W11" s="10" t="n"/>
      <c r="X11" s="10" t="n"/>
      <c r="Y11" s="10" t="n"/>
      <c r="Z11" s="10" t="n"/>
      <c r="AA11" s="11">
        <f>IF(COUNT(U11:Z11)=0,"",ROUND(AVERAGE(U11:Z11),1))</f>
        <v/>
      </c>
      <c r="AB11" s="11">
        <f>IF(AND(ISNUMBER(P11),ISNUMBER(AA11)),ROUND(AA11-P11,1),"")</f>
        <v/>
      </c>
      <c r="AC11" s="10" t="n"/>
      <c r="AD11" s="10" t="n"/>
      <c r="AE11" s="10" t="n"/>
      <c r="AF11" s="10" t="n"/>
      <c r="AG11" s="10" t="n"/>
      <c r="AH11" s="10" t="n"/>
      <c r="AI11" s="11">
        <f>COUNTIF(AC11:AH11,"B")+COUNTIF(AC11:AH11,"D")+COUNTIF(AC11:AH11,"S")+COUNTIF(AC11:AH11,"E")</f>
        <v/>
      </c>
      <c r="AJ11" s="11">
        <f>IF(COUNTA(AC11:AH11)=0,"",IF(AI11&lt;5,"Check",IF(COUNTIF(AC11:AH11,"E")&gt;=4,"Gold",IF(COUNTIF(AC11:AH11,"E")+COUNTIF(AC11:AH11,"S")&gt;=4,"Silver",IF(COUNTIF(AC11:AH11,"E")+COUNTIF(AC11:AH11,"S")+COUNTIF(AC11:AH11,"D")&gt;=4,"Bronze","Participation")))))</f>
        <v/>
      </c>
      <c r="AK11" s="11">
        <f>IF(AND(ISNUMBER(T11),T11&gt;=1,T11=MAX($T$2:$T$25)),"Y","")</f>
        <v/>
      </c>
      <c r="AL11" s="10" t="n"/>
      <c r="AM11" s="9" t="n"/>
    </row>
    <row r="12">
      <c r="A12" s="8" t="n">
        <v>11</v>
      </c>
      <c r="B12" s="9" t="n"/>
      <c r="C12" s="9" t="n"/>
      <c r="D12" s="10" t="n"/>
      <c r="E12" s="10" t="n"/>
      <c r="F12" s="10" t="n"/>
      <c r="G12" s="10" t="n"/>
      <c r="H12" s="9" t="n"/>
      <c r="I12" s="10" t="n"/>
      <c r="J12" s="10" t="n"/>
      <c r="K12" s="10" t="n"/>
      <c r="L12" s="10" t="n"/>
      <c r="M12" s="10" t="n"/>
      <c r="N12" s="10" t="n"/>
      <c r="O12" s="10" t="n"/>
      <c r="P12" s="11">
        <f>IF(COUNT(J12:O12)=0,"",ROUND(AVERAGE(J12:O12),1))</f>
        <v/>
      </c>
      <c r="Q12" s="10" t="n"/>
      <c r="R12" s="11">
        <f>IF(Q12="","",ROUND(Q12/12*100,0))</f>
        <v/>
      </c>
      <c r="S12" s="10" t="n"/>
      <c r="T12" s="11">
        <f>IF(AND(ISNUMBER(I12),ISNUMBER(S12)),S12-I12,"")</f>
        <v/>
      </c>
      <c r="U12" s="10" t="n"/>
      <c r="V12" s="10" t="n"/>
      <c r="W12" s="10" t="n"/>
      <c r="X12" s="10" t="n"/>
      <c r="Y12" s="10" t="n"/>
      <c r="Z12" s="10" t="n"/>
      <c r="AA12" s="11">
        <f>IF(COUNT(U12:Z12)=0,"",ROUND(AVERAGE(U12:Z12),1))</f>
        <v/>
      </c>
      <c r="AB12" s="11">
        <f>IF(AND(ISNUMBER(P12),ISNUMBER(AA12)),ROUND(AA12-P12,1),"")</f>
        <v/>
      </c>
      <c r="AC12" s="10" t="n"/>
      <c r="AD12" s="10" t="n"/>
      <c r="AE12" s="10" t="n"/>
      <c r="AF12" s="10" t="n"/>
      <c r="AG12" s="10" t="n"/>
      <c r="AH12" s="10" t="n"/>
      <c r="AI12" s="11">
        <f>COUNTIF(AC12:AH12,"B")+COUNTIF(AC12:AH12,"D")+COUNTIF(AC12:AH12,"S")+COUNTIF(AC12:AH12,"E")</f>
        <v/>
      </c>
      <c r="AJ12" s="11">
        <f>IF(COUNTA(AC12:AH12)=0,"",IF(AI12&lt;5,"Check",IF(COUNTIF(AC12:AH12,"E")&gt;=4,"Gold",IF(COUNTIF(AC12:AH12,"E")+COUNTIF(AC12:AH12,"S")&gt;=4,"Silver",IF(COUNTIF(AC12:AH12,"E")+COUNTIF(AC12:AH12,"S")+COUNTIF(AC12:AH12,"D")&gt;=4,"Bronze","Participation")))))</f>
        <v/>
      </c>
      <c r="AK12" s="11">
        <f>IF(AND(ISNUMBER(T12),T12&gt;=1,T12=MAX($T$2:$T$25)),"Y","")</f>
        <v/>
      </c>
      <c r="AL12" s="10" t="n"/>
      <c r="AM12" s="9" t="n"/>
    </row>
    <row r="13">
      <c r="A13" s="8" t="n">
        <v>12</v>
      </c>
      <c r="B13" s="9" t="n"/>
      <c r="C13" s="9" t="n"/>
      <c r="D13" s="10" t="n"/>
      <c r="E13" s="10" t="n"/>
      <c r="F13" s="10" t="n"/>
      <c r="G13" s="10" t="n"/>
      <c r="H13" s="9" t="n"/>
      <c r="I13" s="10" t="n"/>
      <c r="J13" s="10" t="n"/>
      <c r="K13" s="10" t="n"/>
      <c r="L13" s="10" t="n"/>
      <c r="M13" s="10" t="n"/>
      <c r="N13" s="10" t="n"/>
      <c r="O13" s="10" t="n"/>
      <c r="P13" s="11">
        <f>IF(COUNT(J13:O13)=0,"",ROUND(AVERAGE(J13:O13),1))</f>
        <v/>
      </c>
      <c r="Q13" s="10" t="n"/>
      <c r="R13" s="11">
        <f>IF(Q13="","",ROUND(Q13/12*100,0))</f>
        <v/>
      </c>
      <c r="S13" s="10" t="n"/>
      <c r="T13" s="11">
        <f>IF(AND(ISNUMBER(I13),ISNUMBER(S13)),S13-I13,"")</f>
        <v/>
      </c>
      <c r="U13" s="10" t="n"/>
      <c r="V13" s="10" t="n"/>
      <c r="W13" s="10" t="n"/>
      <c r="X13" s="10" t="n"/>
      <c r="Y13" s="10" t="n"/>
      <c r="Z13" s="10" t="n"/>
      <c r="AA13" s="11">
        <f>IF(COUNT(U13:Z13)=0,"",ROUND(AVERAGE(U13:Z13),1))</f>
        <v/>
      </c>
      <c r="AB13" s="11">
        <f>IF(AND(ISNUMBER(P13),ISNUMBER(AA13)),ROUND(AA13-P13,1),"")</f>
        <v/>
      </c>
      <c r="AC13" s="10" t="n"/>
      <c r="AD13" s="10" t="n"/>
      <c r="AE13" s="10" t="n"/>
      <c r="AF13" s="10" t="n"/>
      <c r="AG13" s="10" t="n"/>
      <c r="AH13" s="10" t="n"/>
      <c r="AI13" s="11">
        <f>COUNTIF(AC13:AH13,"B")+COUNTIF(AC13:AH13,"D")+COUNTIF(AC13:AH13,"S")+COUNTIF(AC13:AH13,"E")</f>
        <v/>
      </c>
      <c r="AJ13" s="11">
        <f>IF(COUNTA(AC13:AH13)=0,"",IF(AI13&lt;5,"Check",IF(COUNTIF(AC13:AH13,"E")&gt;=4,"Gold",IF(COUNTIF(AC13:AH13,"E")+COUNTIF(AC13:AH13,"S")&gt;=4,"Silver",IF(COUNTIF(AC13:AH13,"E")+COUNTIF(AC13:AH13,"S")+COUNTIF(AC13:AH13,"D")&gt;=4,"Bronze","Participation")))))</f>
        <v/>
      </c>
      <c r="AK13" s="11">
        <f>IF(AND(ISNUMBER(T13),T13&gt;=1,T13=MAX($T$2:$T$25)),"Y","")</f>
        <v/>
      </c>
      <c r="AL13" s="10" t="n"/>
      <c r="AM13" s="9" t="n"/>
    </row>
    <row r="14">
      <c r="A14" s="8" t="n">
        <v>13</v>
      </c>
      <c r="B14" s="9" t="n"/>
      <c r="C14" s="9" t="n"/>
      <c r="D14" s="10" t="n"/>
      <c r="E14" s="10" t="n"/>
      <c r="F14" s="10" t="n"/>
      <c r="G14" s="10" t="n"/>
      <c r="H14" s="9" t="n"/>
      <c r="I14" s="10" t="n"/>
      <c r="J14" s="10" t="n"/>
      <c r="K14" s="10" t="n"/>
      <c r="L14" s="10" t="n"/>
      <c r="M14" s="10" t="n"/>
      <c r="N14" s="10" t="n"/>
      <c r="O14" s="10" t="n"/>
      <c r="P14" s="11">
        <f>IF(COUNT(J14:O14)=0,"",ROUND(AVERAGE(J14:O14),1))</f>
        <v/>
      </c>
      <c r="Q14" s="10" t="n"/>
      <c r="R14" s="11">
        <f>IF(Q14="","",ROUND(Q14/12*100,0))</f>
        <v/>
      </c>
      <c r="S14" s="10" t="n"/>
      <c r="T14" s="11">
        <f>IF(AND(ISNUMBER(I14),ISNUMBER(S14)),S14-I14,"")</f>
        <v/>
      </c>
      <c r="U14" s="10" t="n"/>
      <c r="V14" s="10" t="n"/>
      <c r="W14" s="10" t="n"/>
      <c r="X14" s="10" t="n"/>
      <c r="Y14" s="10" t="n"/>
      <c r="Z14" s="10" t="n"/>
      <c r="AA14" s="11">
        <f>IF(COUNT(U14:Z14)=0,"",ROUND(AVERAGE(U14:Z14),1))</f>
        <v/>
      </c>
      <c r="AB14" s="11">
        <f>IF(AND(ISNUMBER(P14),ISNUMBER(AA14)),ROUND(AA14-P14,1),"")</f>
        <v/>
      </c>
      <c r="AC14" s="10" t="n"/>
      <c r="AD14" s="10" t="n"/>
      <c r="AE14" s="10" t="n"/>
      <c r="AF14" s="10" t="n"/>
      <c r="AG14" s="10" t="n"/>
      <c r="AH14" s="10" t="n"/>
      <c r="AI14" s="11">
        <f>COUNTIF(AC14:AH14,"B")+COUNTIF(AC14:AH14,"D")+COUNTIF(AC14:AH14,"S")+COUNTIF(AC14:AH14,"E")</f>
        <v/>
      </c>
      <c r="AJ14" s="11">
        <f>IF(COUNTA(AC14:AH14)=0,"",IF(AI14&lt;5,"Check",IF(COUNTIF(AC14:AH14,"E")&gt;=4,"Gold",IF(COUNTIF(AC14:AH14,"E")+COUNTIF(AC14:AH14,"S")&gt;=4,"Silver",IF(COUNTIF(AC14:AH14,"E")+COUNTIF(AC14:AH14,"S")+COUNTIF(AC14:AH14,"D")&gt;=4,"Bronze","Participation")))))</f>
        <v/>
      </c>
      <c r="AK14" s="11">
        <f>IF(AND(ISNUMBER(T14),T14&gt;=1,T14=MAX($T$2:$T$25)),"Y","")</f>
        <v/>
      </c>
      <c r="AL14" s="10" t="n"/>
      <c r="AM14" s="9" t="n"/>
    </row>
    <row r="15">
      <c r="A15" s="8" t="n">
        <v>14</v>
      </c>
      <c r="B15" s="9" t="n"/>
      <c r="C15" s="9" t="n"/>
      <c r="D15" s="10" t="n"/>
      <c r="E15" s="10" t="n"/>
      <c r="F15" s="10" t="n"/>
      <c r="G15" s="10" t="n"/>
      <c r="H15" s="9" t="n"/>
      <c r="I15" s="10" t="n"/>
      <c r="J15" s="10" t="n"/>
      <c r="K15" s="10" t="n"/>
      <c r="L15" s="10" t="n"/>
      <c r="M15" s="10" t="n"/>
      <c r="N15" s="10" t="n"/>
      <c r="O15" s="10" t="n"/>
      <c r="P15" s="11">
        <f>IF(COUNT(J15:O15)=0,"",ROUND(AVERAGE(J15:O15),1))</f>
        <v/>
      </c>
      <c r="Q15" s="10" t="n"/>
      <c r="R15" s="11">
        <f>IF(Q15="","",ROUND(Q15/12*100,0))</f>
        <v/>
      </c>
      <c r="S15" s="10" t="n"/>
      <c r="T15" s="11">
        <f>IF(AND(ISNUMBER(I15),ISNUMBER(S15)),S15-I15,"")</f>
        <v/>
      </c>
      <c r="U15" s="10" t="n"/>
      <c r="V15" s="10" t="n"/>
      <c r="W15" s="10" t="n"/>
      <c r="X15" s="10" t="n"/>
      <c r="Y15" s="10" t="n"/>
      <c r="Z15" s="10" t="n"/>
      <c r="AA15" s="11">
        <f>IF(COUNT(U15:Z15)=0,"",ROUND(AVERAGE(U15:Z15),1))</f>
        <v/>
      </c>
      <c r="AB15" s="11">
        <f>IF(AND(ISNUMBER(P15),ISNUMBER(AA15)),ROUND(AA15-P15,1),"")</f>
        <v/>
      </c>
      <c r="AC15" s="10" t="n"/>
      <c r="AD15" s="10" t="n"/>
      <c r="AE15" s="10" t="n"/>
      <c r="AF15" s="10" t="n"/>
      <c r="AG15" s="10" t="n"/>
      <c r="AH15" s="10" t="n"/>
      <c r="AI15" s="11">
        <f>COUNTIF(AC15:AH15,"B")+COUNTIF(AC15:AH15,"D")+COUNTIF(AC15:AH15,"S")+COUNTIF(AC15:AH15,"E")</f>
        <v/>
      </c>
      <c r="AJ15" s="11">
        <f>IF(COUNTA(AC15:AH15)=0,"",IF(AI15&lt;5,"Check",IF(COUNTIF(AC15:AH15,"E")&gt;=4,"Gold",IF(COUNTIF(AC15:AH15,"E")+COUNTIF(AC15:AH15,"S")&gt;=4,"Silver",IF(COUNTIF(AC15:AH15,"E")+COUNTIF(AC15:AH15,"S")+COUNTIF(AC15:AH15,"D")&gt;=4,"Bronze","Participation")))))</f>
        <v/>
      </c>
      <c r="AK15" s="11">
        <f>IF(AND(ISNUMBER(T15),T15&gt;=1,T15=MAX($T$2:$T$25)),"Y","")</f>
        <v/>
      </c>
      <c r="AL15" s="10" t="n"/>
      <c r="AM15" s="9" t="n"/>
    </row>
    <row r="16">
      <c r="A16" s="8" t="n">
        <v>15</v>
      </c>
      <c r="B16" s="9" t="n"/>
      <c r="C16" s="9" t="n"/>
      <c r="D16" s="10" t="n"/>
      <c r="E16" s="10" t="n"/>
      <c r="F16" s="10" t="n"/>
      <c r="G16" s="10" t="n"/>
      <c r="H16" s="9" t="n"/>
      <c r="I16" s="10" t="n"/>
      <c r="J16" s="10" t="n"/>
      <c r="K16" s="10" t="n"/>
      <c r="L16" s="10" t="n"/>
      <c r="M16" s="10" t="n"/>
      <c r="N16" s="10" t="n"/>
      <c r="O16" s="10" t="n"/>
      <c r="P16" s="11">
        <f>IF(COUNT(J16:O16)=0,"",ROUND(AVERAGE(J16:O16),1))</f>
        <v/>
      </c>
      <c r="Q16" s="10" t="n"/>
      <c r="R16" s="11">
        <f>IF(Q16="","",ROUND(Q16/12*100,0))</f>
        <v/>
      </c>
      <c r="S16" s="10" t="n"/>
      <c r="T16" s="11">
        <f>IF(AND(ISNUMBER(I16),ISNUMBER(S16)),S16-I16,"")</f>
        <v/>
      </c>
      <c r="U16" s="10" t="n"/>
      <c r="V16" s="10" t="n"/>
      <c r="W16" s="10" t="n"/>
      <c r="X16" s="10" t="n"/>
      <c r="Y16" s="10" t="n"/>
      <c r="Z16" s="10" t="n"/>
      <c r="AA16" s="11">
        <f>IF(COUNT(U16:Z16)=0,"",ROUND(AVERAGE(U16:Z16),1))</f>
        <v/>
      </c>
      <c r="AB16" s="11">
        <f>IF(AND(ISNUMBER(P16),ISNUMBER(AA16)),ROUND(AA16-P16,1),"")</f>
        <v/>
      </c>
      <c r="AC16" s="10" t="n"/>
      <c r="AD16" s="10" t="n"/>
      <c r="AE16" s="10" t="n"/>
      <c r="AF16" s="10" t="n"/>
      <c r="AG16" s="10" t="n"/>
      <c r="AH16" s="10" t="n"/>
      <c r="AI16" s="11">
        <f>COUNTIF(AC16:AH16,"B")+COUNTIF(AC16:AH16,"D")+COUNTIF(AC16:AH16,"S")+COUNTIF(AC16:AH16,"E")</f>
        <v/>
      </c>
      <c r="AJ16" s="11">
        <f>IF(COUNTA(AC16:AH16)=0,"",IF(AI16&lt;5,"Check",IF(COUNTIF(AC16:AH16,"E")&gt;=4,"Gold",IF(COUNTIF(AC16:AH16,"E")+COUNTIF(AC16:AH16,"S")&gt;=4,"Silver",IF(COUNTIF(AC16:AH16,"E")+COUNTIF(AC16:AH16,"S")+COUNTIF(AC16:AH16,"D")&gt;=4,"Bronze","Participation")))))</f>
        <v/>
      </c>
      <c r="AK16" s="11">
        <f>IF(AND(ISNUMBER(T16),T16&gt;=1,T16=MAX($T$2:$T$25)),"Y","")</f>
        <v/>
      </c>
      <c r="AL16" s="10" t="n"/>
      <c r="AM16" s="9" t="n"/>
    </row>
    <row r="17">
      <c r="A17" s="8" t="n">
        <v>16</v>
      </c>
      <c r="B17" s="9" t="n"/>
      <c r="C17" s="9" t="n"/>
      <c r="D17" s="10" t="n"/>
      <c r="E17" s="10" t="n"/>
      <c r="F17" s="10" t="n"/>
      <c r="G17" s="10" t="n"/>
      <c r="H17" s="9" t="n"/>
      <c r="I17" s="10" t="n"/>
      <c r="J17" s="10" t="n"/>
      <c r="K17" s="10" t="n"/>
      <c r="L17" s="10" t="n"/>
      <c r="M17" s="10" t="n"/>
      <c r="N17" s="10" t="n"/>
      <c r="O17" s="10" t="n"/>
      <c r="P17" s="11">
        <f>IF(COUNT(J17:O17)=0,"",ROUND(AVERAGE(J17:O17),1))</f>
        <v/>
      </c>
      <c r="Q17" s="10" t="n"/>
      <c r="R17" s="11">
        <f>IF(Q17="","",ROUND(Q17/12*100,0))</f>
        <v/>
      </c>
      <c r="S17" s="10" t="n"/>
      <c r="T17" s="11">
        <f>IF(AND(ISNUMBER(I17),ISNUMBER(S17)),S17-I17,"")</f>
        <v/>
      </c>
      <c r="U17" s="10" t="n"/>
      <c r="V17" s="10" t="n"/>
      <c r="W17" s="10" t="n"/>
      <c r="X17" s="10" t="n"/>
      <c r="Y17" s="10" t="n"/>
      <c r="Z17" s="10" t="n"/>
      <c r="AA17" s="11">
        <f>IF(COUNT(U17:Z17)=0,"",ROUND(AVERAGE(U17:Z17),1))</f>
        <v/>
      </c>
      <c r="AB17" s="11">
        <f>IF(AND(ISNUMBER(P17),ISNUMBER(AA17)),ROUND(AA17-P17,1),"")</f>
        <v/>
      </c>
      <c r="AC17" s="10" t="n"/>
      <c r="AD17" s="10" t="n"/>
      <c r="AE17" s="10" t="n"/>
      <c r="AF17" s="10" t="n"/>
      <c r="AG17" s="10" t="n"/>
      <c r="AH17" s="10" t="n"/>
      <c r="AI17" s="11">
        <f>COUNTIF(AC17:AH17,"B")+COUNTIF(AC17:AH17,"D")+COUNTIF(AC17:AH17,"S")+COUNTIF(AC17:AH17,"E")</f>
        <v/>
      </c>
      <c r="AJ17" s="11">
        <f>IF(COUNTA(AC17:AH17)=0,"",IF(AI17&lt;5,"Check",IF(COUNTIF(AC17:AH17,"E")&gt;=4,"Gold",IF(COUNTIF(AC17:AH17,"E")+COUNTIF(AC17:AH17,"S")&gt;=4,"Silver",IF(COUNTIF(AC17:AH17,"E")+COUNTIF(AC17:AH17,"S")+COUNTIF(AC17:AH17,"D")&gt;=4,"Bronze","Participation")))))</f>
        <v/>
      </c>
      <c r="AK17" s="11">
        <f>IF(AND(ISNUMBER(T17),T17&gt;=1,T17=MAX($T$2:$T$25)),"Y","")</f>
        <v/>
      </c>
      <c r="AL17" s="10" t="n"/>
      <c r="AM17" s="9" t="n"/>
    </row>
    <row r="18">
      <c r="A18" s="8" t="n">
        <v>17</v>
      </c>
      <c r="B18" s="9" t="n"/>
      <c r="C18" s="9" t="n"/>
      <c r="D18" s="10" t="n"/>
      <c r="E18" s="10" t="n"/>
      <c r="F18" s="10" t="n"/>
      <c r="G18" s="10" t="n"/>
      <c r="H18" s="9" t="n"/>
      <c r="I18" s="10" t="n"/>
      <c r="J18" s="10" t="n"/>
      <c r="K18" s="10" t="n"/>
      <c r="L18" s="10" t="n"/>
      <c r="M18" s="10" t="n"/>
      <c r="N18" s="10" t="n"/>
      <c r="O18" s="10" t="n"/>
      <c r="P18" s="11">
        <f>IF(COUNT(J18:O18)=0,"",ROUND(AVERAGE(J18:O18),1))</f>
        <v/>
      </c>
      <c r="Q18" s="10" t="n"/>
      <c r="R18" s="11">
        <f>IF(Q18="","",ROUND(Q18/12*100,0))</f>
        <v/>
      </c>
      <c r="S18" s="10" t="n"/>
      <c r="T18" s="11">
        <f>IF(AND(ISNUMBER(I18),ISNUMBER(S18)),S18-I18,"")</f>
        <v/>
      </c>
      <c r="U18" s="10" t="n"/>
      <c r="V18" s="10" t="n"/>
      <c r="W18" s="10" t="n"/>
      <c r="X18" s="10" t="n"/>
      <c r="Y18" s="10" t="n"/>
      <c r="Z18" s="10" t="n"/>
      <c r="AA18" s="11">
        <f>IF(COUNT(U18:Z18)=0,"",ROUND(AVERAGE(U18:Z18),1))</f>
        <v/>
      </c>
      <c r="AB18" s="11">
        <f>IF(AND(ISNUMBER(P18),ISNUMBER(AA18)),ROUND(AA18-P18,1),"")</f>
        <v/>
      </c>
      <c r="AC18" s="10" t="n"/>
      <c r="AD18" s="10" t="n"/>
      <c r="AE18" s="10" t="n"/>
      <c r="AF18" s="10" t="n"/>
      <c r="AG18" s="10" t="n"/>
      <c r="AH18" s="10" t="n"/>
      <c r="AI18" s="11">
        <f>COUNTIF(AC18:AH18,"B")+COUNTIF(AC18:AH18,"D")+COUNTIF(AC18:AH18,"S")+COUNTIF(AC18:AH18,"E")</f>
        <v/>
      </c>
      <c r="AJ18" s="11">
        <f>IF(COUNTA(AC18:AH18)=0,"",IF(AI18&lt;5,"Check",IF(COUNTIF(AC18:AH18,"E")&gt;=4,"Gold",IF(COUNTIF(AC18:AH18,"E")+COUNTIF(AC18:AH18,"S")&gt;=4,"Silver",IF(COUNTIF(AC18:AH18,"E")+COUNTIF(AC18:AH18,"S")+COUNTIF(AC18:AH18,"D")&gt;=4,"Bronze","Participation")))))</f>
        <v/>
      </c>
      <c r="AK18" s="11">
        <f>IF(AND(ISNUMBER(T18),T18&gt;=1,T18=MAX($T$2:$T$25)),"Y","")</f>
        <v/>
      </c>
      <c r="AL18" s="10" t="n"/>
      <c r="AM18" s="9" t="n"/>
    </row>
    <row r="19">
      <c r="A19" s="8" t="n">
        <v>18</v>
      </c>
      <c r="B19" s="9" t="n"/>
      <c r="C19" s="9" t="n"/>
      <c r="D19" s="10" t="n"/>
      <c r="E19" s="10" t="n"/>
      <c r="F19" s="10" t="n"/>
      <c r="G19" s="10" t="n"/>
      <c r="H19" s="9" t="n"/>
      <c r="I19" s="10" t="n"/>
      <c r="J19" s="10" t="n"/>
      <c r="K19" s="10" t="n"/>
      <c r="L19" s="10" t="n"/>
      <c r="M19" s="10" t="n"/>
      <c r="N19" s="10" t="n"/>
      <c r="O19" s="10" t="n"/>
      <c r="P19" s="11">
        <f>IF(COUNT(J19:O19)=0,"",ROUND(AVERAGE(J19:O19),1))</f>
        <v/>
      </c>
      <c r="Q19" s="10" t="n"/>
      <c r="R19" s="11">
        <f>IF(Q19="","",ROUND(Q19/12*100,0))</f>
        <v/>
      </c>
      <c r="S19" s="10" t="n"/>
      <c r="T19" s="11">
        <f>IF(AND(ISNUMBER(I19),ISNUMBER(S19)),S19-I19,"")</f>
        <v/>
      </c>
      <c r="U19" s="10" t="n"/>
      <c r="V19" s="10" t="n"/>
      <c r="W19" s="10" t="n"/>
      <c r="X19" s="10" t="n"/>
      <c r="Y19" s="10" t="n"/>
      <c r="Z19" s="10" t="n"/>
      <c r="AA19" s="11">
        <f>IF(COUNT(U19:Z19)=0,"",ROUND(AVERAGE(U19:Z19),1))</f>
        <v/>
      </c>
      <c r="AB19" s="11">
        <f>IF(AND(ISNUMBER(P19),ISNUMBER(AA19)),ROUND(AA19-P19,1),"")</f>
        <v/>
      </c>
      <c r="AC19" s="10" t="n"/>
      <c r="AD19" s="10" t="n"/>
      <c r="AE19" s="10" t="n"/>
      <c r="AF19" s="10" t="n"/>
      <c r="AG19" s="10" t="n"/>
      <c r="AH19" s="10" t="n"/>
      <c r="AI19" s="11">
        <f>COUNTIF(AC19:AH19,"B")+COUNTIF(AC19:AH19,"D")+COUNTIF(AC19:AH19,"S")+COUNTIF(AC19:AH19,"E")</f>
        <v/>
      </c>
      <c r="AJ19" s="11">
        <f>IF(COUNTA(AC19:AH19)=0,"",IF(AI19&lt;5,"Check",IF(COUNTIF(AC19:AH19,"E")&gt;=4,"Gold",IF(COUNTIF(AC19:AH19,"E")+COUNTIF(AC19:AH19,"S")&gt;=4,"Silver",IF(COUNTIF(AC19:AH19,"E")+COUNTIF(AC19:AH19,"S")+COUNTIF(AC19:AH19,"D")&gt;=4,"Bronze","Participation")))))</f>
        <v/>
      </c>
      <c r="AK19" s="11">
        <f>IF(AND(ISNUMBER(T19),T19&gt;=1,T19=MAX($T$2:$T$25)),"Y","")</f>
        <v/>
      </c>
      <c r="AL19" s="10" t="n"/>
      <c r="AM19" s="9" t="n"/>
    </row>
    <row r="20">
      <c r="A20" s="8" t="n">
        <v>19</v>
      </c>
      <c r="B20" s="9" t="n"/>
      <c r="C20" s="9" t="n"/>
      <c r="D20" s="10" t="n"/>
      <c r="E20" s="10" t="n"/>
      <c r="F20" s="10" t="n"/>
      <c r="G20" s="10" t="n"/>
      <c r="H20" s="9" t="n"/>
      <c r="I20" s="10" t="n"/>
      <c r="J20" s="10" t="n"/>
      <c r="K20" s="10" t="n"/>
      <c r="L20" s="10" t="n"/>
      <c r="M20" s="10" t="n"/>
      <c r="N20" s="10" t="n"/>
      <c r="O20" s="10" t="n"/>
      <c r="P20" s="11">
        <f>IF(COUNT(J20:O20)=0,"",ROUND(AVERAGE(J20:O20),1))</f>
        <v/>
      </c>
      <c r="Q20" s="10" t="n"/>
      <c r="R20" s="11">
        <f>IF(Q20="","",ROUND(Q20/12*100,0))</f>
        <v/>
      </c>
      <c r="S20" s="10" t="n"/>
      <c r="T20" s="11">
        <f>IF(AND(ISNUMBER(I20),ISNUMBER(S20)),S20-I20,"")</f>
        <v/>
      </c>
      <c r="U20" s="10" t="n"/>
      <c r="V20" s="10" t="n"/>
      <c r="W20" s="10" t="n"/>
      <c r="X20" s="10" t="n"/>
      <c r="Y20" s="10" t="n"/>
      <c r="Z20" s="10" t="n"/>
      <c r="AA20" s="11">
        <f>IF(COUNT(U20:Z20)=0,"",ROUND(AVERAGE(U20:Z20),1))</f>
        <v/>
      </c>
      <c r="AB20" s="11">
        <f>IF(AND(ISNUMBER(P20),ISNUMBER(AA20)),ROUND(AA20-P20,1),"")</f>
        <v/>
      </c>
      <c r="AC20" s="10" t="n"/>
      <c r="AD20" s="10" t="n"/>
      <c r="AE20" s="10" t="n"/>
      <c r="AF20" s="10" t="n"/>
      <c r="AG20" s="10" t="n"/>
      <c r="AH20" s="10" t="n"/>
      <c r="AI20" s="11">
        <f>COUNTIF(AC20:AH20,"B")+COUNTIF(AC20:AH20,"D")+COUNTIF(AC20:AH20,"S")+COUNTIF(AC20:AH20,"E")</f>
        <v/>
      </c>
      <c r="AJ20" s="11">
        <f>IF(COUNTA(AC20:AH20)=0,"",IF(AI20&lt;5,"Check",IF(COUNTIF(AC20:AH20,"E")&gt;=4,"Gold",IF(COUNTIF(AC20:AH20,"E")+COUNTIF(AC20:AH20,"S")&gt;=4,"Silver",IF(COUNTIF(AC20:AH20,"E")+COUNTIF(AC20:AH20,"S")+COUNTIF(AC20:AH20,"D")&gt;=4,"Bronze","Participation")))))</f>
        <v/>
      </c>
      <c r="AK20" s="11">
        <f>IF(AND(ISNUMBER(T20),T20&gt;=1,T20=MAX($T$2:$T$25)),"Y","")</f>
        <v/>
      </c>
      <c r="AL20" s="10" t="n"/>
      <c r="AM20" s="9" t="n"/>
    </row>
    <row r="21">
      <c r="A21" s="8" t="n">
        <v>20</v>
      </c>
      <c r="B21" s="9" t="n"/>
      <c r="C21" s="9" t="n"/>
      <c r="D21" s="10" t="n"/>
      <c r="E21" s="10" t="n"/>
      <c r="F21" s="10" t="n"/>
      <c r="G21" s="10" t="n"/>
      <c r="H21" s="9" t="n"/>
      <c r="I21" s="10" t="n"/>
      <c r="J21" s="10" t="n"/>
      <c r="K21" s="10" t="n"/>
      <c r="L21" s="10" t="n"/>
      <c r="M21" s="10" t="n"/>
      <c r="N21" s="10" t="n"/>
      <c r="O21" s="10" t="n"/>
      <c r="P21" s="11">
        <f>IF(COUNT(J21:O21)=0,"",ROUND(AVERAGE(J21:O21),1))</f>
        <v/>
      </c>
      <c r="Q21" s="10" t="n"/>
      <c r="R21" s="11">
        <f>IF(Q21="","",ROUND(Q21/12*100,0))</f>
        <v/>
      </c>
      <c r="S21" s="10" t="n"/>
      <c r="T21" s="11">
        <f>IF(AND(ISNUMBER(I21),ISNUMBER(S21)),S21-I21,"")</f>
        <v/>
      </c>
      <c r="U21" s="10" t="n"/>
      <c r="V21" s="10" t="n"/>
      <c r="W21" s="10" t="n"/>
      <c r="X21" s="10" t="n"/>
      <c r="Y21" s="10" t="n"/>
      <c r="Z21" s="10" t="n"/>
      <c r="AA21" s="11">
        <f>IF(COUNT(U21:Z21)=0,"",ROUND(AVERAGE(U21:Z21),1))</f>
        <v/>
      </c>
      <c r="AB21" s="11">
        <f>IF(AND(ISNUMBER(P21),ISNUMBER(AA21)),ROUND(AA21-P21,1),"")</f>
        <v/>
      </c>
      <c r="AC21" s="10" t="n"/>
      <c r="AD21" s="10" t="n"/>
      <c r="AE21" s="10" t="n"/>
      <c r="AF21" s="10" t="n"/>
      <c r="AG21" s="10" t="n"/>
      <c r="AH21" s="10" t="n"/>
      <c r="AI21" s="11">
        <f>COUNTIF(AC21:AH21,"B")+COUNTIF(AC21:AH21,"D")+COUNTIF(AC21:AH21,"S")+COUNTIF(AC21:AH21,"E")</f>
        <v/>
      </c>
      <c r="AJ21" s="11">
        <f>IF(COUNTA(AC21:AH21)=0,"",IF(AI21&lt;5,"Check",IF(COUNTIF(AC21:AH21,"E")&gt;=4,"Gold",IF(COUNTIF(AC21:AH21,"E")+COUNTIF(AC21:AH21,"S")&gt;=4,"Silver",IF(COUNTIF(AC21:AH21,"E")+COUNTIF(AC21:AH21,"S")+COUNTIF(AC21:AH21,"D")&gt;=4,"Bronze","Participation")))))</f>
        <v/>
      </c>
      <c r="AK21" s="11">
        <f>IF(AND(ISNUMBER(T21),T21&gt;=1,T21=MAX($T$2:$T$25)),"Y","")</f>
        <v/>
      </c>
      <c r="AL21" s="10" t="n"/>
      <c r="AM21" s="9" t="n"/>
    </row>
    <row r="22">
      <c r="A22" s="8" t="n">
        <v>21</v>
      </c>
      <c r="B22" s="9" t="n"/>
      <c r="C22" s="9" t="n"/>
      <c r="D22" s="10" t="n"/>
      <c r="E22" s="10" t="n"/>
      <c r="F22" s="10" t="n"/>
      <c r="G22" s="10" t="n"/>
      <c r="H22" s="9" t="n"/>
      <c r="I22" s="10" t="n"/>
      <c r="J22" s="10" t="n"/>
      <c r="K22" s="10" t="n"/>
      <c r="L22" s="10" t="n"/>
      <c r="M22" s="10" t="n"/>
      <c r="N22" s="10" t="n"/>
      <c r="O22" s="10" t="n"/>
      <c r="P22" s="11">
        <f>IF(COUNT(J22:O22)=0,"",ROUND(AVERAGE(J22:O22),1))</f>
        <v/>
      </c>
      <c r="Q22" s="10" t="n"/>
      <c r="R22" s="11">
        <f>IF(Q22="","",ROUND(Q22/12*100,0))</f>
        <v/>
      </c>
      <c r="S22" s="10" t="n"/>
      <c r="T22" s="11">
        <f>IF(AND(ISNUMBER(I22),ISNUMBER(S22)),S22-I22,"")</f>
        <v/>
      </c>
      <c r="U22" s="10" t="n"/>
      <c r="V22" s="10" t="n"/>
      <c r="W22" s="10" t="n"/>
      <c r="X22" s="10" t="n"/>
      <c r="Y22" s="10" t="n"/>
      <c r="Z22" s="10" t="n"/>
      <c r="AA22" s="11">
        <f>IF(COUNT(U22:Z22)=0,"",ROUND(AVERAGE(U22:Z22),1))</f>
        <v/>
      </c>
      <c r="AB22" s="11">
        <f>IF(AND(ISNUMBER(P22),ISNUMBER(AA22)),ROUND(AA22-P22,1),"")</f>
        <v/>
      </c>
      <c r="AC22" s="10" t="n"/>
      <c r="AD22" s="10" t="n"/>
      <c r="AE22" s="10" t="n"/>
      <c r="AF22" s="10" t="n"/>
      <c r="AG22" s="10" t="n"/>
      <c r="AH22" s="10" t="n"/>
      <c r="AI22" s="11">
        <f>COUNTIF(AC22:AH22,"B")+COUNTIF(AC22:AH22,"D")+COUNTIF(AC22:AH22,"S")+COUNTIF(AC22:AH22,"E")</f>
        <v/>
      </c>
      <c r="AJ22" s="11">
        <f>IF(COUNTA(AC22:AH22)=0,"",IF(AI22&lt;5,"Check",IF(COUNTIF(AC22:AH22,"E")&gt;=4,"Gold",IF(COUNTIF(AC22:AH22,"E")+COUNTIF(AC22:AH22,"S")&gt;=4,"Silver",IF(COUNTIF(AC22:AH22,"E")+COUNTIF(AC22:AH22,"S")+COUNTIF(AC22:AH22,"D")&gt;=4,"Bronze","Participation")))))</f>
        <v/>
      </c>
      <c r="AK22" s="11">
        <f>IF(AND(ISNUMBER(T22),T22&gt;=1,T22=MAX($T$2:$T$25)),"Y","")</f>
        <v/>
      </c>
      <c r="AL22" s="10" t="n"/>
      <c r="AM22" s="9" t="n"/>
    </row>
    <row r="23">
      <c r="A23" s="8" t="n">
        <v>22</v>
      </c>
      <c r="B23" s="9" t="n"/>
      <c r="C23" s="9" t="n"/>
      <c r="D23" s="10" t="n"/>
      <c r="E23" s="10" t="n"/>
      <c r="F23" s="10" t="n"/>
      <c r="G23" s="10" t="n"/>
      <c r="H23" s="9" t="n"/>
      <c r="I23" s="10" t="n"/>
      <c r="J23" s="10" t="n"/>
      <c r="K23" s="10" t="n"/>
      <c r="L23" s="10" t="n"/>
      <c r="M23" s="10" t="n"/>
      <c r="N23" s="10" t="n"/>
      <c r="O23" s="10" t="n"/>
      <c r="P23" s="11">
        <f>IF(COUNT(J23:O23)=0,"",ROUND(AVERAGE(J23:O23),1))</f>
        <v/>
      </c>
      <c r="Q23" s="10" t="n"/>
      <c r="R23" s="11">
        <f>IF(Q23="","",ROUND(Q23/12*100,0))</f>
        <v/>
      </c>
      <c r="S23" s="10" t="n"/>
      <c r="T23" s="11">
        <f>IF(AND(ISNUMBER(I23),ISNUMBER(S23)),S23-I23,"")</f>
        <v/>
      </c>
      <c r="U23" s="10" t="n"/>
      <c r="V23" s="10" t="n"/>
      <c r="W23" s="10" t="n"/>
      <c r="X23" s="10" t="n"/>
      <c r="Y23" s="10" t="n"/>
      <c r="Z23" s="10" t="n"/>
      <c r="AA23" s="11">
        <f>IF(COUNT(U23:Z23)=0,"",ROUND(AVERAGE(U23:Z23),1))</f>
        <v/>
      </c>
      <c r="AB23" s="11">
        <f>IF(AND(ISNUMBER(P23),ISNUMBER(AA23)),ROUND(AA23-P23,1),"")</f>
        <v/>
      </c>
      <c r="AC23" s="10" t="n"/>
      <c r="AD23" s="10" t="n"/>
      <c r="AE23" s="10" t="n"/>
      <c r="AF23" s="10" t="n"/>
      <c r="AG23" s="10" t="n"/>
      <c r="AH23" s="10" t="n"/>
      <c r="AI23" s="11">
        <f>COUNTIF(AC23:AH23,"B")+COUNTIF(AC23:AH23,"D")+COUNTIF(AC23:AH23,"S")+COUNTIF(AC23:AH23,"E")</f>
        <v/>
      </c>
      <c r="AJ23" s="11">
        <f>IF(COUNTA(AC23:AH23)=0,"",IF(AI23&lt;5,"Check",IF(COUNTIF(AC23:AH23,"E")&gt;=4,"Gold",IF(COUNTIF(AC23:AH23,"E")+COUNTIF(AC23:AH23,"S")&gt;=4,"Silver",IF(COUNTIF(AC23:AH23,"E")+COUNTIF(AC23:AH23,"S")+COUNTIF(AC23:AH23,"D")&gt;=4,"Bronze","Participation")))))</f>
        <v/>
      </c>
      <c r="AK23" s="11">
        <f>IF(AND(ISNUMBER(T23),T23&gt;=1,T23=MAX($T$2:$T$25)),"Y","")</f>
        <v/>
      </c>
      <c r="AL23" s="10" t="n"/>
      <c r="AM23" s="9" t="n"/>
    </row>
    <row r="24">
      <c r="A24" s="8" t="n">
        <v>23</v>
      </c>
      <c r="B24" s="9" t="n"/>
      <c r="C24" s="9" t="n"/>
      <c r="D24" s="10" t="n"/>
      <c r="E24" s="10" t="n"/>
      <c r="F24" s="10" t="n"/>
      <c r="G24" s="10" t="n"/>
      <c r="H24" s="9" t="n"/>
      <c r="I24" s="10" t="n"/>
      <c r="J24" s="10" t="n"/>
      <c r="K24" s="10" t="n"/>
      <c r="L24" s="10" t="n"/>
      <c r="M24" s="10" t="n"/>
      <c r="N24" s="10" t="n"/>
      <c r="O24" s="10" t="n"/>
      <c r="P24" s="11">
        <f>IF(COUNT(J24:O24)=0,"",ROUND(AVERAGE(J24:O24),1))</f>
        <v/>
      </c>
      <c r="Q24" s="10" t="n"/>
      <c r="R24" s="11">
        <f>IF(Q24="","",ROUND(Q24/12*100,0))</f>
        <v/>
      </c>
      <c r="S24" s="10" t="n"/>
      <c r="T24" s="11">
        <f>IF(AND(ISNUMBER(I24),ISNUMBER(S24)),S24-I24,"")</f>
        <v/>
      </c>
      <c r="U24" s="10" t="n"/>
      <c r="V24" s="10" t="n"/>
      <c r="W24" s="10" t="n"/>
      <c r="X24" s="10" t="n"/>
      <c r="Y24" s="10" t="n"/>
      <c r="Z24" s="10" t="n"/>
      <c r="AA24" s="11">
        <f>IF(COUNT(U24:Z24)=0,"",ROUND(AVERAGE(U24:Z24),1))</f>
        <v/>
      </c>
      <c r="AB24" s="11">
        <f>IF(AND(ISNUMBER(P24),ISNUMBER(AA24)),ROUND(AA24-P24,1),"")</f>
        <v/>
      </c>
      <c r="AC24" s="10" t="n"/>
      <c r="AD24" s="10" t="n"/>
      <c r="AE24" s="10" t="n"/>
      <c r="AF24" s="10" t="n"/>
      <c r="AG24" s="10" t="n"/>
      <c r="AH24" s="10" t="n"/>
      <c r="AI24" s="11">
        <f>COUNTIF(AC24:AH24,"B")+COUNTIF(AC24:AH24,"D")+COUNTIF(AC24:AH24,"S")+COUNTIF(AC24:AH24,"E")</f>
        <v/>
      </c>
      <c r="AJ24" s="11">
        <f>IF(COUNTA(AC24:AH24)=0,"",IF(AI24&lt;5,"Check",IF(COUNTIF(AC24:AH24,"E")&gt;=4,"Gold",IF(COUNTIF(AC24:AH24,"E")+COUNTIF(AC24:AH24,"S")&gt;=4,"Silver",IF(COUNTIF(AC24:AH24,"E")+COUNTIF(AC24:AH24,"S")+COUNTIF(AC24:AH24,"D")&gt;=4,"Bronze","Participation")))))</f>
        <v/>
      </c>
      <c r="AK24" s="11">
        <f>IF(AND(ISNUMBER(T24),T24&gt;=1,T24=MAX($T$2:$T$25)),"Y","")</f>
        <v/>
      </c>
      <c r="AL24" s="10" t="n"/>
      <c r="AM24" s="9" t="n"/>
    </row>
    <row r="25">
      <c r="A25" s="8" t="n">
        <v>24</v>
      </c>
      <c r="B25" s="9" t="n"/>
      <c r="C25" s="9" t="n"/>
      <c r="D25" s="10" t="n"/>
      <c r="E25" s="10" t="n"/>
      <c r="F25" s="10" t="n"/>
      <c r="G25" s="10" t="n"/>
      <c r="H25" s="9" t="n"/>
      <c r="I25" s="10" t="n"/>
      <c r="J25" s="10" t="n"/>
      <c r="K25" s="10" t="n"/>
      <c r="L25" s="10" t="n"/>
      <c r="M25" s="10" t="n"/>
      <c r="N25" s="10" t="n"/>
      <c r="O25" s="10" t="n"/>
      <c r="P25" s="11">
        <f>IF(COUNT(J25:O25)=0,"",ROUND(AVERAGE(J25:O25),1))</f>
        <v/>
      </c>
      <c r="Q25" s="10" t="n"/>
      <c r="R25" s="11">
        <f>IF(Q25="","",ROUND(Q25/12*100,0))</f>
        <v/>
      </c>
      <c r="S25" s="10" t="n"/>
      <c r="T25" s="11">
        <f>IF(AND(ISNUMBER(I25),ISNUMBER(S25)),S25-I25,"")</f>
        <v/>
      </c>
      <c r="U25" s="10" t="n"/>
      <c r="V25" s="10" t="n"/>
      <c r="W25" s="10" t="n"/>
      <c r="X25" s="10" t="n"/>
      <c r="Y25" s="10" t="n"/>
      <c r="Z25" s="10" t="n"/>
      <c r="AA25" s="11">
        <f>IF(COUNT(U25:Z25)=0,"",ROUND(AVERAGE(U25:Z25),1))</f>
        <v/>
      </c>
      <c r="AB25" s="11">
        <f>IF(AND(ISNUMBER(P25),ISNUMBER(AA25)),ROUND(AA25-P25,1),"")</f>
        <v/>
      </c>
      <c r="AC25" s="10" t="n"/>
      <c r="AD25" s="10" t="n"/>
      <c r="AE25" s="10" t="n"/>
      <c r="AF25" s="10" t="n"/>
      <c r="AG25" s="10" t="n"/>
      <c r="AH25" s="10" t="n"/>
      <c r="AI25" s="11">
        <f>COUNTIF(AC25:AH25,"B")+COUNTIF(AC25:AH25,"D")+COUNTIF(AC25:AH25,"S")+COUNTIF(AC25:AH25,"E")</f>
        <v/>
      </c>
      <c r="AJ25" s="11">
        <f>IF(COUNTA(AC25:AH25)=0,"",IF(AI25&lt;5,"Check",IF(COUNTIF(AC25:AH25,"E")&gt;=4,"Gold",IF(COUNTIF(AC25:AH25,"E")+COUNTIF(AC25:AH25,"S")&gt;=4,"Silver",IF(COUNTIF(AC25:AH25,"E")+COUNTIF(AC25:AH25,"S")+COUNTIF(AC25:AH25,"D")&gt;=4,"Bronze","Participation")))))</f>
        <v/>
      </c>
      <c r="AK25" s="11">
        <f>IF(AND(ISNUMBER(T25),T25&gt;=1,T25=MAX($T$2:$T$25)),"Y","")</f>
        <v/>
      </c>
      <c r="AL25" s="10" t="n"/>
      <c r="AM25" s="9" t="n"/>
    </row>
  </sheetData>
  <conditionalFormatting sqref="T2:T25">
    <cfRule type="expression" priority="1" dxfId="0">
      <formula>AND(ISNUMBER(T2),T2&gt;=4)</formula>
    </cfRule>
    <cfRule type="expression" priority="2" dxfId="1">
      <formula>AND(ISNUMBER(T2),T2&lt;0)</formula>
    </cfRule>
  </conditionalFormatting>
  <conditionalFormatting sqref="R2:R25">
    <cfRule type="expression" priority="3" dxfId="2">
      <formula>AND(ISNUMBER(R2),R2&lt;40)</formula>
    </cfRule>
  </conditionalFormatting>
  <conditionalFormatting sqref="AB2:AB25">
    <cfRule type="expression" priority="4" dxfId="0">
      <formula>AND(ISNUMBER(AB2),AB2&gt;=0.5)</formula>
    </cfRule>
    <cfRule type="expression" priority="5" dxfId="3">
      <formula>AND(ISNUMBER(AB2),AB2&lt;=-0.5)</formula>
    </cfRule>
  </conditionalFormatting>
  <conditionalFormatting sqref="AJ2:AJ25">
    <cfRule type="expression" priority="6" dxfId="0">
      <formula>AJ2="Check"</formula>
    </cfRule>
  </conditionalFormatting>
  <dataValidations count="7">
    <dataValidation sqref="I2:I25 S2:S25" showDropDown="0" showInputMessage="0" showErrorMessage="1" allowBlank="1" errorTitle="Skills check" error="Enter a whole number from 0 to 20. Leave blank if absent." type="whole" operator="between">
      <formula1>0</formula1>
      <formula2>20</formula2>
    </dataValidation>
    <dataValidation sqref="Q2:Q25" showDropDown="0" showInputMessage="0" showErrorMessage="1" allowBlank="1" errorTitle="Checkpoint" error="Enter a whole number from 0 to 12." type="whole" operator="between">
      <formula1>0</formula1>
      <formula2>12</formula2>
    </dataValidation>
    <dataValidation sqref="J2:J25 K2:K25 L2:L25 M2:M25 N2:N25 O2:O25 U2:U25 V2:V25 W2:W25 X2:X25 Y2:Y25 Z2:Z25" showDropDown="0" showInputMessage="0" showErrorMessage="1" allowBlank="1" errorTitle="Survey" error="Enter 1 to 5." type="whole" operator="between">
      <formula1>1</formula1>
      <formula2>5</formula2>
    </dataValidation>
    <dataValidation sqref="AC2:AC25 AD2:AD25 AE2:AE25 AF2:AF25 AG2:AG25 AH2:AH25" showDropDown="0" showInputMessage="0" showErrorMessage="1" allowBlank="1" errorTitle="Rubric level" error="Choose B, D, S, E or N." type="list">
      <formula1>Lists!$A$2:$A$6</formula1>
    </dataValidation>
    <dataValidation sqref="E2:E25" showDropDown="0" showInputMessage="0" showErrorMessage="1" allowBlank="1" error="Choose a role from the list." type="list">
      <formula1>Lists!$B$2:$B$6</formula1>
    </dataValidation>
    <dataValidation sqref="AL2:AL25" showDropDown="0" showInputMessage="0" showErrorMessage="1" allowBlank="1" error="Type Y or leave blank." type="list">
      <formula1>Lists!$C$2:$C$2</formula1>
    </dataValidation>
    <dataValidation sqref="G2:G25" showDropDown="0" showInputMessage="0" showErrorMessage="1" allowBlank="1" errorTitle="Language band" error="Enter 1, 2 or 3 (see Teacher Guide Section 4) or leave blank." type="list">
      <formula1>Lists!$D$2:$D$4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 ht="45" customHeight="1">
      <c r="A1" s="7" t="inlineStr">
        <is>
          <t>Class</t>
        </is>
      </c>
      <c r="B1" s="7" t="inlineStr">
        <is>
          <t>Students</t>
        </is>
      </c>
      <c r="C1" s="7" t="inlineStr">
        <is>
          <t>Mean W1 skills check (/20)</t>
        </is>
      </c>
      <c r="D1" s="7" t="inlineStr">
        <is>
          <t>Mean W5 checkpoint (/12)</t>
        </is>
      </c>
      <c r="E1" s="7" t="inlineStr">
        <is>
          <t>Mean W10 skills check (/20)</t>
        </is>
      </c>
      <c r="F1" s="7" t="inlineStr">
        <is>
          <t>Mean growth</t>
        </is>
      </c>
      <c r="G1" s="7" t="inlineStr">
        <is>
          <t>Mean W1 survey</t>
        </is>
      </c>
      <c r="H1" s="7" t="inlineStr">
        <is>
          <t>Mean W10 survey</t>
        </is>
      </c>
      <c r="I1" s="7" t="inlineStr">
        <is>
          <t>Change S1</t>
        </is>
      </c>
      <c r="J1" s="7" t="inlineStr">
        <is>
          <t>Change S2</t>
        </is>
      </c>
      <c r="K1" s="7" t="inlineStr">
        <is>
          <t>Change S3</t>
        </is>
      </c>
      <c r="L1" s="7" t="inlineStr">
        <is>
          <t>Change S4</t>
        </is>
      </c>
      <c r="M1" s="7" t="inlineStr">
        <is>
          <t>Change S5</t>
        </is>
      </c>
      <c r="N1" s="7" t="inlineStr">
        <is>
          <t>Change S6</t>
        </is>
      </c>
      <c r="O1" s="7" t="inlineStr">
        <is>
          <t>Gold</t>
        </is>
      </c>
      <c r="P1" s="7" t="inlineStr">
        <is>
          <t>Silver</t>
        </is>
      </c>
      <c r="Q1" s="7" t="inlineStr">
        <is>
          <t>Bronze</t>
        </is>
      </c>
      <c r="R1" s="7" t="inlineStr">
        <is>
          <t>Participation</t>
        </is>
      </c>
    </row>
    <row r="2">
      <c r="A2" s="12" t="inlineStr">
        <is>
          <t>Y7_Class1</t>
        </is>
      </c>
      <c r="B2" s="12">
        <f>COUNTA('Y7_Class1'!B2:B25)</f>
        <v/>
      </c>
      <c r="C2" s="12">
        <f>IFERROR(ROUND(AVERAGE('Y7_Class1'!I2:I25),1),"")</f>
        <v/>
      </c>
      <c r="D2" s="12">
        <f>IFERROR(ROUND(AVERAGE('Y7_Class1'!Q2:Q25),1),"")</f>
        <v/>
      </c>
      <c r="E2" s="12">
        <f>IFERROR(ROUND(AVERAGE('Y7_Class1'!S2:S25),1),"")</f>
        <v/>
      </c>
      <c r="F2" s="12">
        <f>IFERROR(ROUND(AVERAGE('Y7_Class1'!T2:T25),1),"")</f>
        <v/>
      </c>
      <c r="G2" s="12">
        <f>IFERROR(ROUND(AVERAGE('Y7_Class1'!P2:P25),1),"")</f>
        <v/>
      </c>
      <c r="H2" s="12">
        <f>IFERROR(ROUND(AVERAGE('Y7_Class1'!AA2:AA25),1),"")</f>
        <v/>
      </c>
      <c r="I2" s="12">
        <f>IFERROR(ROUND(AVERAGE('Y7_Class1'!U2:U25)-AVERAGE('Y7_Class1'!J2:J25),1),"")</f>
        <v/>
      </c>
      <c r="J2" s="12">
        <f>IFERROR(ROUND(AVERAGE('Y7_Class1'!V2:V25)-AVERAGE('Y7_Class1'!K2:K25),1),"")</f>
        <v/>
      </c>
      <c r="K2" s="12">
        <f>IFERROR(ROUND(AVERAGE('Y7_Class1'!W2:W25)-AVERAGE('Y7_Class1'!L2:L25),1),"")</f>
        <v/>
      </c>
      <c r="L2" s="12">
        <f>IFERROR(ROUND(AVERAGE('Y7_Class1'!X2:X25)-AVERAGE('Y7_Class1'!M2:M25),1),"")</f>
        <v/>
      </c>
      <c r="M2" s="12">
        <f>IFERROR(ROUND(AVERAGE('Y7_Class1'!Y2:Y25)-AVERAGE('Y7_Class1'!N2:N25),1),"")</f>
        <v/>
      </c>
      <c r="N2" s="12">
        <f>IFERROR(ROUND(AVERAGE('Y7_Class1'!Z2:Z25)-AVERAGE('Y7_Class1'!O2:O25),1),"")</f>
        <v/>
      </c>
      <c r="O2" s="12">
        <f>COUNTIF('Y7_Class1'!AJ2:AJ25,"Gold")</f>
        <v/>
      </c>
      <c r="P2" s="12">
        <f>COUNTIF('Y7_Class1'!AJ2:AJ25,"Silver")</f>
        <v/>
      </c>
      <c r="Q2" s="12">
        <f>COUNTIF('Y7_Class1'!AJ2:AJ25,"Bronze")</f>
        <v/>
      </c>
      <c r="R2" s="12">
        <f>COUNTIF('Y7_Class1'!AJ2:AJ25,"Participation")</f>
        <v/>
      </c>
    </row>
    <row r="3">
      <c r="A3" s="12" t="inlineStr">
        <is>
          <t>Y8_Class1</t>
        </is>
      </c>
      <c r="B3" s="12">
        <f>COUNTA('Y8_Class1'!B2:B25)</f>
        <v/>
      </c>
      <c r="C3" s="12">
        <f>IFERROR(ROUND(AVERAGE('Y8_Class1'!I2:I25),1),"")</f>
        <v/>
      </c>
      <c r="D3" s="12">
        <f>IFERROR(ROUND(AVERAGE('Y8_Class1'!Q2:Q25),1),"")</f>
        <v/>
      </c>
      <c r="E3" s="12">
        <f>IFERROR(ROUND(AVERAGE('Y8_Class1'!S2:S25),1),"")</f>
        <v/>
      </c>
      <c r="F3" s="12">
        <f>IFERROR(ROUND(AVERAGE('Y8_Class1'!T2:T25),1),"")</f>
        <v/>
      </c>
      <c r="G3" s="12">
        <f>IFERROR(ROUND(AVERAGE('Y8_Class1'!P2:P25),1),"")</f>
        <v/>
      </c>
      <c r="H3" s="12">
        <f>IFERROR(ROUND(AVERAGE('Y8_Class1'!AA2:AA25),1),"")</f>
        <v/>
      </c>
      <c r="I3" s="12">
        <f>IFERROR(ROUND(AVERAGE('Y8_Class1'!U2:U25)-AVERAGE('Y8_Class1'!J2:J25),1),"")</f>
        <v/>
      </c>
      <c r="J3" s="12">
        <f>IFERROR(ROUND(AVERAGE('Y8_Class1'!V2:V25)-AVERAGE('Y8_Class1'!K2:K25),1),"")</f>
        <v/>
      </c>
      <c r="K3" s="12">
        <f>IFERROR(ROUND(AVERAGE('Y8_Class1'!W2:W25)-AVERAGE('Y8_Class1'!L2:L25),1),"")</f>
        <v/>
      </c>
      <c r="L3" s="12">
        <f>IFERROR(ROUND(AVERAGE('Y8_Class1'!X2:X25)-AVERAGE('Y8_Class1'!M2:M25),1),"")</f>
        <v/>
      </c>
      <c r="M3" s="12">
        <f>IFERROR(ROUND(AVERAGE('Y8_Class1'!Y2:Y25)-AVERAGE('Y8_Class1'!N2:N25),1),"")</f>
        <v/>
      </c>
      <c r="N3" s="12">
        <f>IFERROR(ROUND(AVERAGE('Y8_Class1'!Z2:Z25)-AVERAGE('Y8_Class1'!O2:O25),1),"")</f>
        <v/>
      </c>
      <c r="O3" s="12">
        <f>COUNTIF('Y8_Class1'!AJ2:AJ25,"Gold")</f>
        <v/>
      </c>
      <c r="P3" s="12">
        <f>COUNTIF('Y8_Class1'!AJ2:AJ25,"Silver")</f>
        <v/>
      </c>
      <c r="Q3" s="12">
        <f>COUNTIF('Y8_Class1'!AJ2:AJ25,"Bronze")</f>
        <v/>
      </c>
      <c r="R3" s="12">
        <f>COUNTIF('Y8_Class1'!AJ2:AJ25,"Participation")</f>
        <v/>
      </c>
    </row>
    <row r="4">
      <c r="A4" s="12" t="inlineStr">
        <is>
          <t>Y9_Class1</t>
        </is>
      </c>
      <c r="B4" s="12">
        <f>COUNTA('Y9_Class1'!B2:B25)</f>
        <v/>
      </c>
      <c r="C4" s="12">
        <f>IFERROR(ROUND(AVERAGE('Y9_Class1'!I2:I25),1),"")</f>
        <v/>
      </c>
      <c r="D4" s="12">
        <f>IFERROR(ROUND(AVERAGE('Y9_Class1'!Q2:Q25),1),"")</f>
        <v/>
      </c>
      <c r="E4" s="12">
        <f>IFERROR(ROUND(AVERAGE('Y9_Class1'!S2:S25),1),"")</f>
        <v/>
      </c>
      <c r="F4" s="12">
        <f>IFERROR(ROUND(AVERAGE('Y9_Class1'!T2:T25),1),"")</f>
        <v/>
      </c>
      <c r="G4" s="12">
        <f>IFERROR(ROUND(AVERAGE('Y9_Class1'!P2:P25),1),"")</f>
        <v/>
      </c>
      <c r="H4" s="12">
        <f>IFERROR(ROUND(AVERAGE('Y9_Class1'!AA2:AA25),1),"")</f>
        <v/>
      </c>
      <c r="I4" s="12">
        <f>IFERROR(ROUND(AVERAGE('Y9_Class1'!U2:U25)-AVERAGE('Y9_Class1'!J2:J25),1),"")</f>
        <v/>
      </c>
      <c r="J4" s="12">
        <f>IFERROR(ROUND(AVERAGE('Y9_Class1'!V2:V25)-AVERAGE('Y9_Class1'!K2:K25),1),"")</f>
        <v/>
      </c>
      <c r="K4" s="12">
        <f>IFERROR(ROUND(AVERAGE('Y9_Class1'!W2:W25)-AVERAGE('Y9_Class1'!L2:L25),1),"")</f>
        <v/>
      </c>
      <c r="L4" s="12">
        <f>IFERROR(ROUND(AVERAGE('Y9_Class1'!X2:X25)-AVERAGE('Y9_Class1'!M2:M25),1),"")</f>
        <v/>
      </c>
      <c r="M4" s="12">
        <f>IFERROR(ROUND(AVERAGE('Y9_Class1'!Y2:Y25)-AVERAGE('Y9_Class1'!N2:N25),1),"")</f>
        <v/>
      </c>
      <c r="N4" s="12">
        <f>IFERROR(ROUND(AVERAGE('Y9_Class1'!Z2:Z25)-AVERAGE('Y9_Class1'!O2:O25),1),"")</f>
        <v/>
      </c>
      <c r="O4" s="12">
        <f>COUNTIF('Y9_Class1'!AJ2:AJ25,"Gold")</f>
        <v/>
      </c>
      <c r="P4" s="12">
        <f>COUNTIF('Y9_Class1'!AJ2:AJ25,"Silver")</f>
        <v/>
      </c>
      <c r="Q4" s="12">
        <f>COUNTIF('Y9_Class1'!AJ2:AJ25,"Bronze")</f>
        <v/>
      </c>
      <c r="R4" s="12">
        <f>COUNTIF('Y9_Class1'!AJ2:AJ25,"Participation")</f>
        <v/>
      </c>
    </row>
    <row r="7">
      <c r="A7" s="6" t="inlineStr">
        <is>
          <t>Means ignore blank cells, so absent students do not pull a class mean down. Survey changes compare whole-class means. Add a row for each extra class tab (copy row 2 and change the tab name in the formulas).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</cols>
  <sheetData>
    <row r="1">
      <c r="A1" s="13" t="inlineStr">
        <is>
          <t>Y7_Class1: skills check marks by question</t>
        </is>
      </c>
    </row>
    <row r="2">
      <c r="A2" s="14" t="inlineStr">
        <is>
          <t>No.</t>
        </is>
      </c>
      <c r="B2" s="14" t="inlineStr">
        <is>
          <t>Student name</t>
        </is>
      </c>
      <c r="C2" s="14" t="inlineStr">
        <is>
          <t>W1 Q1</t>
        </is>
      </c>
      <c r="D2" s="14" t="inlineStr">
        <is>
          <t>W1 Q2</t>
        </is>
      </c>
      <c r="E2" s="14" t="inlineStr">
        <is>
          <t>W1 Q3</t>
        </is>
      </c>
      <c r="F2" s="14" t="inlineStr">
        <is>
          <t>W1 Q4</t>
        </is>
      </c>
      <c r="G2" s="14" t="inlineStr">
        <is>
          <t>W1 Q5</t>
        </is>
      </c>
      <c r="H2" s="14" t="inlineStr">
        <is>
          <t>W1 Q6</t>
        </is>
      </c>
      <c r="I2" s="14" t="inlineStr">
        <is>
          <t>W1 Q7</t>
        </is>
      </c>
      <c r="J2" s="14" t="inlineStr">
        <is>
          <t>W1 Q8</t>
        </is>
      </c>
      <c r="K2" s="14" t="inlineStr">
        <is>
          <t>W1 Q9</t>
        </is>
      </c>
      <c r="L2" s="14" t="inlineStr">
        <is>
          <t>W1 Q10</t>
        </is>
      </c>
      <c r="M2" s="14" t="inlineStr">
        <is>
          <t>W1 total</t>
        </is>
      </c>
      <c r="N2" s="14" t="inlineStr">
        <is>
          <t>W10 Q1</t>
        </is>
      </c>
      <c r="O2" s="14" t="inlineStr">
        <is>
          <t>W10 Q2</t>
        </is>
      </c>
      <c r="P2" s="14" t="inlineStr">
        <is>
          <t>W10 Q3</t>
        </is>
      </c>
      <c r="Q2" s="14" t="inlineStr">
        <is>
          <t>W10 Q4</t>
        </is>
      </c>
      <c r="R2" s="14" t="inlineStr">
        <is>
          <t>W10 Q5</t>
        </is>
      </c>
      <c r="S2" s="14" t="inlineStr">
        <is>
          <t>W10 Q6</t>
        </is>
      </c>
      <c r="T2" s="14" t="inlineStr">
        <is>
          <t>W10 Q7</t>
        </is>
      </c>
      <c r="U2" s="14" t="inlineStr">
        <is>
          <t>W10 Q8</t>
        </is>
      </c>
      <c r="V2" s="14" t="inlineStr">
        <is>
          <t>W10 Q9</t>
        </is>
      </c>
      <c r="W2" s="14" t="inlineStr">
        <is>
          <t>W10 Q10</t>
        </is>
      </c>
      <c r="X2" s="14" t="inlineStr">
        <is>
          <t>W10 total</t>
        </is>
      </c>
    </row>
    <row r="3">
      <c r="B3" s="6" t="inlineStr">
        <is>
          <t>Max marks</t>
        </is>
      </c>
      <c r="C3" s="6" t="n">
        <v>2</v>
      </c>
      <c r="D3" s="6" t="n">
        <v>1</v>
      </c>
      <c r="E3" s="6" t="n">
        <v>3</v>
      </c>
      <c r="F3" s="6" t="n">
        <v>2</v>
      </c>
      <c r="G3" s="6" t="n">
        <v>2</v>
      </c>
      <c r="H3" s="6" t="n">
        <v>3</v>
      </c>
      <c r="I3" s="6" t="n">
        <v>1</v>
      </c>
      <c r="J3" s="6" t="n">
        <v>2</v>
      </c>
      <c r="K3" s="6" t="n">
        <v>2</v>
      </c>
      <c r="L3" s="6" t="n">
        <v>2</v>
      </c>
      <c r="M3" s="6" t="n">
        <v>20</v>
      </c>
      <c r="N3" s="6" t="n">
        <v>2</v>
      </c>
      <c r="O3" s="6" t="n">
        <v>1</v>
      </c>
      <c r="P3" s="6" t="n">
        <v>3</v>
      </c>
      <c r="Q3" s="6" t="n">
        <v>2</v>
      </c>
      <c r="R3" s="6" t="n">
        <v>2</v>
      </c>
      <c r="S3" s="6" t="n">
        <v>3</v>
      </c>
      <c r="T3" s="6" t="n">
        <v>1</v>
      </c>
      <c r="U3" s="6" t="n">
        <v>2</v>
      </c>
      <c r="V3" s="6" t="n">
        <v>2</v>
      </c>
      <c r="W3" s="6" t="n">
        <v>2</v>
      </c>
      <c r="X3" s="6" t="n">
        <v>20</v>
      </c>
    </row>
    <row r="4">
      <c r="A4" s="12">
        <f>'Y7_Class1'!A2</f>
        <v/>
      </c>
      <c r="B4" s="12">
        <f>IF('Y7_Class1'!B2="","",'Y7_Class1'!B2)</f>
        <v/>
      </c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6">
        <f>IF(COUNT(C4:L4)=0,"",SUM(C4:L4))</f>
        <v/>
      </c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6">
        <f>IF(COUNT(N4:W4)=0,"",SUM(N4:W4))</f>
        <v/>
      </c>
    </row>
    <row r="5">
      <c r="A5" s="12">
        <f>'Y7_Class1'!A3</f>
        <v/>
      </c>
      <c r="B5" s="12">
        <f>IF('Y7_Class1'!B3="","",'Y7_Class1'!B3)</f>
        <v/>
      </c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6">
        <f>IF(COUNT(C5:L5)=0,"",SUM(C5:L5))</f>
        <v/>
      </c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6">
        <f>IF(COUNT(N5:W5)=0,"",SUM(N5:W5))</f>
        <v/>
      </c>
    </row>
    <row r="6">
      <c r="A6" s="12">
        <f>'Y7_Class1'!A4</f>
        <v/>
      </c>
      <c r="B6" s="12">
        <f>IF('Y7_Class1'!B4="","",'Y7_Class1'!B4)</f>
        <v/>
      </c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6">
        <f>IF(COUNT(C6:L6)=0,"",SUM(C6:L6))</f>
        <v/>
      </c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6">
        <f>IF(COUNT(N6:W6)=0,"",SUM(N6:W6))</f>
        <v/>
      </c>
    </row>
    <row r="7">
      <c r="A7" s="12">
        <f>'Y7_Class1'!A5</f>
        <v/>
      </c>
      <c r="B7" s="12">
        <f>IF('Y7_Class1'!B5="","",'Y7_Class1'!B5)</f>
        <v/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6">
        <f>IF(COUNT(C7:L7)=0,"",SUM(C7:L7))</f>
        <v/>
      </c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6">
        <f>IF(COUNT(N7:W7)=0,"",SUM(N7:W7))</f>
        <v/>
      </c>
    </row>
    <row r="8">
      <c r="A8" s="12">
        <f>'Y7_Class1'!A6</f>
        <v/>
      </c>
      <c r="B8" s="12">
        <f>IF('Y7_Class1'!B6="","",'Y7_Class1'!B6)</f>
        <v/>
      </c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6">
        <f>IF(COUNT(C8:L8)=0,"",SUM(C8:L8))</f>
        <v/>
      </c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6">
        <f>IF(COUNT(N8:W8)=0,"",SUM(N8:W8))</f>
        <v/>
      </c>
    </row>
    <row r="9">
      <c r="A9" s="12">
        <f>'Y7_Class1'!A7</f>
        <v/>
      </c>
      <c r="B9" s="12">
        <f>IF('Y7_Class1'!B7="","",'Y7_Class1'!B7)</f>
        <v/>
      </c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6">
        <f>IF(COUNT(C9:L9)=0,"",SUM(C9:L9))</f>
        <v/>
      </c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6">
        <f>IF(COUNT(N9:W9)=0,"",SUM(N9:W9))</f>
        <v/>
      </c>
    </row>
    <row r="10">
      <c r="A10" s="12">
        <f>'Y7_Class1'!A8</f>
        <v/>
      </c>
      <c r="B10" s="12">
        <f>IF('Y7_Class1'!B8="","",'Y7_Class1'!B8)</f>
        <v/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6">
        <f>IF(COUNT(C10:L10)=0,"",SUM(C10:L10))</f>
        <v/>
      </c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6">
        <f>IF(COUNT(N10:W10)=0,"",SUM(N10:W10))</f>
        <v/>
      </c>
    </row>
    <row r="11">
      <c r="A11" s="12">
        <f>'Y7_Class1'!A9</f>
        <v/>
      </c>
      <c r="B11" s="12">
        <f>IF('Y7_Class1'!B9="","",'Y7_Class1'!B9)</f>
        <v/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6">
        <f>IF(COUNT(C11:L11)=0,"",SUM(C11:L11))</f>
        <v/>
      </c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6">
        <f>IF(COUNT(N11:W11)=0,"",SUM(N11:W11))</f>
        <v/>
      </c>
    </row>
    <row r="12">
      <c r="A12" s="12">
        <f>'Y7_Class1'!A10</f>
        <v/>
      </c>
      <c r="B12" s="12">
        <f>IF('Y7_Class1'!B10="","",'Y7_Class1'!B10)</f>
        <v/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6">
        <f>IF(COUNT(C12:L12)=0,"",SUM(C12:L12))</f>
        <v/>
      </c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6">
        <f>IF(COUNT(N12:W12)=0,"",SUM(N12:W12))</f>
        <v/>
      </c>
    </row>
    <row r="13">
      <c r="A13" s="12">
        <f>'Y7_Class1'!A11</f>
        <v/>
      </c>
      <c r="B13" s="12">
        <f>IF('Y7_Class1'!B11="","",'Y7_Class1'!B11)</f>
        <v/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6">
        <f>IF(COUNT(C13:L13)=0,"",SUM(C13:L13))</f>
        <v/>
      </c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6">
        <f>IF(COUNT(N13:W13)=0,"",SUM(N13:W13))</f>
        <v/>
      </c>
    </row>
    <row r="14">
      <c r="A14" s="12">
        <f>'Y7_Class1'!A12</f>
        <v/>
      </c>
      <c r="B14" s="12">
        <f>IF('Y7_Class1'!B12="","",'Y7_Class1'!B12)</f>
        <v/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6">
        <f>IF(COUNT(C14:L14)=0,"",SUM(C14:L14))</f>
        <v/>
      </c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6">
        <f>IF(COUNT(N14:W14)=0,"",SUM(N14:W14))</f>
        <v/>
      </c>
    </row>
    <row r="15">
      <c r="A15" s="12">
        <f>'Y7_Class1'!A13</f>
        <v/>
      </c>
      <c r="B15" s="12">
        <f>IF('Y7_Class1'!B13="","",'Y7_Class1'!B13)</f>
        <v/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6">
        <f>IF(COUNT(C15:L15)=0,"",SUM(C15:L15))</f>
        <v/>
      </c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6">
        <f>IF(COUNT(N15:W15)=0,"",SUM(N15:W15))</f>
        <v/>
      </c>
    </row>
    <row r="16">
      <c r="A16" s="12">
        <f>'Y7_Class1'!A14</f>
        <v/>
      </c>
      <c r="B16" s="12">
        <f>IF('Y7_Class1'!B14="","",'Y7_Class1'!B14)</f>
        <v/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6">
        <f>IF(COUNT(C16:L16)=0,"",SUM(C16:L16))</f>
        <v/>
      </c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6">
        <f>IF(COUNT(N16:W16)=0,"",SUM(N16:W16))</f>
        <v/>
      </c>
    </row>
    <row r="17">
      <c r="A17" s="12">
        <f>'Y7_Class1'!A15</f>
        <v/>
      </c>
      <c r="B17" s="12">
        <f>IF('Y7_Class1'!B15="","",'Y7_Class1'!B15)</f>
        <v/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6">
        <f>IF(COUNT(C17:L17)=0,"",SUM(C17:L17))</f>
        <v/>
      </c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6">
        <f>IF(COUNT(N17:W17)=0,"",SUM(N17:W17))</f>
        <v/>
      </c>
    </row>
    <row r="18">
      <c r="A18" s="12">
        <f>'Y7_Class1'!A16</f>
        <v/>
      </c>
      <c r="B18" s="12">
        <f>IF('Y7_Class1'!B16="","",'Y7_Class1'!B16)</f>
        <v/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6">
        <f>IF(COUNT(C18:L18)=0,"",SUM(C18:L18))</f>
        <v/>
      </c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6">
        <f>IF(COUNT(N18:W18)=0,"",SUM(N18:W18))</f>
        <v/>
      </c>
    </row>
    <row r="19">
      <c r="A19" s="12">
        <f>'Y7_Class1'!A17</f>
        <v/>
      </c>
      <c r="B19" s="12">
        <f>IF('Y7_Class1'!B17="","",'Y7_Class1'!B17)</f>
        <v/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6">
        <f>IF(COUNT(C19:L19)=0,"",SUM(C19:L19))</f>
        <v/>
      </c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6">
        <f>IF(COUNT(N19:W19)=0,"",SUM(N19:W19))</f>
        <v/>
      </c>
    </row>
    <row r="20">
      <c r="A20" s="12">
        <f>'Y7_Class1'!A18</f>
        <v/>
      </c>
      <c r="B20" s="12">
        <f>IF('Y7_Class1'!B18="","",'Y7_Class1'!B18)</f>
        <v/>
      </c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6">
        <f>IF(COUNT(C20:L20)=0,"",SUM(C20:L20))</f>
        <v/>
      </c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6">
        <f>IF(COUNT(N20:W20)=0,"",SUM(N20:W20))</f>
        <v/>
      </c>
    </row>
    <row r="21">
      <c r="A21" s="12">
        <f>'Y7_Class1'!A19</f>
        <v/>
      </c>
      <c r="B21" s="12">
        <f>IF('Y7_Class1'!B19="","",'Y7_Class1'!B19)</f>
        <v/>
      </c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6">
        <f>IF(COUNT(C21:L21)=0,"",SUM(C21:L21))</f>
        <v/>
      </c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6">
        <f>IF(COUNT(N21:W21)=0,"",SUM(N21:W21))</f>
        <v/>
      </c>
    </row>
    <row r="22">
      <c r="A22" s="12">
        <f>'Y7_Class1'!A20</f>
        <v/>
      </c>
      <c r="B22" s="12">
        <f>IF('Y7_Class1'!B20="","",'Y7_Class1'!B20)</f>
        <v/>
      </c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6">
        <f>IF(COUNT(C22:L22)=0,"",SUM(C22:L22))</f>
        <v/>
      </c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6">
        <f>IF(COUNT(N22:W22)=0,"",SUM(N22:W22))</f>
        <v/>
      </c>
    </row>
    <row r="23">
      <c r="A23" s="12">
        <f>'Y7_Class1'!A21</f>
        <v/>
      </c>
      <c r="B23" s="12">
        <f>IF('Y7_Class1'!B21="","",'Y7_Class1'!B21)</f>
        <v/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6">
        <f>IF(COUNT(C23:L23)=0,"",SUM(C23:L23))</f>
        <v/>
      </c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6">
        <f>IF(COUNT(N23:W23)=0,"",SUM(N23:W23))</f>
        <v/>
      </c>
    </row>
    <row r="24">
      <c r="A24" s="12">
        <f>'Y7_Class1'!A22</f>
        <v/>
      </c>
      <c r="B24" s="12">
        <f>IF('Y7_Class1'!B22="","",'Y7_Class1'!B22)</f>
        <v/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6">
        <f>IF(COUNT(C24:L24)=0,"",SUM(C24:L24))</f>
        <v/>
      </c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6">
        <f>IF(COUNT(N24:W24)=0,"",SUM(N24:W24))</f>
        <v/>
      </c>
    </row>
    <row r="25">
      <c r="A25" s="12">
        <f>'Y7_Class1'!A23</f>
        <v/>
      </c>
      <c r="B25" s="12">
        <f>IF('Y7_Class1'!B23="","",'Y7_Class1'!B23)</f>
        <v/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6">
        <f>IF(COUNT(C25:L25)=0,"",SUM(C25:L25))</f>
        <v/>
      </c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6">
        <f>IF(COUNT(N25:W25)=0,"",SUM(N25:W25))</f>
        <v/>
      </c>
    </row>
    <row r="26">
      <c r="A26" s="12">
        <f>'Y7_Class1'!A24</f>
        <v/>
      </c>
      <c r="B26" s="12">
        <f>IF('Y7_Class1'!B24="","",'Y7_Class1'!B24)</f>
        <v/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6">
        <f>IF(COUNT(C26:L26)=0,"",SUM(C26:L26))</f>
        <v/>
      </c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6">
        <f>IF(COUNT(N26:W26)=0,"",SUM(N26:W26))</f>
        <v/>
      </c>
    </row>
    <row r="27">
      <c r="A27" s="12">
        <f>'Y7_Class1'!A25</f>
        <v/>
      </c>
      <c r="B27" s="12">
        <f>IF('Y7_Class1'!B25="","",'Y7_Class1'!B25)</f>
        <v/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6">
        <f>IF(COUNT(C27:L27)=0,"",SUM(C27:L27))</f>
        <v/>
      </c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6">
        <f>IF(COUNT(N27:W27)=0,"",SUM(N27:W27))</f>
        <v/>
      </c>
    </row>
    <row r="28">
      <c r="B28" s="4" t="inlineStr">
        <is>
          <t>% of marks</t>
        </is>
      </c>
      <c r="C28" s="4">
        <f>IF(COUNT(C4:C27)=0,"",ROUND(SUM(C4:C27)/(COUNT(C4:C27)*C3)*100,0))</f>
        <v/>
      </c>
      <c r="D28" s="4">
        <f>IF(COUNT(D4:D27)=0,"",ROUND(SUM(D4:D27)/(COUNT(D4:D27)*D3)*100,0))</f>
        <v/>
      </c>
      <c r="E28" s="4">
        <f>IF(COUNT(E4:E27)=0,"",ROUND(SUM(E4:E27)/(COUNT(E4:E27)*E3)*100,0))</f>
        <v/>
      </c>
      <c r="F28" s="4">
        <f>IF(COUNT(F4:F27)=0,"",ROUND(SUM(F4:F27)/(COUNT(F4:F27)*F3)*100,0))</f>
        <v/>
      </c>
      <c r="G28" s="4">
        <f>IF(COUNT(G4:G27)=0,"",ROUND(SUM(G4:G27)/(COUNT(G4:G27)*G3)*100,0))</f>
        <v/>
      </c>
      <c r="H28" s="4">
        <f>IF(COUNT(H4:H27)=0,"",ROUND(SUM(H4:H27)/(COUNT(H4:H27)*H3)*100,0))</f>
        <v/>
      </c>
      <c r="I28" s="4">
        <f>IF(COUNT(I4:I27)=0,"",ROUND(SUM(I4:I27)/(COUNT(I4:I27)*I3)*100,0))</f>
        <v/>
      </c>
      <c r="J28" s="4">
        <f>IF(COUNT(J4:J27)=0,"",ROUND(SUM(J4:J27)/(COUNT(J4:J27)*J3)*100,0))</f>
        <v/>
      </c>
      <c r="K28" s="4">
        <f>IF(COUNT(K4:K27)=0,"",ROUND(SUM(K4:K27)/(COUNT(K4:K27)*K3)*100,0))</f>
        <v/>
      </c>
      <c r="L28" s="4">
        <f>IF(COUNT(L4:L27)=0,"",ROUND(SUM(L4:L27)/(COUNT(L4:L27)*L3)*100,0))</f>
        <v/>
      </c>
      <c r="N28" s="4">
        <f>IF(COUNT(N4:N27)=0,"",ROUND(SUM(N4:N27)/(COUNT(N4:N27)*N3)*100,0))</f>
        <v/>
      </c>
      <c r="O28" s="4">
        <f>IF(COUNT(O4:O27)=0,"",ROUND(SUM(O4:O27)/(COUNT(O4:O27)*O3)*100,0))</f>
        <v/>
      </c>
      <c r="P28" s="4">
        <f>IF(COUNT(P4:P27)=0,"",ROUND(SUM(P4:P27)/(COUNT(P4:P27)*P3)*100,0))</f>
        <v/>
      </c>
      <c r="Q28" s="4">
        <f>IF(COUNT(Q4:Q27)=0,"",ROUND(SUM(Q4:Q27)/(COUNT(Q4:Q27)*Q3)*100,0))</f>
        <v/>
      </c>
      <c r="R28" s="4">
        <f>IF(COUNT(R4:R27)=0,"",ROUND(SUM(R4:R27)/(COUNT(R4:R27)*R3)*100,0))</f>
        <v/>
      </c>
      <c r="S28" s="4">
        <f>IF(COUNT(S4:S27)=0,"",ROUND(SUM(S4:S27)/(COUNT(S4:S27)*S3)*100,0))</f>
        <v/>
      </c>
      <c r="T28" s="4">
        <f>IF(COUNT(T4:T27)=0,"",ROUND(SUM(T4:T27)/(COUNT(T4:T27)*T3)*100,0))</f>
        <v/>
      </c>
      <c r="U28" s="4">
        <f>IF(COUNT(U4:U27)=0,"",ROUND(SUM(U4:U27)/(COUNT(U4:U27)*U3)*100,0))</f>
        <v/>
      </c>
      <c r="V28" s="4">
        <f>IF(COUNT(V4:V27)=0,"",ROUND(SUM(V4:V27)/(COUNT(V4:V27)*V3)*100,0))</f>
        <v/>
      </c>
      <c r="W28" s="4">
        <f>IF(COUNT(W4:W27)=0,"",ROUND(SUM(W4:W27)/(COUNT(W4:W27)*W3)*100,0))</f>
        <v/>
      </c>
    </row>
    <row r="31">
      <c r="A31" s="13" t="inlineStr">
        <is>
          <t>Y8_Class1: skills check marks by question</t>
        </is>
      </c>
    </row>
    <row r="32">
      <c r="A32" s="14" t="inlineStr">
        <is>
          <t>No.</t>
        </is>
      </c>
      <c r="B32" s="14" t="inlineStr">
        <is>
          <t>Student name</t>
        </is>
      </c>
      <c r="C32" s="14" t="inlineStr">
        <is>
          <t>W1 Q1</t>
        </is>
      </c>
      <c r="D32" s="14" t="inlineStr">
        <is>
          <t>W1 Q2</t>
        </is>
      </c>
      <c r="E32" s="14" t="inlineStr">
        <is>
          <t>W1 Q3</t>
        </is>
      </c>
      <c r="F32" s="14" t="inlineStr">
        <is>
          <t>W1 Q4</t>
        </is>
      </c>
      <c r="G32" s="14" t="inlineStr">
        <is>
          <t>W1 Q5</t>
        </is>
      </c>
      <c r="H32" s="14" t="inlineStr">
        <is>
          <t>W1 Q6</t>
        </is>
      </c>
      <c r="I32" s="14" t="inlineStr">
        <is>
          <t>W1 Q7</t>
        </is>
      </c>
      <c r="J32" s="14" t="inlineStr">
        <is>
          <t>W1 Q8</t>
        </is>
      </c>
      <c r="K32" s="14" t="inlineStr">
        <is>
          <t>W1 Q9</t>
        </is>
      </c>
      <c r="L32" s="14" t="inlineStr">
        <is>
          <t>W1 Q10</t>
        </is>
      </c>
      <c r="M32" s="14" t="inlineStr">
        <is>
          <t>W1 total</t>
        </is>
      </c>
      <c r="N32" s="14" t="inlineStr">
        <is>
          <t>W10 Q1</t>
        </is>
      </c>
      <c r="O32" s="14" t="inlineStr">
        <is>
          <t>W10 Q2</t>
        </is>
      </c>
      <c r="P32" s="14" t="inlineStr">
        <is>
          <t>W10 Q3</t>
        </is>
      </c>
      <c r="Q32" s="14" t="inlineStr">
        <is>
          <t>W10 Q4</t>
        </is>
      </c>
      <c r="R32" s="14" t="inlineStr">
        <is>
          <t>W10 Q5</t>
        </is>
      </c>
      <c r="S32" s="14" t="inlineStr">
        <is>
          <t>W10 Q6</t>
        </is>
      </c>
      <c r="T32" s="14" t="inlineStr">
        <is>
          <t>W10 Q7</t>
        </is>
      </c>
      <c r="U32" s="14" t="inlineStr">
        <is>
          <t>W10 Q8</t>
        </is>
      </c>
      <c r="V32" s="14" t="inlineStr">
        <is>
          <t>W10 Q9</t>
        </is>
      </c>
      <c r="W32" s="14" t="inlineStr">
        <is>
          <t>W10 Q10</t>
        </is>
      </c>
      <c r="X32" s="14" t="inlineStr">
        <is>
          <t>W10 total</t>
        </is>
      </c>
    </row>
    <row r="33">
      <c r="B33" s="6" t="inlineStr">
        <is>
          <t>Max marks</t>
        </is>
      </c>
      <c r="C33" s="6" t="n">
        <v>2</v>
      </c>
      <c r="D33" s="6" t="n">
        <v>1</v>
      </c>
      <c r="E33" s="6" t="n">
        <v>3</v>
      </c>
      <c r="F33" s="6" t="n">
        <v>2</v>
      </c>
      <c r="G33" s="6" t="n">
        <v>2</v>
      </c>
      <c r="H33" s="6" t="n">
        <v>3</v>
      </c>
      <c r="I33" s="6" t="n">
        <v>1</v>
      </c>
      <c r="J33" s="6" t="n">
        <v>2</v>
      </c>
      <c r="K33" s="6" t="n">
        <v>2</v>
      </c>
      <c r="L33" s="6" t="n">
        <v>2</v>
      </c>
      <c r="M33" s="6" t="n">
        <v>20</v>
      </c>
      <c r="N33" s="6" t="n">
        <v>2</v>
      </c>
      <c r="O33" s="6" t="n">
        <v>1</v>
      </c>
      <c r="P33" s="6" t="n">
        <v>3</v>
      </c>
      <c r="Q33" s="6" t="n">
        <v>2</v>
      </c>
      <c r="R33" s="6" t="n">
        <v>2</v>
      </c>
      <c r="S33" s="6" t="n">
        <v>3</v>
      </c>
      <c r="T33" s="6" t="n">
        <v>1</v>
      </c>
      <c r="U33" s="6" t="n">
        <v>2</v>
      </c>
      <c r="V33" s="6" t="n">
        <v>2</v>
      </c>
      <c r="W33" s="6" t="n">
        <v>2</v>
      </c>
      <c r="X33" s="6" t="n">
        <v>20</v>
      </c>
    </row>
    <row r="34">
      <c r="A34" s="12">
        <f>'Y8_Class1'!A2</f>
        <v/>
      </c>
      <c r="B34" s="12">
        <f>IF('Y8_Class1'!B2="","",'Y8_Class1'!B2)</f>
        <v/>
      </c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6">
        <f>IF(COUNT(C34:L34)=0,"",SUM(C34:L34))</f>
        <v/>
      </c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6">
        <f>IF(COUNT(N34:W34)=0,"",SUM(N34:W34))</f>
        <v/>
      </c>
    </row>
    <row r="35">
      <c r="A35" s="12">
        <f>'Y8_Class1'!A3</f>
        <v/>
      </c>
      <c r="B35" s="12">
        <f>IF('Y8_Class1'!B3="","",'Y8_Class1'!B3)</f>
        <v/>
      </c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6">
        <f>IF(COUNT(C35:L35)=0,"",SUM(C35:L35))</f>
        <v/>
      </c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6">
        <f>IF(COUNT(N35:W35)=0,"",SUM(N35:W35))</f>
        <v/>
      </c>
    </row>
    <row r="36">
      <c r="A36" s="12">
        <f>'Y8_Class1'!A4</f>
        <v/>
      </c>
      <c r="B36" s="12">
        <f>IF('Y8_Class1'!B4="","",'Y8_Class1'!B4)</f>
        <v/>
      </c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6">
        <f>IF(COUNT(C36:L36)=0,"",SUM(C36:L36))</f>
        <v/>
      </c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6">
        <f>IF(COUNT(N36:W36)=0,"",SUM(N36:W36))</f>
        <v/>
      </c>
    </row>
    <row r="37">
      <c r="A37" s="12">
        <f>'Y8_Class1'!A5</f>
        <v/>
      </c>
      <c r="B37" s="12">
        <f>IF('Y8_Class1'!B5="","",'Y8_Class1'!B5)</f>
        <v/>
      </c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6">
        <f>IF(COUNT(C37:L37)=0,"",SUM(C37:L37))</f>
        <v/>
      </c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6">
        <f>IF(COUNT(N37:W37)=0,"",SUM(N37:W37))</f>
        <v/>
      </c>
    </row>
    <row r="38">
      <c r="A38" s="12">
        <f>'Y8_Class1'!A6</f>
        <v/>
      </c>
      <c r="B38" s="12">
        <f>IF('Y8_Class1'!B6="","",'Y8_Class1'!B6)</f>
        <v/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6">
        <f>IF(COUNT(C38:L38)=0,"",SUM(C38:L38))</f>
        <v/>
      </c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6">
        <f>IF(COUNT(N38:W38)=0,"",SUM(N38:W38))</f>
        <v/>
      </c>
    </row>
    <row r="39">
      <c r="A39" s="12">
        <f>'Y8_Class1'!A7</f>
        <v/>
      </c>
      <c r="B39" s="12">
        <f>IF('Y8_Class1'!B7="","",'Y8_Class1'!B7)</f>
        <v/>
      </c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6">
        <f>IF(COUNT(C39:L39)=0,"",SUM(C39:L39))</f>
        <v/>
      </c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6">
        <f>IF(COUNT(N39:W39)=0,"",SUM(N39:W39))</f>
        <v/>
      </c>
    </row>
    <row r="40">
      <c r="A40" s="12">
        <f>'Y8_Class1'!A8</f>
        <v/>
      </c>
      <c r="B40" s="12">
        <f>IF('Y8_Class1'!B8="","",'Y8_Class1'!B8)</f>
        <v/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6">
        <f>IF(COUNT(C40:L40)=0,"",SUM(C40:L40))</f>
        <v/>
      </c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6">
        <f>IF(COUNT(N40:W40)=0,"",SUM(N40:W40))</f>
        <v/>
      </c>
    </row>
    <row r="41">
      <c r="A41" s="12">
        <f>'Y8_Class1'!A9</f>
        <v/>
      </c>
      <c r="B41" s="12">
        <f>IF('Y8_Class1'!B9="","",'Y8_Class1'!B9)</f>
        <v/>
      </c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6">
        <f>IF(COUNT(C41:L41)=0,"",SUM(C41:L41))</f>
        <v/>
      </c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6">
        <f>IF(COUNT(N41:W41)=0,"",SUM(N41:W41))</f>
        <v/>
      </c>
    </row>
    <row r="42">
      <c r="A42" s="12">
        <f>'Y8_Class1'!A10</f>
        <v/>
      </c>
      <c r="B42" s="12">
        <f>IF('Y8_Class1'!B10="","",'Y8_Class1'!B10)</f>
        <v/>
      </c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6">
        <f>IF(COUNT(C42:L42)=0,"",SUM(C42:L42))</f>
        <v/>
      </c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6">
        <f>IF(COUNT(N42:W42)=0,"",SUM(N42:W42))</f>
        <v/>
      </c>
    </row>
    <row r="43">
      <c r="A43" s="12">
        <f>'Y8_Class1'!A11</f>
        <v/>
      </c>
      <c r="B43" s="12">
        <f>IF('Y8_Class1'!B11="","",'Y8_Class1'!B11)</f>
        <v/>
      </c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6">
        <f>IF(COUNT(C43:L43)=0,"",SUM(C43:L43))</f>
        <v/>
      </c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6">
        <f>IF(COUNT(N43:W43)=0,"",SUM(N43:W43))</f>
        <v/>
      </c>
    </row>
    <row r="44">
      <c r="A44" s="12">
        <f>'Y8_Class1'!A12</f>
        <v/>
      </c>
      <c r="B44" s="12">
        <f>IF('Y8_Class1'!B12="","",'Y8_Class1'!B12)</f>
        <v/>
      </c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6">
        <f>IF(COUNT(C44:L44)=0,"",SUM(C44:L44))</f>
        <v/>
      </c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6">
        <f>IF(COUNT(N44:W44)=0,"",SUM(N44:W44))</f>
        <v/>
      </c>
    </row>
    <row r="45">
      <c r="A45" s="12">
        <f>'Y8_Class1'!A13</f>
        <v/>
      </c>
      <c r="B45" s="12">
        <f>IF('Y8_Class1'!B13="","",'Y8_Class1'!B13)</f>
        <v/>
      </c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6">
        <f>IF(COUNT(C45:L45)=0,"",SUM(C45:L45))</f>
        <v/>
      </c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6">
        <f>IF(COUNT(N45:W45)=0,"",SUM(N45:W45))</f>
        <v/>
      </c>
    </row>
    <row r="46">
      <c r="A46" s="12">
        <f>'Y8_Class1'!A14</f>
        <v/>
      </c>
      <c r="B46" s="12">
        <f>IF('Y8_Class1'!B14="","",'Y8_Class1'!B14)</f>
        <v/>
      </c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6">
        <f>IF(COUNT(C46:L46)=0,"",SUM(C46:L46))</f>
        <v/>
      </c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6">
        <f>IF(COUNT(N46:W46)=0,"",SUM(N46:W46))</f>
        <v/>
      </c>
    </row>
    <row r="47">
      <c r="A47" s="12">
        <f>'Y8_Class1'!A15</f>
        <v/>
      </c>
      <c r="B47" s="12">
        <f>IF('Y8_Class1'!B15="","",'Y8_Class1'!B15)</f>
        <v/>
      </c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6">
        <f>IF(COUNT(C47:L47)=0,"",SUM(C47:L47))</f>
        <v/>
      </c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6">
        <f>IF(COUNT(N47:W47)=0,"",SUM(N47:W47))</f>
        <v/>
      </c>
    </row>
    <row r="48">
      <c r="A48" s="12">
        <f>'Y8_Class1'!A16</f>
        <v/>
      </c>
      <c r="B48" s="12">
        <f>IF('Y8_Class1'!B16="","",'Y8_Class1'!B16)</f>
        <v/>
      </c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6">
        <f>IF(COUNT(C48:L48)=0,"",SUM(C48:L48))</f>
        <v/>
      </c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6">
        <f>IF(COUNT(N48:W48)=0,"",SUM(N48:W48))</f>
        <v/>
      </c>
    </row>
    <row r="49">
      <c r="A49" s="12">
        <f>'Y8_Class1'!A17</f>
        <v/>
      </c>
      <c r="B49" s="12">
        <f>IF('Y8_Class1'!B17="","",'Y8_Class1'!B17)</f>
        <v/>
      </c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6">
        <f>IF(COUNT(C49:L49)=0,"",SUM(C49:L49))</f>
        <v/>
      </c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6">
        <f>IF(COUNT(N49:W49)=0,"",SUM(N49:W49))</f>
        <v/>
      </c>
    </row>
    <row r="50">
      <c r="A50" s="12">
        <f>'Y8_Class1'!A18</f>
        <v/>
      </c>
      <c r="B50" s="12">
        <f>IF('Y8_Class1'!B18="","",'Y8_Class1'!B18)</f>
        <v/>
      </c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6">
        <f>IF(COUNT(C50:L50)=0,"",SUM(C50:L50))</f>
        <v/>
      </c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6">
        <f>IF(COUNT(N50:W50)=0,"",SUM(N50:W50))</f>
        <v/>
      </c>
    </row>
    <row r="51">
      <c r="A51" s="12">
        <f>'Y8_Class1'!A19</f>
        <v/>
      </c>
      <c r="B51" s="12">
        <f>IF('Y8_Class1'!B19="","",'Y8_Class1'!B19)</f>
        <v/>
      </c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6">
        <f>IF(COUNT(C51:L51)=0,"",SUM(C51:L51))</f>
        <v/>
      </c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6">
        <f>IF(COUNT(N51:W51)=0,"",SUM(N51:W51))</f>
        <v/>
      </c>
    </row>
    <row r="52">
      <c r="A52" s="12">
        <f>'Y8_Class1'!A20</f>
        <v/>
      </c>
      <c r="B52" s="12">
        <f>IF('Y8_Class1'!B20="","",'Y8_Class1'!B20)</f>
        <v/>
      </c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6">
        <f>IF(COUNT(C52:L52)=0,"",SUM(C52:L52))</f>
        <v/>
      </c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6">
        <f>IF(COUNT(N52:W52)=0,"",SUM(N52:W52))</f>
        <v/>
      </c>
    </row>
    <row r="53">
      <c r="A53" s="12">
        <f>'Y8_Class1'!A21</f>
        <v/>
      </c>
      <c r="B53" s="12">
        <f>IF('Y8_Class1'!B21="","",'Y8_Class1'!B21)</f>
        <v/>
      </c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6">
        <f>IF(COUNT(C53:L53)=0,"",SUM(C53:L53))</f>
        <v/>
      </c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6">
        <f>IF(COUNT(N53:W53)=0,"",SUM(N53:W53))</f>
        <v/>
      </c>
    </row>
    <row r="54">
      <c r="A54" s="12">
        <f>'Y8_Class1'!A22</f>
        <v/>
      </c>
      <c r="B54" s="12">
        <f>IF('Y8_Class1'!B22="","",'Y8_Class1'!B22)</f>
        <v/>
      </c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6">
        <f>IF(COUNT(C54:L54)=0,"",SUM(C54:L54))</f>
        <v/>
      </c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6">
        <f>IF(COUNT(N54:W54)=0,"",SUM(N54:W54))</f>
        <v/>
      </c>
    </row>
    <row r="55">
      <c r="A55" s="12">
        <f>'Y8_Class1'!A23</f>
        <v/>
      </c>
      <c r="B55" s="12">
        <f>IF('Y8_Class1'!B23="","",'Y8_Class1'!B23)</f>
        <v/>
      </c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6">
        <f>IF(COUNT(C55:L55)=0,"",SUM(C55:L55))</f>
        <v/>
      </c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6">
        <f>IF(COUNT(N55:W55)=0,"",SUM(N55:W55))</f>
        <v/>
      </c>
    </row>
    <row r="56">
      <c r="A56" s="12">
        <f>'Y8_Class1'!A24</f>
        <v/>
      </c>
      <c r="B56" s="12">
        <f>IF('Y8_Class1'!B24="","",'Y8_Class1'!B24)</f>
        <v/>
      </c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6">
        <f>IF(COUNT(C56:L56)=0,"",SUM(C56:L56))</f>
        <v/>
      </c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6">
        <f>IF(COUNT(N56:W56)=0,"",SUM(N56:W56))</f>
        <v/>
      </c>
    </row>
    <row r="57">
      <c r="A57" s="12">
        <f>'Y8_Class1'!A25</f>
        <v/>
      </c>
      <c r="B57" s="12">
        <f>IF('Y8_Class1'!B25="","",'Y8_Class1'!B25)</f>
        <v/>
      </c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6">
        <f>IF(COUNT(C57:L57)=0,"",SUM(C57:L57))</f>
        <v/>
      </c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6">
        <f>IF(COUNT(N57:W57)=0,"",SUM(N57:W57))</f>
        <v/>
      </c>
    </row>
    <row r="58">
      <c r="B58" s="4" t="inlineStr">
        <is>
          <t>% of marks</t>
        </is>
      </c>
      <c r="C58" s="4">
        <f>IF(COUNT(C34:C57)=0,"",ROUND(SUM(C34:C57)/(COUNT(C34:C57)*C33)*100,0))</f>
        <v/>
      </c>
      <c r="D58" s="4">
        <f>IF(COUNT(D34:D57)=0,"",ROUND(SUM(D34:D57)/(COUNT(D34:D57)*D33)*100,0))</f>
        <v/>
      </c>
      <c r="E58" s="4">
        <f>IF(COUNT(E34:E57)=0,"",ROUND(SUM(E34:E57)/(COUNT(E34:E57)*E33)*100,0))</f>
        <v/>
      </c>
      <c r="F58" s="4">
        <f>IF(COUNT(F34:F57)=0,"",ROUND(SUM(F34:F57)/(COUNT(F34:F57)*F33)*100,0))</f>
        <v/>
      </c>
      <c r="G58" s="4">
        <f>IF(COUNT(G34:G57)=0,"",ROUND(SUM(G34:G57)/(COUNT(G34:G57)*G33)*100,0))</f>
        <v/>
      </c>
      <c r="H58" s="4">
        <f>IF(COUNT(H34:H57)=0,"",ROUND(SUM(H34:H57)/(COUNT(H34:H57)*H33)*100,0))</f>
        <v/>
      </c>
      <c r="I58" s="4">
        <f>IF(COUNT(I34:I57)=0,"",ROUND(SUM(I34:I57)/(COUNT(I34:I57)*I33)*100,0))</f>
        <v/>
      </c>
      <c r="J58" s="4">
        <f>IF(COUNT(J34:J57)=0,"",ROUND(SUM(J34:J57)/(COUNT(J34:J57)*J33)*100,0))</f>
        <v/>
      </c>
      <c r="K58" s="4">
        <f>IF(COUNT(K34:K57)=0,"",ROUND(SUM(K34:K57)/(COUNT(K34:K57)*K33)*100,0))</f>
        <v/>
      </c>
      <c r="L58" s="4">
        <f>IF(COUNT(L34:L57)=0,"",ROUND(SUM(L34:L57)/(COUNT(L34:L57)*L33)*100,0))</f>
        <v/>
      </c>
      <c r="N58" s="4">
        <f>IF(COUNT(N34:N57)=0,"",ROUND(SUM(N34:N57)/(COUNT(N34:N57)*N33)*100,0))</f>
        <v/>
      </c>
      <c r="O58" s="4">
        <f>IF(COUNT(O34:O57)=0,"",ROUND(SUM(O34:O57)/(COUNT(O34:O57)*O33)*100,0))</f>
        <v/>
      </c>
      <c r="P58" s="4">
        <f>IF(COUNT(P34:P57)=0,"",ROUND(SUM(P34:P57)/(COUNT(P34:P57)*P33)*100,0))</f>
        <v/>
      </c>
      <c r="Q58" s="4">
        <f>IF(COUNT(Q34:Q57)=0,"",ROUND(SUM(Q34:Q57)/(COUNT(Q34:Q57)*Q33)*100,0))</f>
        <v/>
      </c>
      <c r="R58" s="4">
        <f>IF(COUNT(R34:R57)=0,"",ROUND(SUM(R34:R57)/(COUNT(R34:R57)*R33)*100,0))</f>
        <v/>
      </c>
      <c r="S58" s="4">
        <f>IF(COUNT(S34:S57)=0,"",ROUND(SUM(S34:S57)/(COUNT(S34:S57)*S33)*100,0))</f>
        <v/>
      </c>
      <c r="T58" s="4">
        <f>IF(COUNT(T34:T57)=0,"",ROUND(SUM(T34:T57)/(COUNT(T34:T57)*T33)*100,0))</f>
        <v/>
      </c>
      <c r="U58" s="4">
        <f>IF(COUNT(U34:U57)=0,"",ROUND(SUM(U34:U57)/(COUNT(U34:U57)*U33)*100,0))</f>
        <v/>
      </c>
      <c r="V58" s="4">
        <f>IF(COUNT(V34:V57)=0,"",ROUND(SUM(V34:V57)/(COUNT(V34:V57)*V33)*100,0))</f>
        <v/>
      </c>
      <c r="W58" s="4">
        <f>IF(COUNT(W34:W57)=0,"",ROUND(SUM(W34:W57)/(COUNT(W34:W57)*W33)*100,0))</f>
        <v/>
      </c>
    </row>
    <row r="61">
      <c r="A61" s="13" t="inlineStr">
        <is>
          <t>Y9_Class1: skills check marks by question</t>
        </is>
      </c>
    </row>
    <row r="62">
      <c r="A62" s="14" t="inlineStr">
        <is>
          <t>No.</t>
        </is>
      </c>
      <c r="B62" s="14" t="inlineStr">
        <is>
          <t>Student name</t>
        </is>
      </c>
      <c r="C62" s="14" t="inlineStr">
        <is>
          <t>W1 Q1</t>
        </is>
      </c>
      <c r="D62" s="14" t="inlineStr">
        <is>
          <t>W1 Q2</t>
        </is>
      </c>
      <c r="E62" s="14" t="inlineStr">
        <is>
          <t>W1 Q3</t>
        </is>
      </c>
      <c r="F62" s="14" t="inlineStr">
        <is>
          <t>W1 Q4</t>
        </is>
      </c>
      <c r="G62" s="14" t="inlineStr">
        <is>
          <t>W1 Q5</t>
        </is>
      </c>
      <c r="H62" s="14" t="inlineStr">
        <is>
          <t>W1 Q6</t>
        </is>
      </c>
      <c r="I62" s="14" t="inlineStr">
        <is>
          <t>W1 Q7</t>
        </is>
      </c>
      <c r="J62" s="14" t="inlineStr">
        <is>
          <t>W1 Q8</t>
        </is>
      </c>
      <c r="K62" s="14" t="inlineStr">
        <is>
          <t>W1 Q9</t>
        </is>
      </c>
      <c r="L62" s="14" t="inlineStr">
        <is>
          <t>W1 Q10</t>
        </is>
      </c>
      <c r="M62" s="14" t="inlineStr">
        <is>
          <t>W1 total</t>
        </is>
      </c>
      <c r="N62" s="14" t="inlineStr">
        <is>
          <t>W10 Q1</t>
        </is>
      </c>
      <c r="O62" s="14" t="inlineStr">
        <is>
          <t>W10 Q2</t>
        </is>
      </c>
      <c r="P62" s="14" t="inlineStr">
        <is>
          <t>W10 Q3</t>
        </is>
      </c>
      <c r="Q62" s="14" t="inlineStr">
        <is>
          <t>W10 Q4</t>
        </is>
      </c>
      <c r="R62" s="14" t="inlineStr">
        <is>
          <t>W10 Q5</t>
        </is>
      </c>
      <c r="S62" s="14" t="inlineStr">
        <is>
          <t>W10 Q6</t>
        </is>
      </c>
      <c r="T62" s="14" t="inlineStr">
        <is>
          <t>W10 Q7</t>
        </is>
      </c>
      <c r="U62" s="14" t="inlineStr">
        <is>
          <t>W10 Q8</t>
        </is>
      </c>
      <c r="V62" s="14" t="inlineStr">
        <is>
          <t>W10 Q9</t>
        </is>
      </c>
      <c r="W62" s="14" t="inlineStr">
        <is>
          <t>W10 Q10</t>
        </is>
      </c>
      <c r="X62" s="14" t="inlineStr">
        <is>
          <t>W10 total</t>
        </is>
      </c>
    </row>
    <row r="63">
      <c r="B63" s="6" t="inlineStr">
        <is>
          <t>Max marks</t>
        </is>
      </c>
      <c r="C63" s="6" t="n">
        <v>2</v>
      </c>
      <c r="D63" s="6" t="n">
        <v>1</v>
      </c>
      <c r="E63" s="6" t="n">
        <v>3</v>
      </c>
      <c r="F63" s="6" t="n">
        <v>2</v>
      </c>
      <c r="G63" s="6" t="n">
        <v>2</v>
      </c>
      <c r="H63" s="6" t="n">
        <v>3</v>
      </c>
      <c r="I63" s="6" t="n">
        <v>1</v>
      </c>
      <c r="J63" s="6" t="n">
        <v>2</v>
      </c>
      <c r="K63" s="6" t="n">
        <v>2</v>
      </c>
      <c r="L63" s="6" t="n">
        <v>2</v>
      </c>
      <c r="M63" s="6" t="n">
        <v>20</v>
      </c>
      <c r="N63" s="6" t="n">
        <v>2</v>
      </c>
      <c r="O63" s="6" t="n">
        <v>1</v>
      </c>
      <c r="P63" s="6" t="n">
        <v>3</v>
      </c>
      <c r="Q63" s="6" t="n">
        <v>2</v>
      </c>
      <c r="R63" s="6" t="n">
        <v>2</v>
      </c>
      <c r="S63" s="6" t="n">
        <v>3</v>
      </c>
      <c r="T63" s="6" t="n">
        <v>1</v>
      </c>
      <c r="U63" s="6" t="n">
        <v>2</v>
      </c>
      <c r="V63" s="6" t="n">
        <v>2</v>
      </c>
      <c r="W63" s="6" t="n">
        <v>2</v>
      </c>
      <c r="X63" s="6" t="n">
        <v>20</v>
      </c>
    </row>
    <row r="64">
      <c r="A64" s="12">
        <f>'Y9_Class1'!A2</f>
        <v/>
      </c>
      <c r="B64" s="12">
        <f>IF('Y9_Class1'!B2="","",'Y9_Class1'!B2)</f>
        <v/>
      </c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6">
        <f>IF(COUNT(C64:L64)=0,"",SUM(C64:L64))</f>
        <v/>
      </c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6">
        <f>IF(COUNT(N64:W64)=0,"",SUM(N64:W64))</f>
        <v/>
      </c>
    </row>
    <row r="65">
      <c r="A65" s="12">
        <f>'Y9_Class1'!A3</f>
        <v/>
      </c>
      <c r="B65" s="12">
        <f>IF('Y9_Class1'!B3="","",'Y9_Class1'!B3)</f>
        <v/>
      </c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6">
        <f>IF(COUNT(C65:L65)=0,"",SUM(C65:L65))</f>
        <v/>
      </c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6">
        <f>IF(COUNT(N65:W65)=0,"",SUM(N65:W65))</f>
        <v/>
      </c>
    </row>
    <row r="66">
      <c r="A66" s="12">
        <f>'Y9_Class1'!A4</f>
        <v/>
      </c>
      <c r="B66" s="12">
        <f>IF('Y9_Class1'!B4="","",'Y9_Class1'!B4)</f>
        <v/>
      </c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6">
        <f>IF(COUNT(C66:L66)=0,"",SUM(C66:L66))</f>
        <v/>
      </c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6">
        <f>IF(COUNT(N66:W66)=0,"",SUM(N66:W66))</f>
        <v/>
      </c>
    </row>
    <row r="67">
      <c r="A67" s="12">
        <f>'Y9_Class1'!A5</f>
        <v/>
      </c>
      <c r="B67" s="12">
        <f>IF('Y9_Class1'!B5="","",'Y9_Class1'!B5)</f>
        <v/>
      </c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6">
        <f>IF(COUNT(C67:L67)=0,"",SUM(C67:L67))</f>
        <v/>
      </c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6">
        <f>IF(COUNT(N67:W67)=0,"",SUM(N67:W67))</f>
        <v/>
      </c>
    </row>
    <row r="68">
      <c r="A68" s="12">
        <f>'Y9_Class1'!A6</f>
        <v/>
      </c>
      <c r="B68" s="12">
        <f>IF('Y9_Class1'!B6="","",'Y9_Class1'!B6)</f>
        <v/>
      </c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6">
        <f>IF(COUNT(C68:L68)=0,"",SUM(C68:L68))</f>
        <v/>
      </c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6">
        <f>IF(COUNT(N68:W68)=0,"",SUM(N68:W68))</f>
        <v/>
      </c>
    </row>
    <row r="69">
      <c r="A69" s="12">
        <f>'Y9_Class1'!A7</f>
        <v/>
      </c>
      <c r="B69" s="12">
        <f>IF('Y9_Class1'!B7="","",'Y9_Class1'!B7)</f>
        <v/>
      </c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6">
        <f>IF(COUNT(C69:L69)=0,"",SUM(C69:L69))</f>
        <v/>
      </c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6">
        <f>IF(COUNT(N69:W69)=0,"",SUM(N69:W69))</f>
        <v/>
      </c>
    </row>
    <row r="70">
      <c r="A70" s="12">
        <f>'Y9_Class1'!A8</f>
        <v/>
      </c>
      <c r="B70" s="12">
        <f>IF('Y9_Class1'!B8="","",'Y9_Class1'!B8)</f>
        <v/>
      </c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6">
        <f>IF(COUNT(C70:L70)=0,"",SUM(C70:L70))</f>
        <v/>
      </c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6">
        <f>IF(COUNT(N70:W70)=0,"",SUM(N70:W70))</f>
        <v/>
      </c>
    </row>
    <row r="71">
      <c r="A71" s="12">
        <f>'Y9_Class1'!A9</f>
        <v/>
      </c>
      <c r="B71" s="12">
        <f>IF('Y9_Class1'!B9="","",'Y9_Class1'!B9)</f>
        <v/>
      </c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6">
        <f>IF(COUNT(C71:L71)=0,"",SUM(C71:L71))</f>
        <v/>
      </c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6">
        <f>IF(COUNT(N71:W71)=0,"",SUM(N71:W71))</f>
        <v/>
      </c>
    </row>
    <row r="72">
      <c r="A72" s="12">
        <f>'Y9_Class1'!A10</f>
        <v/>
      </c>
      <c r="B72" s="12">
        <f>IF('Y9_Class1'!B10="","",'Y9_Class1'!B10)</f>
        <v/>
      </c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6">
        <f>IF(COUNT(C72:L72)=0,"",SUM(C72:L72))</f>
        <v/>
      </c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6">
        <f>IF(COUNT(N72:W72)=0,"",SUM(N72:W72))</f>
        <v/>
      </c>
    </row>
    <row r="73">
      <c r="A73" s="12">
        <f>'Y9_Class1'!A11</f>
        <v/>
      </c>
      <c r="B73" s="12">
        <f>IF('Y9_Class1'!B11="","",'Y9_Class1'!B11)</f>
        <v/>
      </c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6">
        <f>IF(COUNT(C73:L73)=0,"",SUM(C73:L73))</f>
        <v/>
      </c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6">
        <f>IF(COUNT(N73:W73)=0,"",SUM(N73:W73))</f>
        <v/>
      </c>
    </row>
    <row r="74">
      <c r="A74" s="12">
        <f>'Y9_Class1'!A12</f>
        <v/>
      </c>
      <c r="B74" s="12">
        <f>IF('Y9_Class1'!B12="","",'Y9_Class1'!B12)</f>
        <v/>
      </c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6">
        <f>IF(COUNT(C74:L74)=0,"",SUM(C74:L74))</f>
        <v/>
      </c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6">
        <f>IF(COUNT(N74:W74)=0,"",SUM(N74:W74))</f>
        <v/>
      </c>
    </row>
    <row r="75">
      <c r="A75" s="12">
        <f>'Y9_Class1'!A13</f>
        <v/>
      </c>
      <c r="B75" s="12">
        <f>IF('Y9_Class1'!B13="","",'Y9_Class1'!B13)</f>
        <v/>
      </c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6">
        <f>IF(COUNT(C75:L75)=0,"",SUM(C75:L75))</f>
        <v/>
      </c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6">
        <f>IF(COUNT(N75:W75)=0,"",SUM(N75:W75))</f>
        <v/>
      </c>
    </row>
    <row r="76">
      <c r="A76" s="12">
        <f>'Y9_Class1'!A14</f>
        <v/>
      </c>
      <c r="B76" s="12">
        <f>IF('Y9_Class1'!B14="","",'Y9_Class1'!B14)</f>
        <v/>
      </c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6">
        <f>IF(COUNT(C76:L76)=0,"",SUM(C76:L76))</f>
        <v/>
      </c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6">
        <f>IF(COUNT(N76:W76)=0,"",SUM(N76:W76))</f>
        <v/>
      </c>
    </row>
    <row r="77">
      <c r="A77" s="12">
        <f>'Y9_Class1'!A15</f>
        <v/>
      </c>
      <c r="B77" s="12">
        <f>IF('Y9_Class1'!B15="","",'Y9_Class1'!B15)</f>
        <v/>
      </c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6">
        <f>IF(COUNT(C77:L77)=0,"",SUM(C77:L77))</f>
        <v/>
      </c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6">
        <f>IF(COUNT(N77:W77)=0,"",SUM(N77:W77))</f>
        <v/>
      </c>
    </row>
    <row r="78">
      <c r="A78" s="12">
        <f>'Y9_Class1'!A16</f>
        <v/>
      </c>
      <c r="B78" s="12">
        <f>IF('Y9_Class1'!B16="","",'Y9_Class1'!B16)</f>
        <v/>
      </c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6">
        <f>IF(COUNT(C78:L78)=0,"",SUM(C78:L78))</f>
        <v/>
      </c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6">
        <f>IF(COUNT(N78:W78)=0,"",SUM(N78:W78))</f>
        <v/>
      </c>
    </row>
    <row r="79">
      <c r="A79" s="12">
        <f>'Y9_Class1'!A17</f>
        <v/>
      </c>
      <c r="B79" s="12">
        <f>IF('Y9_Class1'!B17="","",'Y9_Class1'!B17)</f>
        <v/>
      </c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6">
        <f>IF(COUNT(C79:L79)=0,"",SUM(C79:L79))</f>
        <v/>
      </c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6">
        <f>IF(COUNT(N79:W79)=0,"",SUM(N79:W79))</f>
        <v/>
      </c>
    </row>
    <row r="80">
      <c r="A80" s="12">
        <f>'Y9_Class1'!A18</f>
        <v/>
      </c>
      <c r="B80" s="12">
        <f>IF('Y9_Class1'!B18="","",'Y9_Class1'!B18)</f>
        <v/>
      </c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6">
        <f>IF(COUNT(C80:L80)=0,"",SUM(C80:L80))</f>
        <v/>
      </c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6">
        <f>IF(COUNT(N80:W80)=0,"",SUM(N80:W80))</f>
        <v/>
      </c>
    </row>
    <row r="81">
      <c r="A81" s="12">
        <f>'Y9_Class1'!A19</f>
        <v/>
      </c>
      <c r="B81" s="12">
        <f>IF('Y9_Class1'!B19="","",'Y9_Class1'!B19)</f>
        <v/>
      </c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6">
        <f>IF(COUNT(C81:L81)=0,"",SUM(C81:L81))</f>
        <v/>
      </c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6">
        <f>IF(COUNT(N81:W81)=0,"",SUM(N81:W81))</f>
        <v/>
      </c>
    </row>
    <row r="82">
      <c r="A82" s="12">
        <f>'Y9_Class1'!A20</f>
        <v/>
      </c>
      <c r="B82" s="12">
        <f>IF('Y9_Class1'!B20="","",'Y9_Class1'!B20)</f>
        <v/>
      </c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6">
        <f>IF(COUNT(C82:L82)=0,"",SUM(C82:L82))</f>
        <v/>
      </c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6">
        <f>IF(COUNT(N82:W82)=0,"",SUM(N82:W82))</f>
        <v/>
      </c>
    </row>
    <row r="83">
      <c r="A83" s="12">
        <f>'Y9_Class1'!A21</f>
        <v/>
      </c>
      <c r="B83" s="12">
        <f>IF('Y9_Class1'!B21="","",'Y9_Class1'!B21)</f>
        <v/>
      </c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6">
        <f>IF(COUNT(C83:L83)=0,"",SUM(C83:L83))</f>
        <v/>
      </c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6">
        <f>IF(COUNT(N83:W83)=0,"",SUM(N83:W83))</f>
        <v/>
      </c>
    </row>
    <row r="84">
      <c r="A84" s="12">
        <f>'Y9_Class1'!A22</f>
        <v/>
      </c>
      <c r="B84" s="12">
        <f>IF('Y9_Class1'!B22="","",'Y9_Class1'!B22)</f>
        <v/>
      </c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6">
        <f>IF(COUNT(C84:L84)=0,"",SUM(C84:L84))</f>
        <v/>
      </c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6">
        <f>IF(COUNT(N84:W84)=0,"",SUM(N84:W84))</f>
        <v/>
      </c>
    </row>
    <row r="85">
      <c r="A85" s="12">
        <f>'Y9_Class1'!A23</f>
        <v/>
      </c>
      <c r="B85" s="12">
        <f>IF('Y9_Class1'!B23="","",'Y9_Class1'!B23)</f>
        <v/>
      </c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6">
        <f>IF(COUNT(C85:L85)=0,"",SUM(C85:L85))</f>
        <v/>
      </c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6">
        <f>IF(COUNT(N85:W85)=0,"",SUM(N85:W85))</f>
        <v/>
      </c>
    </row>
    <row r="86">
      <c r="A86" s="12">
        <f>'Y9_Class1'!A24</f>
        <v/>
      </c>
      <c r="B86" s="12">
        <f>IF('Y9_Class1'!B24="","",'Y9_Class1'!B24)</f>
        <v/>
      </c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6">
        <f>IF(COUNT(C86:L86)=0,"",SUM(C86:L86))</f>
        <v/>
      </c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6">
        <f>IF(COUNT(N86:W86)=0,"",SUM(N86:W86))</f>
        <v/>
      </c>
    </row>
    <row r="87">
      <c r="A87" s="12">
        <f>'Y9_Class1'!A25</f>
        <v/>
      </c>
      <c r="B87" s="12">
        <f>IF('Y9_Class1'!B25="","",'Y9_Class1'!B25)</f>
        <v/>
      </c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6">
        <f>IF(COUNT(C87:L87)=0,"",SUM(C87:L87))</f>
        <v/>
      </c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6">
        <f>IF(COUNT(N87:W87)=0,"",SUM(N87:W87))</f>
        <v/>
      </c>
    </row>
    <row r="88">
      <c r="B88" s="4" t="inlineStr">
        <is>
          <t>% of marks</t>
        </is>
      </c>
      <c r="C88" s="4">
        <f>IF(COUNT(C64:C87)=0,"",ROUND(SUM(C64:C87)/(COUNT(C64:C87)*C63)*100,0))</f>
        <v/>
      </c>
      <c r="D88" s="4">
        <f>IF(COUNT(D64:D87)=0,"",ROUND(SUM(D64:D87)/(COUNT(D64:D87)*D63)*100,0))</f>
        <v/>
      </c>
      <c r="E88" s="4">
        <f>IF(COUNT(E64:E87)=0,"",ROUND(SUM(E64:E87)/(COUNT(E64:E87)*E63)*100,0))</f>
        <v/>
      </c>
      <c r="F88" s="4">
        <f>IF(COUNT(F64:F87)=0,"",ROUND(SUM(F64:F87)/(COUNT(F64:F87)*F63)*100,0))</f>
        <v/>
      </c>
      <c r="G88" s="4">
        <f>IF(COUNT(G64:G87)=0,"",ROUND(SUM(G64:G87)/(COUNT(G64:G87)*G63)*100,0))</f>
        <v/>
      </c>
      <c r="H88" s="4">
        <f>IF(COUNT(H64:H87)=0,"",ROUND(SUM(H64:H87)/(COUNT(H64:H87)*H63)*100,0))</f>
        <v/>
      </c>
      <c r="I88" s="4">
        <f>IF(COUNT(I64:I87)=0,"",ROUND(SUM(I64:I87)/(COUNT(I64:I87)*I63)*100,0))</f>
        <v/>
      </c>
      <c r="J88" s="4">
        <f>IF(COUNT(J64:J87)=0,"",ROUND(SUM(J64:J87)/(COUNT(J64:J87)*J63)*100,0))</f>
        <v/>
      </c>
      <c r="K88" s="4">
        <f>IF(COUNT(K64:K87)=0,"",ROUND(SUM(K64:K87)/(COUNT(K64:K87)*K63)*100,0))</f>
        <v/>
      </c>
      <c r="L88" s="4">
        <f>IF(COUNT(L64:L87)=0,"",ROUND(SUM(L64:L87)/(COUNT(L64:L87)*L63)*100,0))</f>
        <v/>
      </c>
      <c r="N88" s="4">
        <f>IF(COUNT(N64:N87)=0,"",ROUND(SUM(N64:N87)/(COUNT(N64:N87)*N63)*100,0))</f>
        <v/>
      </c>
      <c r="O88" s="4">
        <f>IF(COUNT(O64:O87)=0,"",ROUND(SUM(O64:O87)/(COUNT(O64:O87)*O63)*100,0))</f>
        <v/>
      </c>
      <c r="P88" s="4">
        <f>IF(COUNT(P64:P87)=0,"",ROUND(SUM(P64:P87)/(COUNT(P64:P87)*P63)*100,0))</f>
        <v/>
      </c>
      <c r="Q88" s="4">
        <f>IF(COUNT(Q64:Q87)=0,"",ROUND(SUM(Q64:Q87)/(COUNT(Q64:Q87)*Q63)*100,0))</f>
        <v/>
      </c>
      <c r="R88" s="4">
        <f>IF(COUNT(R64:R87)=0,"",ROUND(SUM(R64:R87)/(COUNT(R64:R87)*R63)*100,0))</f>
        <v/>
      </c>
      <c r="S88" s="4">
        <f>IF(COUNT(S64:S87)=0,"",ROUND(SUM(S64:S87)/(COUNT(S64:S87)*S63)*100,0))</f>
        <v/>
      </c>
      <c r="T88" s="4">
        <f>IF(COUNT(T64:T87)=0,"",ROUND(SUM(T64:T87)/(COUNT(T64:T87)*T63)*100,0))</f>
        <v/>
      </c>
      <c r="U88" s="4">
        <f>IF(COUNT(U64:U87)=0,"",ROUND(SUM(U64:U87)/(COUNT(U64:U87)*U63)*100,0))</f>
        <v/>
      </c>
      <c r="V88" s="4">
        <f>IF(COUNT(V64:V87)=0,"",ROUND(SUM(V64:V87)/(COUNT(V64:V87)*V63)*100,0))</f>
        <v/>
      </c>
      <c r="W88" s="4">
        <f>IF(COUNT(W64:W87)=0,"",ROUND(SUM(W64:W87)/(COUNT(W64:W87)*W63)*100,0))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Levels</t>
        </is>
      </c>
      <c r="B1" s="4" t="inlineStr">
        <is>
          <t>Roles</t>
        </is>
      </c>
      <c r="C1" s="4" t="inlineStr">
        <is>
          <t>Yes</t>
        </is>
      </c>
      <c r="D1" t="inlineStr">
        <is>
          <t>Band</t>
        </is>
      </c>
    </row>
    <row r="2">
      <c r="A2" s="5" t="inlineStr">
        <is>
          <t>B</t>
        </is>
      </c>
      <c r="B2" s="5" t="inlineStr">
        <is>
          <t>Lead</t>
        </is>
      </c>
      <c r="C2" s="5" t="inlineStr">
        <is>
          <t>Y</t>
        </is>
      </c>
      <c r="D2" t="n">
        <v>1</v>
      </c>
    </row>
    <row r="3">
      <c r="A3" s="5" t="inlineStr">
        <is>
          <t>D</t>
        </is>
      </c>
      <c r="B3" s="5" t="inlineStr">
        <is>
          <t>Measurer</t>
        </is>
      </c>
      <c r="D3" t="n">
        <v>2</v>
      </c>
    </row>
    <row r="4">
      <c r="A4" s="5" t="inlineStr">
        <is>
          <t>S</t>
        </is>
      </c>
      <c r="B4" s="5" t="inlineStr">
        <is>
          <t>Recorder</t>
        </is>
      </c>
      <c r="D4" t="n">
        <v>3</v>
      </c>
    </row>
    <row r="5">
      <c r="A5" s="5" t="inlineStr">
        <is>
          <t>E</t>
        </is>
      </c>
      <c r="B5" s="5" t="inlineStr">
        <is>
          <t>Safety</t>
        </is>
      </c>
    </row>
    <row r="6">
      <c r="A6" s="5" t="inlineStr">
        <is>
          <t>N</t>
        </is>
      </c>
      <c r="B6" s="5" t="inlineStr">
        <is>
          <t>Reporter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2026-10-02T00:44:02Z</dcterms:created>
  <dcterms:modified xsi:type="dcterms:W3CDTF">2026-10-14T10:04:08Z</dcterms:modified>
</cp:coreProperties>
</file>