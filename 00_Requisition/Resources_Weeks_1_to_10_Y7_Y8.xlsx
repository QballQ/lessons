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ll weeks" sheetId="2" state="visible" r:id="rId4"/>
    <sheet name="Prep by week" sheetId="3" state="visible" r:id="rId5"/>
    <sheet name="Cut the prep" sheetId="4" state="visible" r:id="rId6"/>
  </sheets>
  <definedNames>
    <definedName function="false" hidden="false" localSheetId="1" name="_xlnm.Print_Titles" vbProcedure="false">'All weeks'!$8:$8</definedName>
    <definedName function="false" hidden="true" localSheetId="1" name="_xlnm._FilterDatabase" vbProcedure="false">'All weeks'!$A$8:$R$721</definedName>
    <definedName function="false" hidden="true" localSheetId="2" name="_xlnm._FilterDatabase" vbProcedure="false">'Prep by week'!$A$18:$L$380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<sst xmlns="http://schemas.openxmlformats.org/spreadsheetml/2006/main" count="8971" uniqueCount="2822">
  <si>
    <t xml:space="preserve">Resources and prep, Years 7 and 8, Weeks 1 to 10</t>
  </si>
  <si>
    <t xml:space="preserve">All weeks: every resource for every Year 7 and Year 8 lesson on one sheet, grouped by kind (printing, card and stationery, equipment, food and consumables, things to make). Filter by week, year or group. Pink cells are the ones to check.</t>
  </si>
  <si>
    <t xml:space="preserve">Prep by week: every prep task with when it happens, how long it takes and who could do it, and a week-by-week total so you can see where the load falls.</t>
  </si>
  <si>
    <t xml:space="preserve">Cut the prep: the options for reducing the prep, with the minutes each one saves.</t>
  </si>
  <si>
    <t xml:space="preserve">Quantities are for one class of up to 24 students in 6 groups. Type the number of classes and the Year 7 freezer plan in the yellow cells at the top of the All weeks sheet. The "Got it" column is for your ticks.</t>
  </si>
  <si>
    <t xml:space="preserve">Checked against every lesson file (lesson plan, kit card, printables), the designed printables, the Teacher Guide prep calendar and the Year 8 Case Bible, and compared with the full requisition workbook. Items already made in an earlier week are listed with "Already have" and are not counted again in the printing totals.</t>
  </si>
  <si>
    <t xml:space="preserve">Items missing from the full requisition: 6 rows marked "No: add" on the All weeks sheet.</t>
  </si>
  <si>
    <t xml:space="preserve">Years 7 and 8, Weeks 1 to 10: resources needed</t>
  </si>
  <si>
    <t xml:space="preserve">Every lesson on one sheet. Quantities are for one class of up to 24 students in 6 groups. Change the yellow cells; totals update. Use the filter arrows to show one week, one year or one group.</t>
  </si>
  <si>
    <t xml:space="preserve">Year 7 classes</t>
  </si>
  <si>
    <t xml:space="preserve">Items per student, per group or per class are multiplied by the classes in that year.</t>
  </si>
  <si>
    <t xml:space="preserve">Printing, all weeks (sheets)</t>
  </si>
  <si>
    <t xml:space="preserve">Year 8 classes</t>
  </si>
  <si>
    <t xml:space="preserve">A4 paper</t>
  </si>
  <si>
    <t xml:space="preserve">A4 card</t>
  </si>
  <si>
    <t xml:space="preserve">Year 7 freezer plan</t>
  </si>
  <si>
    <t xml:space="preserve">A and B</t>
  </si>
  <si>
    <t xml:space="preserve">A (freezer), B (no freezer) or "A and B". Items for the plan not chosen count as 0. Decide by Week 4.</t>
  </si>
  <si>
    <t xml:space="preserve">A3 paper</t>
  </si>
  <si>
    <t xml:space="preserve">A4 90 gsm (booklet)</t>
  </si>
  <si>
    <t xml:space="preserve">A5 paper</t>
  </si>
  <si>
    <t xml:space="preserve">Week</t>
  </si>
  <si>
    <t xml:space="preserve">Year</t>
  </si>
  <si>
    <t xml:space="preserve">Group</t>
  </si>
  <si>
    <t xml:space="preserve">Item</t>
  </si>
  <si>
    <t xml:space="preserve">Quantity (one class)</t>
  </si>
  <si>
    <t xml:space="preserve">Unit or how to print</t>
  </si>
  <si>
    <t xml:space="preserve">Per</t>
  </si>
  <si>
    <t xml:space="preserve">Plan</t>
  </si>
  <si>
    <t xml:space="preserve">Total for your classes</t>
  </si>
  <si>
    <t xml:space="preserve">Paper or card</t>
  </si>
  <si>
    <t xml:space="preserve">Sheets per copy</t>
  </si>
  <si>
    <t xml:space="preserve">Sheets in total</t>
  </si>
  <si>
    <t xml:space="preserve">What it is for</t>
  </si>
  <si>
    <t xml:space="preserve">Optional?</t>
  </si>
  <si>
    <t xml:space="preserve">Already have (from an earlier week)</t>
  </si>
  <si>
    <t xml:space="preserve">On the requisition?</t>
  </si>
  <si>
    <t xml:space="preserve">Check</t>
  </si>
  <si>
    <t xml:space="preserve">Got it</t>
  </si>
  <si>
    <t xml:space="preserve">Year 7</t>
  </si>
  <si>
    <t xml:space="preserve">Printing (paper copies)</t>
  </si>
  <si>
    <t xml:space="preserve">Skills Check paper, Year 7 (Week 1 baseline)</t>
  </si>
  <si>
    <t xml:space="preserve">copies; 5 A4 portrait pages, double-sided (3 sheets each, last side blank)</t>
  </si>
  <si>
    <t xml:space="preserve">per student</t>
  </si>
  <si>
    <t xml:space="preserve">15-minute baseline skills check done alone in silence; marked out of 20, entered in the tracker and filed in the class assessment folder, not returned until after Week 10.</t>
  </si>
  <si>
    <t xml:space="preserve">No: paper printing</t>
  </si>
  <si>
    <t xml:space="preserve">Skills_Check_Y7.md Section 1 says 'two sides of A4', but the designed paper is 5 pages ('Page 1 of 5' to 'Page 5 of 5'), so 3 sheets double-sided (or 5 single-sided). Decide whether to staple (no stapler is named). No spares stated. Print from the master that Week 10 will use again and do not change it in between.</t>
  </si>
  <si>
    <t xml:space="preserve">Interest survey</t>
  </si>
  <si>
    <t xml:space="preserve">copies; half-A4, 2 per A4 sheet, single-sided, cut in half (12 sheets)</t>
  </si>
  <si>
    <t xml:space="preserve">3-minute Week 1 baseline survey straight after the skills check; six scores per student go into the tracker.</t>
  </si>
  <si>
    <t xml:space="preserve">Fresh copies are needed again in Week 10. No spares stated.</t>
  </si>
  <si>
    <t xml:space="preserve">Student worksheet, What do scientists do?</t>
  </si>
  <si>
    <t xml:space="preserve">copies; 4 A4 portrait pages, double-sided (2 sheets each)</t>
  </si>
  <si>
    <t xml:space="preserve">Core A observation or inference sort, Core B footprint table, Stretch, Challenge, My thinking box, fold-under word bank and the exit ticket strip.</t>
  </si>
  <si>
    <t xml:space="preserve">The exit ticket strip at the foot of page 4 sits below a cut line; printed double-sided, cutting it off also cuts the foot of page 3 (the My thinking box). Check the layout before printing. Print only from the design rebuilt after the language pass and discard any earlier copies. No spares stated.</t>
  </si>
  <si>
    <t xml:space="preserve">Skills Check mark scheme (teacher copy)</t>
  </si>
  <si>
    <t xml:space="preserve">teacher copy; 2 A4 pages (single-sided here; sides not stated)</t>
  </si>
  <si>
    <t xml:space="preserve">per once</t>
  </si>
  <si>
    <t xml:space="preserve">Marking the skills checks out of 20 within Week 1; kept for Week 10.</t>
  </si>
  <si>
    <t xml:space="preserve">Single- or double-sided is not stated (1 sheet if double-sided). One copy serves every class.</t>
  </si>
  <si>
    <t xml:space="preserve">Kit card, Y7 Week 1 (teacher copy)</t>
  </si>
  <si>
    <t xml:space="preserve">teacher copy; half-A4 (A5), single-sided, printed on A4</t>
  </si>
  <si>
    <t xml:space="preserve">Kit list per group and per student, teacher prep with times, hazards and clean-up.</t>
  </si>
  <si>
    <t xml:space="preserve">It still says 'Group role cards: 1 set of 5'; the role card set now has 6 cards.</t>
  </si>
  <si>
    <t xml:space="preserve">Group role cards with duties (including Language buddy)</t>
  </si>
  <si>
    <t xml:space="preserve">sets; 1 A4 sheet per set (6 business-card size cards, 85 mm by 55 mm, with cut lines), single-sided</t>
  </si>
  <si>
    <t xml:space="preserve">per group</t>
  </si>
  <si>
    <t xml:space="preserve">One set per table: Lead Scientist, Measurer, Recorder, Safety Officer, Reporter and Language buddy, duties in both languages; laminated, cut and kept all term.</t>
  </si>
  <si>
    <t xml:space="preserve">The Week 1 kit card says '1 set of 5'; the language support pack, the design and the requisition use 6 cards per set. Paper or card is not stated. Lamination is the A4 pouch row.</t>
  </si>
  <si>
    <t xml:space="preserve">Classroom language card (two-sided)</t>
  </si>
  <si>
    <t xml:space="preserve">cards; A5 landscape, double-sided (1 per student plus 6 spares)</t>
  </si>
  <si>
    <t xml:space="preserve">Side A teacher routine phrases, side B student help phrases; laminated, handed out with a two-minute walk-through and kept all term.</t>
  </si>
  <si>
    <t xml:space="preserve">Paper to print on is not stated (30 A5 sheets, or 15 A4 sheets cut in half). The Week 1 timeline has no slot for the walk-through. Lamination is the A5 pouch row.</t>
  </si>
  <si>
    <t xml:space="preserve">Language support A3 posters: Instruction words key, Classroom language (side B), Think in any language</t>
  </si>
  <si>
    <t xml:space="preserve">posters; 1 of each, A3, single-sided</t>
  </si>
  <si>
    <t xml:space="preserve">per room</t>
  </si>
  <si>
    <t xml:space="preserve">Wall posters kept up all term.</t>
  </si>
  <si>
    <t xml:space="preserve">Yes</t>
  </si>
  <si>
    <t xml:space="preserve">No source says to laminate them. Covered by the requisition's 3 sheets of A3 paper.</t>
  </si>
  <si>
    <t xml:space="preserve">Sentence frame bank poster, Ice Engineers</t>
  </si>
  <si>
    <t xml:space="preserve">poster; A4 portrait, single-sided</t>
  </si>
  <si>
    <t xml:space="preserve">Wall poster of every Year 7 frame with its Chinese and an example; Week 1 uses 'I observe ___.' and 'I infer ___ because ___.'</t>
  </si>
  <si>
    <t xml:space="preserve">Teacher Guide Section 8 says print before Week 1; the Week 1 lesson file does not mention it.</t>
  </si>
  <si>
    <t xml:space="preserve">Sentence frame bank cards, Ice Engineers</t>
  </si>
  <si>
    <t xml:space="preserve">sets; 16 A6 cards per set, 4 cards per A4 sheet with cut lines (4 sheets per set)</t>
  </si>
  <si>
    <t xml:space="preserve">One set per table so groups rehearse reports in English with the frame.</t>
  </si>
  <si>
    <t xml:space="preserve">Paper or card is not stated (24 A4 sheets of card if card). The Week 1 lesson file does not mention them.</t>
  </si>
  <si>
    <t xml:space="preserve">My Science Dictionary, Year 7</t>
  </si>
  <si>
    <t xml:space="preserve">booklets; A5 saddle-stitched, 24 pages (6 A4 sheets folded and stapled twice), 90 gsm (1 per student plus 4 spares)</t>
  </si>
  <si>
    <t xml:space="preserve">Booklet (reprographics)</t>
  </si>
  <si>
    <t xml:space="preserve">Handed out with the logbook; name and class on the cover; open in every lesson but closed and put away during the skills check; 4 spares kept with the logbook spares.</t>
  </si>
  <si>
    <t xml:space="preserve">Yes, see note</t>
  </si>
  <si>
    <t xml:space="preserve">Goes to 28 pages (7 sheets each) if the entries need more room; the requisition row gives neither the page count nor 90 gsm. The dictionary file says hand out in Week 1 with the logbook; the language pack allows Week 1 or the next lesson.</t>
  </si>
  <si>
    <t xml:space="preserve">Scientist's Logbook, Year 7</t>
  </si>
  <si>
    <t xml:space="preserve">booklets; A5, one page per week (page count not stated)</t>
  </si>
  <si>
    <t xml:space="preserve">First page written in Think and Reflect ('What I did', and 'New words' if time); collected into the class box at the end of every lesson.</t>
  </si>
  <si>
    <t xml:space="preserve">Page count, cover and binding are not stated; only one A5 page is designed. The dictionary file mentions 'logbook spares' but gives no number.</t>
  </si>
  <si>
    <t xml:space="preserve">Card, laminating and stationery</t>
  </si>
  <si>
    <t xml:space="preserve">Footprint puzzle stage cards (Stage 1, 2, 3)</t>
  </si>
  <si>
    <t xml:space="preserve">sets of 3 A4 landscape cards; Cards 1 and 2 single-sided, Card 3 with the teacher note printed on the back</t>
  </si>
  <si>
    <t xml:space="preserve">Reveal cards for the 10-minute footprint puzzle, handed out stage by stage, returned in their envelopes and reused.</t>
  </si>
  <si>
    <t xml:space="preserve">The requisition row (white card, 18 sheets) says single-sided, but the 6 copies of Card 3 carry the teacher note on the back. Card or laminated paper is allowed. Section 6a says 6 sets per class; as the cards come back to the teacher, one set might serve every class if lessons do not overlap (decide).</t>
  </si>
  <si>
    <t xml:space="preserve">Laminating pouches, A4, for puzzle cards (only if laminating paper instead of card)</t>
  </si>
  <si>
    <t xml:space="preserve">pouches, A4</t>
  </si>
  <si>
    <t xml:space="preserve">Alternative to card: print the 18 puzzle cards on paper and laminate them.</t>
  </si>
  <si>
    <t xml:space="preserve">Optional</t>
  </si>
  <si>
    <t xml:space="preserve">Mentioned only inside the requisition's white card note, not counted as a row. Would also need 18 sheets of A4 paper in place of card.</t>
  </si>
  <si>
    <t xml:space="preserve">Laminating pouches, A4, for role cards</t>
  </si>
  <si>
    <t xml:space="preserve">Laminate the 6 role card sheets before cutting them into cards.</t>
  </si>
  <si>
    <t xml:space="preserve">Laminating pouches, A5, for classroom language cards</t>
  </si>
  <si>
    <t xml:space="preserve">pouches, A5</t>
  </si>
  <si>
    <t xml:space="preserve">Laminate the 30 two-sided classroom language cards.</t>
  </si>
  <si>
    <t xml:space="preserve">Envelopes for the puzzle stages</t>
  </si>
  <si>
    <t xml:space="preserve">envelopes, A4 size (C4, hold an A4 card flat)</t>
  </si>
  <si>
    <t xml:space="preserve">3 per group labelled Stage 1, Stage 2, Stage 3; Stage 2 and 3 kept on the teacher desk; returned at clean-up and reused.</t>
  </si>
  <si>
    <t xml:space="preserve">The lesson file gives no size; the requisition lists A4 (C4) envelopes.</t>
  </si>
  <si>
    <t xml:space="preserve">Name cards</t>
  </si>
  <si>
    <t xml:space="preserve">cards</t>
  </si>
  <si>
    <t xml:space="preserve">One per student, set out on the tables by the group seating plan before students arrive (Slide 1: 'Find your name card').</t>
  </si>
  <si>
    <t xml:space="preserve">No design, size or material is given.</t>
  </si>
  <si>
    <t xml:space="preserve">Pencils</t>
  </si>
  <si>
    <t xml:space="preserve">pencils, HB</t>
  </si>
  <si>
    <t xml:space="preserve">One per student for the skills check, survey, worksheet and logbook.</t>
  </si>
  <si>
    <t xml:space="preserve">The requisition counts 24 HB; the teacher-desk spares have no number.</t>
  </si>
  <si>
    <t xml:space="preserve">Equipment and materials</t>
  </si>
  <si>
    <t xml:space="preserve">Class box</t>
  </si>
  <si>
    <t xml:space="preserve">box with lid</t>
  </si>
  <si>
    <t xml:space="preserve">per class</t>
  </si>
  <si>
    <t xml:space="preserve">Logbooks are collected into it at the end of every lesson and kept there all term.</t>
  </si>
  <si>
    <t xml:space="preserve">The kind of box is not stated; the requisition chooses a plastic storage box with lid.</t>
  </si>
  <si>
    <t xml:space="preserve">Class assessment folder</t>
  </si>
  <si>
    <t xml:space="preserve">folder</t>
  </si>
  <si>
    <t xml:space="preserve">Marked Week 1 skills check papers are filed here and not returned until after Week 10.</t>
  </si>
  <si>
    <t xml:space="preserve">No: may already exist</t>
  </si>
  <si>
    <t xml:space="preserve">Not in the requisition; check whether each class already has one.</t>
  </si>
  <si>
    <t xml:space="preserve">Laminator and guillotine (or scissors)</t>
  </si>
  <si>
    <t xml:space="preserve">not stated (access needed); access to equipment</t>
  </si>
  <si>
    <t xml:space="preserve">Laminate the role cards and classroom language cards; cut the role cards, frame cards and surveys.</t>
  </si>
  <si>
    <t xml:space="preserve">No: tool</t>
  </si>
  <si>
    <t xml:space="preserve">Named nowhere; the specs only say laminate and cut.</t>
  </si>
  <si>
    <t xml:space="preserve">Rulers (to measure against the 10 cm scale bar on the puzzle cards)</t>
  </si>
  <si>
    <t xml:space="preserve">not stated; rulers</t>
  </si>
  <si>
    <t xml:space="preserve">Card 1 asks students to 'Count and measure'; every card has a 10 cm scale bar and the model answers give distances in cm.</t>
  </si>
  <si>
    <t xml:space="preserve">Not on the kit card; students can estimate by eye against the scale bar. Decide whether to put one on each table.</t>
  </si>
  <si>
    <t xml:space="preserve">Make beforehand</t>
  </si>
  <si>
    <t xml:space="preserve">Footprint puzzle envelope sets</t>
  </si>
  <si>
    <t xml:space="preserve">sets of 3 labelled envelopes, one stage card in each</t>
  </si>
  <si>
    <t xml:space="preserve">Lead Scientists collect Stage 1; the 12 Stage 2 and 3 envelopes stay on the teacher desk until about 3 and 6 minutes into Do.</t>
  </si>
  <si>
    <t xml:space="preserve">Made from the puzzle card and envelope rows; nothing extra to order.</t>
  </si>
  <si>
    <t xml:space="preserve">Group seating plan (with starting roles)</t>
  </si>
  <si>
    <t xml:space="preserve">plan</t>
  </si>
  <si>
    <t xml:space="preserve">Six groups of 3 or 4 seated from the first minute; each Band 1 student beside a Band 3 language buddy; groups stay the same for Weeks 1 to 5.</t>
  </si>
  <si>
    <t xml:space="preserve">Teacher-made; nothing to order. Language bands are only recorded after Weeks 1 to 2; decide how Band 1 students are identified for the Week 1 plan.</t>
  </si>
  <si>
    <t xml:space="preserve">Year 8</t>
  </si>
  <si>
    <t xml:space="preserve">Skills Check paper, Year 8 (The Missing Trophy), Week 1 baseline</t>
  </si>
  <si>
    <t xml:space="preserve">copies; 5 A4 portrait pages, double-sided (last side blank)</t>
  </si>
  <si>
    <t xml:space="preserve">15-minute baseline done alone; collected at once, marked, entered in the tracker and filed, never returned before Week 10.</t>
  </si>
  <si>
    <t xml:space="preserve">The written spec says two sides of A4 (1 sheet), but the designed paper has 5 pages ('Page 1 of 5'). Confirm which is final before printing (24 or 72 sheets). Print from the same frozen master that Week 10 will use.</t>
  </si>
  <si>
    <t xml:space="preserve">Interest survey (half A4, two copies per A4 sheet with a cut line)</t>
  </si>
  <si>
    <t xml:space="preserve">copies; half A4, 2 per A4 sheet, single-sided, cut in half</t>
  </si>
  <si>
    <t xml:space="preserve">3-minute six-statement smiley survey straight after the skills check; scores go into tracker W1 S1 to S6.</t>
  </si>
  <si>
    <t xml:space="preserve">Worksheet: Think like a detective</t>
  </si>
  <si>
    <t xml:space="preserve">copies; 3 A4 portrait pages: pages 1 and 2 double-sided, page 3 single-sided</t>
  </si>
  <si>
    <t xml:space="preserve">Core O or I sort, Stretch, Challenge, My thinking, fold-under word bank and exit ticket strip; goes into the case file and the exit ticket is cut off and collected.</t>
  </si>
  <si>
    <t xml:space="preserve">Sidedness not stated. Keep page 3 (exit ticket strip and fold-under word bank) on its own sheet so cutting off the strip does not cut page 2.</t>
  </si>
  <si>
    <t xml:space="preserve">Case briefing and Lab 3 sign-in sheet</t>
  </si>
  <si>
    <t xml:space="preserve">copies; 2 A4 portrait pages, double-sided</t>
  </si>
  <si>
    <t xml:space="preserve">What happened, the note, the five evidence items and the sign-in sheet; second item in the case file.</t>
  </si>
  <si>
    <t xml:space="preserve">Lesson file 6.2 describes one page, but the design has two ('Page 1 of 2, turn over'). Double-sided keeps it to one sheet.</t>
  </si>
  <si>
    <t xml:space="preserve">Scene map, Lab 3 (A4 landscape)</t>
  </si>
  <si>
    <t xml:space="preserve">copies; 1 A4 landscape page, single-sided</t>
  </si>
  <si>
    <t xml:space="preserve">Top-down plan of Lab 3 on the lettered grid for the Do task; third item in the case file.</t>
  </si>
  <si>
    <t xml:space="preserve">Scene map, enlarged wall copy</t>
  </si>
  <si>
    <t xml:space="preserve">copy; A3, single-sided</t>
  </si>
  <si>
    <t xml:space="preserve">Wall copy; Band 1 students point to a square on it for the exit ticket.</t>
  </si>
  <si>
    <t xml:space="preserve">1 of the 4 sheets in the 'A3 printing' row.</t>
  </si>
  <si>
    <t xml:space="preserve">Suspect profile cards (four A6 cards on one A4 sheet, cut lines)</t>
  </si>
  <si>
    <t xml:space="preserve">copies; 1 A4 portrait sheet, single-sided</t>
  </si>
  <si>
    <t xml:space="preserve">Meet the suspects; the Week 2 Do Now uses them, so every case file needs a set; students may cut them out.</t>
  </si>
  <si>
    <t xml:space="preserve">Kit card, teacher copy</t>
  </si>
  <si>
    <t xml:space="preserve">copy; A5 (half A4), single-sided</t>
  </si>
  <si>
    <t xml:space="preserve">Kit, prep, hazards and clean-up checklist for the teacher.</t>
  </si>
  <si>
    <t xml:space="preserve">Skills Check mark scheme, teacher copy</t>
  </si>
  <si>
    <t xml:space="preserve">copy; 2 A4 pages, double-sided</t>
  </si>
  <si>
    <t xml:space="preserve">Marking the baseline papers within the week; no half marks; Chinese answers accepted.</t>
  </si>
  <si>
    <t xml:space="preserve">Sidedness not stated; double-sided assumed.</t>
  </si>
  <si>
    <t xml:space="preserve">Teacher Pre-test Record: pens A to D</t>
  </si>
  <si>
    <t xml:space="preserve">copy; 1 A4 portrait page, single-sided</t>
  </si>
  <si>
    <t xml:space="preserve">Record the real chromatography results of pens A to D in the pen pre-test; kept in the teacher folder with the dried strips.</t>
  </si>
  <si>
    <t xml:space="preserve">Designed in the Week 3 file, Section 6.2 ('Print: 1'), but the pre-test runs in the Week 1 week, so print it now. Count it once if the Week 3 list also includes it.</t>
  </si>
  <si>
    <t xml:space="preserve">Scene table sign: EVIDENCE: DO NOT TOUCH</t>
  </si>
  <si>
    <t xml:space="preserve">copy; A5 landscape, single-sided</t>
  </si>
  <si>
    <t xml:space="preserve">Look-only sign for the optional scene table.</t>
  </si>
  <si>
    <t xml:space="preserve">Scene footprint, true size (24 cm long)</t>
  </si>
  <si>
    <t xml:space="preserve">print; A4 portrait at 100% scale, single-sided</t>
  </si>
  <si>
    <t xml:space="preserve">Paper footprint for the optional scene table.</t>
  </si>
  <si>
    <t xml:space="preserve">Print at actual size, never fit to page, and check it measures 24 cm with a ruler.</t>
  </si>
  <si>
    <t xml:space="preserve">Instruction words key poster (A3 landscape)</t>
  </si>
  <si>
    <t xml:space="preserve">poster; A3, single-sided</t>
  </si>
  <si>
    <t xml:space="preserve">Wall key of task words with icons; may stay up during the skills check; used all term.</t>
  </si>
  <si>
    <t xml:space="preserve">1 of the 4 sheets in the 'A3 printing' row. One per room: if Year 7 and Year 8 share a room, one set of the three A3 posters serves both.</t>
  </si>
  <si>
    <t xml:space="preserve">Classroom language poster, side B (A3)</t>
  </si>
  <si>
    <t xml:space="preserve">Wall copy of the 'how to ask for help' phrases; used all term.</t>
  </si>
  <si>
    <t xml:space="preserve">Think in any language poster (A3 portrait)</t>
  </si>
  <si>
    <t xml:space="preserve">Wall reminder that the science, not the English, is judged; used all term.</t>
  </si>
  <si>
    <t xml:space="preserve">Sentence frame poster, Science Detectives (A4 portrait)</t>
  </si>
  <si>
    <t xml:space="preserve">poster; 1 A4 page, single-sided</t>
  </si>
  <si>
    <t xml:space="preserve">Wall bank of every Year 8 frame with Chinese and an example, including today's three frames.</t>
  </si>
  <si>
    <t xml:space="preserve">Sentence frame cards, Science Detectives (A6, four per A4 sheet)</t>
  </si>
  <si>
    <t xml:space="preserve">sets; 15 cards per set on 4 A4 sheets (last sheet 3 cards), single-sided, cut</t>
  </si>
  <si>
    <t xml:space="preserve">One set on each group table for rehearsing answers in English; used all term.</t>
  </si>
  <si>
    <t xml:space="preserve">Paper, card or laminated is not stated; no requisition row covers card or pouches for these.</t>
  </si>
  <si>
    <t xml:space="preserve">My Science Dictionary, Year 8 (A5 booklet, saddle-stitched)</t>
  </si>
  <si>
    <t xml:space="preserve">booklets; 28 A5 pages = 7 A4 sheets double-sided, folded and stapled, 90 gsm</t>
  </si>
  <si>
    <t xml:space="preserve">Key word booklet tucked into each case file in Week 1; closed during the skills check; the student's to keep.</t>
  </si>
  <si>
    <t xml:space="preserve">No: add</t>
  </si>
  <si>
    <t xml:space="preserve">1 per student plus 4 spares (stated). Spec says 32 pages (8 sheets); the designed Year 8 booklet has 28 pages (7 sheets). Year 7 has a dictionary row; Year 8 does not.</t>
  </si>
  <si>
    <t xml:space="preserve">Scientist's Logbook (A5 booklet, one page per week)</t>
  </si>
  <si>
    <t xml:space="preserve">booklets; A5, page count not stated</t>
  </si>
  <si>
    <t xml:space="preserve">One line under 'What I found' if time allows at the end of Think and Reflect (otherwise the evidence log row counts); kept in the class box.</t>
  </si>
  <si>
    <t xml:space="preserve">Every student keeps one; the Teacher Guide says print logbooks before Week 1. Page count and paper not stated. Year 7 has a logbook row; Year 8 does not, though the class box row mentions logbooks.</t>
  </si>
  <si>
    <t xml:space="preserve">Case file cover (on card if possible)</t>
  </si>
  <si>
    <t xml:space="preserve">copies; A4 portrait, single-sided</t>
  </si>
  <si>
    <t xml:space="preserve">Front of each case file with detective name, class, group and role fields.</t>
  </si>
  <si>
    <t xml:space="preserve">24 of the 49 sheets in the 'White card, A4' row.</t>
  </si>
  <si>
    <t xml:space="preserve">Evidence log (on card if possible)</t>
  </si>
  <si>
    <t xml:space="preserve">copies; A4 landscape, single-sided</t>
  </si>
  <si>
    <t xml:space="preserve">Evidence table, suspect tracker and confidence rows; stays in the case file all ten weeks; row 1 today or in the Week 2 Do Now.</t>
  </si>
  <si>
    <t xml:space="preserve">Plain white card for the note prop</t>
  </si>
  <si>
    <t xml:space="preserve">A4 sheet</t>
  </si>
  <si>
    <t xml:space="preserve">The handwritten note is written on it with pen B.</t>
  </si>
  <si>
    <t xml:space="preserve">1 of the 49 sheets in the 'White card, A4' row.</t>
  </si>
  <si>
    <t xml:space="preserve">Group role cards with duties (6 business-card cards per A4 sheet)</t>
  </si>
  <si>
    <t xml:space="preserve">sets; 1 A4 sheet per set, single-sided, laminated then cut</t>
  </si>
  <si>
    <t xml:space="preserve">Role cards on every table (Lead Scientist, Measurer, Recorder, Safety Officer, Reporter, Language buddy); the case file cover asks for 'My role this week'.</t>
  </si>
  <si>
    <t xml:space="preserve">Paper or card before laminating is not stated. The pouches are a separate row.</t>
  </si>
  <si>
    <t xml:space="preserve">Classroom language card (A5 landscape, two-sided, laminated)</t>
  </si>
  <si>
    <t xml:space="preserve">cards; A5, double-sided (sides A and B)</t>
  </si>
  <si>
    <t xml:space="preserve">Teacher routine phrases and student help phrases at every desk; used all term.</t>
  </si>
  <si>
    <t xml:space="preserve">1 per student plus 6 spares (stated). Paper or card, and whether printed 2 per A4 sheet, are not stated.</t>
  </si>
  <si>
    <t xml:space="preserve">Laminating pouches, A4</t>
  </si>
  <si>
    <t xml:space="preserve">pouches</t>
  </si>
  <si>
    <t xml:space="preserve">Laminating the six role card sheets.</t>
  </si>
  <si>
    <t xml:space="preserve">Laminating pouches, A5</t>
  </si>
  <si>
    <t xml:space="preserve">Laminating the classroom language cards.</t>
  </si>
  <si>
    <t xml:space="preserve">A4 folders for case files</t>
  </si>
  <si>
    <t xml:space="preserve">folders</t>
  </si>
  <si>
    <t xml:space="preserve">Hold the cover, briefing, scene map, suspect cards, evidence log, worksheet and dictionary for all ten weeks; assessed in Week 10.</t>
  </si>
  <si>
    <t xml:space="preserve">pencils</t>
  </si>
  <si>
    <t xml:space="preserve">Skills check, survey, worksheet and exit ticket.</t>
  </si>
  <si>
    <t xml:space="preserve">not stated (24, one per student, is the requisition's assumption); cards</t>
  </si>
  <si>
    <t xml:space="preserve">Seat students in fixed groups of 4 from the first minute, with each Band 1 student beside a Band 3 buddy.</t>
  </si>
  <si>
    <t xml:space="preserve">Kit card says 'Set out groups of 4 with name cards' but gives no number or material. Confirm 24 and whether on card.</t>
  </si>
  <si>
    <t xml:space="preserve">Masking tape</t>
  </si>
  <si>
    <t xml:space="preserve">not stated (enough to cover the brand names on 8 pens; the requisition orders 1 roll); roll</t>
  </si>
  <si>
    <t xml:space="preserve">Cover each pen's brand name and write the letter A to D on the tape.</t>
  </si>
  <si>
    <t xml:space="preserve">The sources give no amount; 1 roll is the requisition's figure.</t>
  </si>
  <si>
    <t xml:space="preserve">File the marked skills checks, which are not returned before Week 10.</t>
  </si>
  <si>
    <t xml:space="preserve">Not in the requisition; check whether one exists.</t>
  </si>
  <si>
    <t xml:space="preserve">Black washable (water-based) felt-tip pens, four different brands, two of each</t>
  </si>
  <si>
    <t xml:space="preserve">pens</t>
  </si>
  <si>
    <t xml:space="preserve">Pen pre-test pens labelled A to D (one spare of each); pen B writes the note; reused in Week 3.</t>
  </si>
  <si>
    <t xml:space="preserve">Not permanent markers; their ink will not move with water.</t>
  </si>
  <si>
    <t xml:space="preserve">Cups for the pen pre-test</t>
  </si>
  <si>
    <t xml:space="preserve">cups</t>
  </si>
  <si>
    <t xml:space="preserve">Each coffee-filter strip stands in a cup with water 1 cm deep, below the ink dot.</t>
  </si>
  <si>
    <t xml:space="preserve">Class box for case files</t>
  </si>
  <si>
    <t xml:space="preserve">box</t>
  </si>
  <si>
    <t xml:space="preserve">Case files, filed by group, and logbooks stay in it between lessons.</t>
  </si>
  <si>
    <t xml:space="preserve">Drinking glass</t>
  </si>
  <si>
    <t xml:space="preserve">glass</t>
  </si>
  <si>
    <t xml:space="preserve">Scene table copy of evidence 2.</t>
  </si>
  <si>
    <t xml:space="preserve">Dark tray</t>
  </si>
  <si>
    <t xml:space="preserve">tray</t>
  </si>
  <si>
    <t xml:space="preserve">Holds the teaspoon of baking soda (evidence 3) on the scene table, so the white powder shows.</t>
  </si>
  <si>
    <t xml:space="preserve">The requisition row is named 'Trays'; its note asks for the dark tray.</t>
  </si>
  <si>
    <t xml:space="preserve">Saucer</t>
  </si>
  <si>
    <t xml:space="preserve">saucer</t>
  </si>
  <si>
    <t xml:space="preserve">Holds the scene liquid (evidence 4) on the scene table.</t>
  </si>
  <si>
    <t xml:space="preserve">Scissors or guillotine</t>
  </si>
  <si>
    <t xml:space="preserve">not stated; tools</t>
  </si>
  <si>
    <t xml:space="preserve">Cutting coffee-filter strips, survey halves, role cards and frame cards; the exit ticket strip has a cut line and students may cut out the suspect cards.</t>
  </si>
  <si>
    <t xml:space="preserve">No source lists them, and the kit card gives groups none; decide who cuts off the exit ticket strips.</t>
  </si>
  <si>
    <t xml:space="preserve">Laminator</t>
  </si>
  <si>
    <t xml:space="preserve">not stated; laminator</t>
  </si>
  <si>
    <t xml:space="preserve">Laminating the role cards and classroom language cards.</t>
  </si>
  <si>
    <t xml:space="preserve">No source lists it; check one is available.</t>
  </si>
  <si>
    <t xml:space="preserve">Ruler and pencil (teacher prep)</t>
  </si>
  <si>
    <t xml:space="preserve">not stated; ruler and pencil</t>
  </si>
  <si>
    <t xml:space="preserve">Measure the 2 cm by 10 cm pre-test strips, draw the pencil line 2 cm from the bottom, and check the paper footprint measures 24 cm.</t>
  </si>
  <si>
    <t xml:space="preserve">No source lists them; usually in the room.</t>
  </si>
  <si>
    <t xml:space="preserve">Grater, teaspoon, kettle and small jug (scene liquid)</t>
  </si>
  <si>
    <t xml:space="preserve">Grate the soap, measure the baking soda and warm the water for the optional scene liquid (hot water is teacher-only).</t>
  </si>
  <si>
    <t xml:space="preserve">No source lists them; usually in the prep room.</t>
  </si>
  <si>
    <t xml:space="preserve">Food and consumables</t>
  </si>
  <si>
    <t xml:space="preserve">White coffee filters, cut into 2 cm by 10 cm strips</t>
  </si>
  <si>
    <t xml:space="preserve">strips</t>
  </si>
  <si>
    <t xml:space="preserve">Chromatography strips for the pen pre-test, one per pen.</t>
  </si>
  <si>
    <t xml:space="preserve">Number of filters to buy is not stated; cut more if a brand has to be replaced and tested again.</t>
  </si>
  <si>
    <t xml:space="preserve">Water for the pen pre-test</t>
  </si>
  <si>
    <t xml:space="preserve">1 cm deep in each of the 4 cups; water</t>
  </si>
  <si>
    <t xml:space="preserve">Solvent for the pre-test chromatograms.</t>
  </si>
  <si>
    <t xml:space="preserve">Tap water.</t>
  </si>
  <si>
    <t xml:space="preserve">Plain bar soap (not washing-up liquid)</t>
  </si>
  <si>
    <t xml:space="preserve">teaspoon, grated</t>
  </si>
  <si>
    <t xml:space="preserve">Makes the soap solution for the optional scene liquid.</t>
  </si>
  <si>
    <t xml:space="preserve">Warm water for the soap solution</t>
  </si>
  <si>
    <t xml:space="preserve">ml</t>
  </si>
  <si>
    <t xml:space="preserve">Dissolves the grated soap; teacher-prepared.</t>
  </si>
  <si>
    <t xml:space="preserve">Hot water is teacher-only.</t>
  </si>
  <si>
    <r>
      <rPr>
        <sz val="10"/>
        <color rgb="FF00235F"/>
        <rFont val="Arial"/>
        <family val="0"/>
        <charset val="1"/>
      </rPr>
      <t xml:space="preserve">Baking soda (</t>
    </r>
    <r>
      <rPr>
        <sz val="10"/>
        <color rgb="FF00235F"/>
        <rFont val="WenQuanYi Zen Hei"/>
        <family val="2"/>
      </rPr>
      <t xml:space="preserve">小苏打</t>
    </r>
    <r>
      <rPr>
        <sz val="10"/>
        <color rgb="FF00235F"/>
        <rFont val="Arial"/>
        <family val="0"/>
        <charset val="1"/>
      </rPr>
      <t xml:space="preserve">)</t>
    </r>
  </si>
  <si>
    <t xml:space="preserve">teaspoon</t>
  </si>
  <si>
    <t xml:space="preserve">Scene table copy of the white powder (evidence 3) and an ingredient of the scene liquid.</t>
  </si>
  <si>
    <t xml:space="preserve">Collated case files</t>
  </si>
  <si>
    <t xml:space="preserve">case files</t>
  </si>
  <si>
    <t xml:space="preserve">Folder with pages in order: cover, briefing with sign-in sheet, scene map, suspect cards, evidence log; dictionary tucked inside. Used all ten weeks.</t>
  </si>
  <si>
    <t xml:space="preserve">Not a requisition row itself; built from the folder, white card and printing rows.</t>
  </si>
  <si>
    <t xml:space="preserve">Display note (the note prop)</t>
  </si>
  <si>
    <t xml:space="preserve">note</t>
  </si>
  <si>
    <t xml:space="preserve">Exact note text written with pen B on plain white card, snowflake doodle after 'Sorry!'; photographed for the Week 1 slides, on the optional scene table, held up again in the Week 3 Hook.</t>
  </si>
  <si>
    <t xml:space="preserve">Needs the pen pre-test done first, because pen B is chosen there.</t>
  </si>
  <si>
    <t xml:space="preserve">Pen pre-test strips (answer key)</t>
  </si>
  <si>
    <t xml:space="preserve">One dried strip per pen A to D; Week 3 answer key, backup results and the strip shown in the Week 3 Hook.</t>
  </si>
  <si>
    <t xml:space="preserve">Soap solution</t>
  </si>
  <si>
    <t xml:space="preserve">small batch (about 1 teaspoon grated soap in 200 ml warm water, stirred until cloudy)</t>
  </si>
  <si>
    <t xml:space="preserve">Half of the optional scene liquid.</t>
  </si>
  <si>
    <t xml:space="preserve">Baking soda solution</t>
  </si>
  <si>
    <t xml:space="preserve">small batch</t>
  </si>
  <si>
    <t xml:space="preserve">Other half of the optional scene liquid.</t>
  </si>
  <si>
    <t xml:space="preserve">Recipe not in the sources; the requisition's 'a pinch of baking soda in a little water' needs confirming.</t>
  </si>
  <si>
    <t xml:space="preserve">Evidence 4: scene liquid</t>
  </si>
  <si>
    <t xml:space="preserve">Scene table copy of the puddle: soap solution and baking soda solution mixed in equal amounts.</t>
  </si>
  <si>
    <t xml:space="preserve">Amount for the saucer not stated; a little is enough.</t>
  </si>
  <si>
    <t xml:space="preserve">Scene table display</t>
  </si>
  <si>
    <t xml:space="preserve">display</t>
  </si>
  <si>
    <t xml:space="preserve">Glass, pen-B note, teaspoon of baking soda on a dark tray, saucer of scene liquid, 24 cm paper footprint and the do-not-touch sign at the front; look only.</t>
  </si>
  <si>
    <t xml:space="preserve">Worksheet: Thought experiments (Do Now box, Core, Stretch, Challenge, My thinking, fold-under word bank, exit ticket strip)</t>
  </si>
  <si>
    <t xml:space="preserve">copies; 4 A4 pages, double-sided (2 sheets per copy, 48 sheets)</t>
  </si>
  <si>
    <t xml:space="preserve">Main student task for the whole lesson; the exit ticket strip is at the foot of page 4</t>
  </si>
  <si>
    <r>
      <rPr>
        <sz val="10"/>
        <color rgb="FF00235F"/>
        <rFont val="Arial"/>
        <family val="0"/>
        <charset val="1"/>
      </rPr>
      <t xml:space="preserve">No spares stated (kit card: 1 per student). Pages 1 to 3 end 'turn over </t>
    </r>
    <r>
      <rPr>
        <sz val="10"/>
        <color rgb="FF00235F"/>
        <rFont val="WenQuanYi Zen Hei"/>
        <family val="2"/>
      </rPr>
      <t xml:space="preserve">请翻页</t>
    </r>
    <r>
      <rPr>
        <sz val="10"/>
        <color rgb="FF00235F"/>
        <rFont val="Arial"/>
        <family val="0"/>
        <charset val="1"/>
      </rPr>
      <t xml:space="preserve">', which points to double-sided printing; if so, cutting off the exit ticket strip at the foot of page 4 also cuts away the foot of page 3 (Challenge A writing lines). Print only from the Year 7 design rebuilt after the language pass (Teacher Guide prep calendar).</t>
    </r>
  </si>
  <si>
    <t xml:space="preserve">Galileo thought-experiment storyboard poster</t>
  </si>
  <si>
    <t xml:space="preserve">copy; A3 landscape, single-sided</t>
  </si>
  <si>
    <t xml:space="preserve">Learn phase: the six-panel Galileo storyboard (also shown on Slide 5); supports Core A</t>
  </si>
  <si>
    <t xml:space="preserve">Print spec: 1 per class. One poster can stay up for every class taught in the same room.</t>
  </si>
  <si>
    <t xml:space="preserve">Galileo storyboard, A4 table copies</t>
  </si>
  <si>
    <t xml:space="preserve">One per group table, to support Core A (putting the storyboard captions in order)</t>
  </si>
  <si>
    <t xml:space="preserve">The print spec says 'if wanted'. Scaled down from the A3 design, so check the Chinese gist lines are still readable.</t>
  </si>
  <si>
    <t xml:space="preserve">Kit card (half-A4, marked Teacher copy, includes the key to the cup contents)</t>
  </si>
  <si>
    <t xml:space="preserve">Teacher kit list, prep steps, hazards and clean-up; teacher key to mystery cups A to L</t>
  </si>
  <si>
    <t xml:space="preserve">The card carries the cup key, which must stay on the teacher desk, so do not put it on the group tables for the Safety Officer.</t>
  </si>
  <si>
    <t xml:space="preserve">Question sort cards (12 question cards + 2 header cards: Testable, Not testable)</t>
  </si>
  <si>
    <t xml:space="preserve">sets; 2 A4 sheets of card per set (sheet 1: 10 cards, sheet 2: 2 question cards + 2 header cards), single-sided, business-card size (8.5 cm x 5.5 cm)</t>
  </si>
  <si>
    <t xml:space="preserve">Do phase card sort: testable or not testable (about 8 minutes)</t>
  </si>
  <si>
    <t xml:space="preserve">6 sets x 2 sheets = 12 sheets of A4 white card, matching the requisition. Spec says 'on card if possible'. Cards are counted back into envelopes at clean-up, so one set of 6 could serve every class.</t>
  </si>
  <si>
    <t xml:space="preserve">Envelopes, small, for the sort card sets</t>
  </si>
  <si>
    <t xml:space="preserve">envelopes</t>
  </si>
  <si>
    <t xml:space="preserve">One envelope per group holding a set of 12 question cards and 2 header cards</t>
  </si>
  <si>
    <t xml:space="preserve">roll</t>
  </si>
  <si>
    <t xml:space="preserve">Taping each pair of cups rim to rim to seal the 12 mystery cups; re-taping any loose cup</t>
  </si>
  <si>
    <t xml:space="preserve">The kit card names masking tape but no amount; 1 roll is the requisition figure.</t>
  </si>
  <si>
    <t xml:space="preserve">Marker pen</t>
  </si>
  <si>
    <t xml:space="preserve">pen</t>
  </si>
  <si>
    <t xml:space="preserve">Labelling the mystery cups A to L underneath</t>
  </si>
  <si>
    <t xml:space="preserve">The kit card says 'label A to L underneath' but does not name a pen; any permanent marker will do.</t>
  </si>
  <si>
    <t xml:space="preserve">Writing on the worksheet, exit ticket and logbook (kit card: 1 per student)</t>
  </si>
  <si>
    <t xml:space="preserve">Bought for Week 1; reuse</t>
  </si>
  <si>
    <t xml:space="preserve">The Week 2 requisition lists 24 pencils again although they were bought for Week 1; no new order needed.</t>
  </si>
  <si>
    <t xml:space="preserve">Scientist's Logbook (A5 booklet)</t>
  </si>
  <si>
    <t xml:space="preserve">booklets</t>
  </si>
  <si>
    <t xml:space="preserve">Logbook line in Think and Reflect ('What I found')</t>
  </si>
  <si>
    <t xml:space="preserve">Started in Week 1; kept in the class box</t>
  </si>
  <si>
    <t xml:space="preserve">The Week 2 requisition lists 24 logbooks again ('Same booklets'); they are the Week 1 booklets, so no new order is needed.</t>
  </si>
  <si>
    <t xml:space="preserve">Group role cards with duties (6 cards per set incl. Language buddy card, laminated)</t>
  </si>
  <si>
    <t xml:space="preserve">sets</t>
  </si>
  <si>
    <t xml:space="preserve">Roles for the card sort: Lead Scientist reads, Recorder sorts, Reporter explains; language buddy reads the Chinese on each card</t>
  </si>
  <si>
    <t xml:space="preserve">Printed and laminated for Week 1; reuse</t>
  </si>
  <si>
    <t xml:space="preserve">No: reused</t>
  </si>
  <si>
    <t xml:space="preserve">Roles rotate weekly.</t>
  </si>
  <si>
    <t xml:space="preserve">Sentence frame card sets, Year 7 Ice Engineers (A6 cards, one frame per card)</t>
  </si>
  <si>
    <t xml:space="preserve">Frames on group tables; Week 2 frames: 'I predict ___ because ___.' and 'If ___, then ___.'</t>
  </si>
  <si>
    <t xml:space="preserve">Due to be printed with the language support pack before Week 1 (Teacher Guide prep calendar); reuse</t>
  </si>
  <si>
    <t xml:space="preserve">Not in the Week 1 or Week 2 requisition. If not yet printed: 6 sets of 16 cards, 4 per A4 sheet = 4 sheets per set, 24 A4 sheets.</t>
  </si>
  <si>
    <t xml:space="preserve">Classroom language card (A5, two-sided, laminated)</t>
  </si>
  <si>
    <t xml:space="preserve">Help phrases; the Teacher Guide repeats the two-minute walk-through (with the Instruction words key) in the two Do Nows after the first</t>
  </si>
  <si>
    <t xml:space="preserve">Laminated for Week 1 (30 printed: 24 + 6 spares); reuse</t>
  </si>
  <si>
    <t xml:space="preserve">The Week 2 Do Now (4 minutes) is already full with the mystery cups and the Today slide; decide whether the walk-through repeat fits.</t>
  </si>
  <si>
    <t xml:space="preserve">My Science Dictionary, Year 7 (A5 booklet)</t>
  </si>
  <si>
    <t xml:space="preserve">Key word meanings in English and Chinese; open in every lesson</t>
  </si>
  <si>
    <t xml:space="preserve">Given out in Week 1 (28 printed: 24 + 4 spares); reuse</t>
  </si>
  <si>
    <t xml:space="preserve">Not named in the Week 2 lesson file; the Teacher Guide says the dictionary is open in every lesson.</t>
  </si>
  <si>
    <t xml:space="preserve">Storing logbooks, collected at the end of the lesson</t>
  </si>
  <si>
    <t xml:space="preserve">Week 1 class box; reuse</t>
  </si>
  <si>
    <t xml:space="preserve">Hardback book, about A4 size</t>
  </si>
  <si>
    <t xml:space="preserve">book</t>
  </si>
  <si>
    <t xml:space="preserve">Teacher drop demo: book and flat paper, book and crumpled paper, paper on top of the book</t>
  </si>
  <si>
    <t xml:space="preserve">The demo paper must be smaller than the book cover for the 'paper on top' drop; trim a sheet if the cover is not bigger than A4.</t>
  </si>
  <si>
    <t xml:space="preserve">Plain A4 paper for the drop demo</t>
  </si>
  <si>
    <t xml:space="preserve">sheets</t>
  </si>
  <si>
    <t xml:space="preserve">One to crumple, one flat, one spare</t>
  </si>
  <si>
    <t xml:space="preserve">Teacher box for the mystery cups (storage box)</t>
  </si>
  <si>
    <t xml:space="preserve">Storing the 12 mystery cups between classes and for future years</t>
  </si>
  <si>
    <t xml:space="preserve">Marbles (cup contents)</t>
  </si>
  <si>
    <t xml:space="preserve">marbles</t>
  </si>
  <si>
    <t xml:space="preserve">Mystery cup A (1 marble) and K (2 marbles)</t>
  </si>
  <si>
    <t xml:space="preserve">Cotton ball (cup contents)</t>
  </si>
  <si>
    <t xml:space="preserve">cotton ball</t>
  </si>
  <si>
    <t xml:space="preserve">Mystery cup B</t>
  </si>
  <si>
    <t xml:space="preserve">Coin (cup contents)</t>
  </si>
  <si>
    <t xml:space="preserve">coin</t>
  </si>
  <si>
    <t xml:space="preserve">Mystery cup C</t>
  </si>
  <si>
    <t xml:space="preserve">Paper clip (cup contents)</t>
  </si>
  <si>
    <t xml:space="preserve">clip</t>
  </si>
  <si>
    <t xml:space="preserve">Mystery cup D</t>
  </si>
  <si>
    <t xml:space="preserve">Eraser (cup contents)</t>
  </si>
  <si>
    <t xml:space="preserve">eraser</t>
  </si>
  <si>
    <t xml:space="preserve">Mystery cup F</t>
  </si>
  <si>
    <t xml:space="preserve">Dice (cup contents)</t>
  </si>
  <si>
    <t xml:space="preserve">dice</t>
  </si>
  <si>
    <t xml:space="preserve">Mystery cup G</t>
  </si>
  <si>
    <t xml:space="preserve">Small bell (cup contents)</t>
  </si>
  <si>
    <t xml:space="preserve">bell</t>
  </si>
  <si>
    <t xml:space="preserve">Mystery cup H</t>
  </si>
  <si>
    <t xml:space="preserve">Bottle cap (cup contents)</t>
  </si>
  <si>
    <t xml:space="preserve">cap</t>
  </si>
  <si>
    <t xml:space="preserve">Mystery cup I</t>
  </si>
  <si>
    <t xml:space="preserve">Small wooden block (cup contents)</t>
  </si>
  <si>
    <t xml:space="preserve">block</t>
  </si>
  <si>
    <t xml:space="preserve">Mystery cup J</t>
  </si>
  <si>
    <t xml:space="preserve">Must fit inside a paper cup.</t>
  </si>
  <si>
    <t xml:space="preserve">Paper cups, opaque</t>
  </si>
  <si>
    <t xml:space="preserve">2 per mystery cup x 12 (one upside down on another, rim to rim)</t>
  </si>
  <si>
    <t xml:space="preserve">Must be opaque so students cannot see the contents (the requisition just says 'Paper cups').</t>
  </si>
  <si>
    <t xml:space="preserve">Dry rice (cup contents)</t>
  </si>
  <si>
    <t xml:space="preserve">Mystery cup E</t>
  </si>
  <si>
    <t xml:space="preserve">Mystery cups, sealed, labelled A to L (L empty)</t>
  </si>
  <si>
    <t xml:space="preserve">sealed cups (2 per group)</t>
  </si>
  <si>
    <t xml:space="preserve">Do Now: shake, listen and weigh, then write an observation and an inference for each cup</t>
  </si>
  <si>
    <t xml:space="preserve">Made during Week 1 for this lesson (Teacher Guide prep calendar, 15 min). Neighbouring groups get different cups. Kept in the teacher box for future years, so one set serves every class.</t>
  </si>
  <si>
    <t xml:space="preserve">Worksheet: Fingerprints (Core, Stretch, Challenge, My thinking, fold-under word bank, exit ticket strip)</t>
  </si>
  <si>
    <t xml:space="preserve">copies; 3 A4 pages, double-sided (pages 1 and 2 back to back, page 3 on its own sheet: 2 sheets each, 48 sheets)</t>
  </si>
  <si>
    <t xml:space="preserve">Main student task in the Do phase (pattern labels, class tally, bar chart, Fingerprint File table); exit ticket strip at the foot of page 3</t>
  </si>
  <si>
    <t xml:space="preserve">No spares stated. Pages 1 and 2 say 'turn over', so print double-sided; page 3 then has a blank back, so cutting off the exit ticket strip removes nothing else. Students cut or tear off the strip (no scissors are listed). Print only from the design rebuilt after the language pass.</t>
  </si>
  <si>
    <t xml:space="preserve">Fingerprint File (smudged scene print and five reference prints; no answers on the sheet)</t>
  </si>
  <si>
    <t xml:space="preserve">copies; A4 portrait, single-sided (6 for groups + 1 for display)</t>
  </si>
  <si>
    <t xml:space="preserve">Do phase, handed out at minute 14: classify the scene print and the prints of the four suspects and Professor Frost (Stretch c, Slide 10)</t>
  </si>
  <si>
    <t xml:space="preserve">Print spec: 1 per group plus 1 for display. After printing, check the scene print is clearly a loop but smudged at the centre. Each print has a 'Type ____' line: if groups write on the sheet, print a new set for each class; if they write only on the worksheet, collect and reuse.</t>
  </si>
  <si>
    <t xml:space="preserve">Kit card (half-A4, teacher copy)</t>
  </si>
  <si>
    <t xml:space="preserve">copy; A5 (half-A4) landscape, single-sided</t>
  </si>
  <si>
    <t xml:space="preserve">Kit list per group, teacher prep, hazards and controls, clean-up</t>
  </si>
  <si>
    <t xml:space="preserve">The design is marked 'Teacher copy' and no number of copies is stated. The Teacher Guide has the Safety Officer check the kit card at the start of every Do phase; the card carries no answers, so a copy per tray would be safe if wanted.</t>
  </si>
  <si>
    <t xml:space="preserve">Printed copy of the scene print for the optional display glass</t>
  </si>
  <si>
    <t xml:space="preserve">copy; scene print box cut from one extra A4 single-sided Fingerprint File print</t>
  </si>
  <si>
    <t xml:space="preserve">Taped onto a real drinking glass as a display of evidence 2</t>
  </si>
  <si>
    <t xml:space="preserve">Optional in the kit card and the Case Bible. The display copy of the Fingerprint File could be cut instead if it is not needed whole.</t>
  </si>
  <si>
    <t xml:space="preserve">Fingerprint record card (five finger boxes with tick boxes, pattern guide), printed on white card</t>
  </si>
  <si>
    <t xml:space="preserve">cards; A5 landscape (half-A4), single-sided, 2 per A4 sheet of white card, cut in half (12 sheets)</t>
  </si>
  <si>
    <t xml:space="preserve">Each student takes and classifies their own prints (right index first); filed in the case file as assessment evidence</t>
  </si>
  <si>
    <t xml:space="preserve">Matches the requisition's 12 A4 sheets of white card. No spares are stated for retakes (the answer key says retake a smudged finger) or for the teacher's demonstration.</t>
  </si>
  <si>
    <t xml:space="preserve">Clear sticky tape</t>
  </si>
  <si>
    <t xml:space="preserve">rolls (1 per group)</t>
  </si>
  <si>
    <t xml:space="preserve">Lifting the graphite print from the fingertip onto the record card</t>
  </si>
  <si>
    <t xml:space="preserve">Keep the rolls: Week 3 reuses them for the chromatography strips. A short piece also fixes the optional scene print to the display glass.</t>
  </si>
  <si>
    <t xml:space="preserve">Soft pencils, 2B to 4B</t>
  </si>
  <si>
    <t xml:space="preserve">pencils (4 per group)</t>
  </si>
  <si>
    <t xml:space="preserve">Shading a dark graphite patch on scrap paper for taking prints</t>
  </si>
  <si>
    <t xml:space="preserve">Must be soft (2B to 4B) to lay down enough graphite.</t>
  </si>
  <si>
    <t xml:space="preserve">Scrap paper for shading</t>
  </si>
  <si>
    <t xml:space="preserve">sheets (4 per group)</t>
  </si>
  <si>
    <t xml:space="preserve">The Measurer shades a dark patch (about 3 cm square, Slide 8) for fingertips to rub on</t>
  </si>
  <si>
    <t xml:space="preserve">One-side-used paper is fine. The requisition counts 24 sheets per class.</t>
  </si>
  <si>
    <t xml:space="preserve">Pencils (for writing)</t>
  </si>
  <si>
    <t xml:space="preserve">Writing on the worksheet, evidence log and exit ticket</t>
  </si>
  <si>
    <t xml:space="preserve">Bought for Week 1 (1 per student); reuse</t>
  </si>
  <si>
    <t xml:space="preserve">Case files (A4 folder: cover, briefing and sign-in sheet, scene map, suspect cards, evidence log with suspect tracker)</t>
  </si>
  <si>
    <t xml:space="preserve">Do Now uses the suspect cards; Think and Reflect: evidence log row 2 and the suspect tracker 'Fingerprint' column; record cards filed here at clean-up</t>
  </si>
  <si>
    <t xml:space="preserve">Made in Week 1; kept in the class box</t>
  </si>
  <si>
    <t xml:space="preserve">Evidence log row 1 is finished in this Do Now if not done in Week 1. Check every case file has its suspect cards.</t>
  </si>
  <si>
    <t xml:space="preserve">One line under 'What I found' if there is time at the end of Think and Reflect; otherwise evidence log row 2 counts as the entry</t>
  </si>
  <si>
    <t xml:space="preserve">Printed before Week 1; kept in the class box</t>
  </si>
  <si>
    <t xml:space="preserve">Group role cards with duties, including the Language buddy card (laminated)</t>
  </si>
  <si>
    <t xml:space="preserve">Roles checked in the Do Now (Measurer shades, Safety Officer checks the kit card and leads clean-up); buddy card for each Band 3 buddy</t>
  </si>
  <si>
    <t xml:space="preserve">Printed and laminated with the language support pack before Week 1; reuse</t>
  </si>
  <si>
    <t xml:space="preserve">Sentence frame card sets, Year 8 (A6 cards)</t>
  </si>
  <si>
    <t xml:space="preserve">Week 2 frames on group tables: 'My fingerprint is a ___ because the lines ___.' and 'This evidence is strong / weak because ___.'</t>
  </si>
  <si>
    <t xml:space="preserve">Printed with the language support pack before Week 1; reuse</t>
  </si>
  <si>
    <t xml:space="preserve">My Science Dictionary, Year 8 (A5 booklet)</t>
  </si>
  <si>
    <t xml:space="preserve">Printed before Week 1 (1 per student plus 4); reuse</t>
  </si>
  <si>
    <t xml:space="preserve">Not named in the Week 2 lesson file; the Teacher Guide says it is open in every lesson.</t>
  </si>
  <si>
    <t xml:space="preserve">Student help phrases such as 'Can I say it in Chinese?'</t>
  </si>
  <si>
    <t xml:space="preserve">Printed and laminated with the language support pack before Week 1 (1 per student plus 6 spares); reuse</t>
  </si>
  <si>
    <t xml:space="preserve">Not named in the Week 2 lesson file. The language pack asks for the two-minute walk-through to be repeated in the Do Now of the two lessons after hand-out, but this Do Now is already full.</t>
  </si>
  <si>
    <t xml:space="preserve">Magnifying glasses</t>
  </si>
  <si>
    <t xml:space="preserve">magnifiers (2 per group)</t>
  </si>
  <si>
    <t xml:space="preserve">Hook: students look at their fingertips (30 seconds); Do: classifying prints</t>
  </si>
  <si>
    <t xml:space="preserve">Shared in pairs.</t>
  </si>
  <si>
    <t xml:space="preserve">Trays</t>
  </si>
  <si>
    <t xml:space="preserve">trays (1 per group)</t>
  </si>
  <si>
    <t xml:space="preserve">Group kit trays; tape and pencils go back in at clean-up</t>
  </si>
  <si>
    <t xml:space="preserve">Cloths for wiping tables</t>
  </si>
  <si>
    <t xml:space="preserve">not stated (kit card: 'Wipe tables'; the requisition assumes 6, 1 per group); cloths</t>
  </si>
  <si>
    <t xml:space="preserve">Wiping graphite off tables at clean-up</t>
  </si>
  <si>
    <t xml:space="preserve">Confirm the number; 1 per group is the requisition's assumption, not the lesson file's.</t>
  </si>
  <si>
    <t xml:space="preserve">Visualiser (document camera)</t>
  </si>
  <si>
    <t xml:space="preserve">visualiser</t>
  </si>
  <si>
    <t xml:space="preserve">Learn: teacher demonstrates the pencil-and-tape method</t>
  </si>
  <si>
    <t xml:space="preserve">If the room has none, demonstrate at a group table with students gathered round.</t>
  </si>
  <si>
    <t xml:space="preserve">Drinking glass (optional display)</t>
  </si>
  <si>
    <t xml:space="preserve">Optional display: the scene print taped onto a real glass</t>
  </si>
  <si>
    <t xml:space="preserve">Same glass as the optional Week 1 scene table, if one was set up; reuse</t>
  </si>
  <si>
    <t xml:space="preserve">Listed in both the Week 1 and Week 2 requisitions; one glass serves both weeks.</t>
  </si>
  <si>
    <t xml:space="preserve">Case files and logbooks go back in after the lesson</t>
  </si>
  <si>
    <t xml:space="preserve">Paper towels or wet wipes</t>
  </si>
  <si>
    <t xml:space="preserve">not stated: 'a few' per group (the requisition assumes 3 per group, 18 sheets); sheets (or wet wipes)</t>
  </si>
  <si>
    <t xml:space="preserve">Wiping graphite off fingers; everyone washes hands at the end</t>
  </si>
  <si>
    <t xml:space="preserve">The requisition uses the lab's own paper towels from the sink dispenser. Check the room has a sink with soap for hand washing; use wet wipes if not.</t>
  </si>
  <si>
    <t xml:space="preserve">Class tally table on the board</t>
  </si>
  <si>
    <t xml:space="preserve">table drawn on the board</t>
  </si>
  <si>
    <t xml:space="preserve">Class fingerprint survey: one tally per student (right index finger) at minute 8 of Do; students copy it into Core c and draw the bar chart</t>
  </si>
  <si>
    <r>
      <rPr>
        <sz val="10"/>
        <color rgb="FF00235F"/>
        <rFont val="Arial"/>
        <family val="0"/>
        <charset val="1"/>
      </rPr>
      <t xml:space="preserve">Label rows as on Slide 9 (Loop </t>
    </r>
    <r>
      <rPr>
        <sz val="10"/>
        <color rgb="FF00235F"/>
        <rFont val="WenQuanYi Zen Hei"/>
        <family val="2"/>
      </rPr>
      <t xml:space="preserve">箕形纹 </t>
    </r>
    <r>
      <rPr>
        <sz val="10"/>
        <color rgb="FF00235F"/>
        <rFont val="Arial"/>
        <family val="0"/>
        <charset val="1"/>
      </rPr>
      <t xml:space="preserve">/ Whorl </t>
    </r>
    <r>
      <rPr>
        <sz val="10"/>
        <color rgb="FF00235F"/>
        <rFont val="WenQuanYi Zen Hei"/>
        <family val="2"/>
      </rPr>
      <t xml:space="preserve">斗形纹 </t>
    </r>
    <r>
      <rPr>
        <sz val="10"/>
        <color rgb="FF00235F"/>
        <rFont val="Arial"/>
        <family val="0"/>
        <charset val="1"/>
      </rPr>
      <t xml:space="preserve">/ Arch </t>
    </r>
    <r>
      <rPr>
        <sz val="10"/>
        <color rgb="FF00235F"/>
        <rFont val="WenQuanYi Zen Hei"/>
        <family val="2"/>
      </rPr>
      <t xml:space="preserve">弓形纹 </t>
    </r>
    <r>
      <rPr>
        <sz val="10"/>
        <color rgb="FF00235F"/>
        <rFont val="Arial"/>
        <family val="0"/>
        <charset val="1"/>
      </rPr>
      <t xml:space="preserve">/ Total </t>
    </r>
    <r>
      <rPr>
        <sz val="10"/>
        <color rgb="FF00235F"/>
        <rFont val="WenQuanYi Zen Hei"/>
        <family val="2"/>
      </rPr>
      <t xml:space="preserve">总数</t>
    </r>
    <r>
      <rPr>
        <sz val="10"/>
        <color rgb="FF00235F"/>
        <rFont val="Arial"/>
        <family val="0"/>
        <charset val="1"/>
      </rPr>
      <t xml:space="preserve">) so students copy each row by its label, not its position. Redraw for each class.</t>
    </r>
  </si>
  <si>
    <t xml:space="preserve">Display glass with the scene print taped on</t>
  </si>
  <si>
    <t xml:space="preserve">display glass</t>
  </si>
  <si>
    <t xml:space="preserve">Optional display of evidence 2, the fingerprint on the glass</t>
  </si>
  <si>
    <t xml:space="preserve">Made from the drinking glass, the printed scene print and a piece of clear tape (all listed above). Keep it for later classes.</t>
  </si>
  <si>
    <t xml:space="preserve">Student worksheet (Meet the variables), with fold-under word bank and exit ticket strip on page 5</t>
  </si>
  <si>
    <t xml:space="preserve">copies; 5 A4 pages, double-sided (3 sheets each), black and white</t>
  </si>
  <si>
    <t xml:space="preserve">Do Now box, Core A to D (cloze, picture sort, results table, variables table), Stretch, Challenge, My thinking, fold-under word bank, exit ticket</t>
  </si>
  <si>
    <t xml:space="preserve">The lesson file does not say single or double-sided. Pages 1 to 4 carry 'turn over' footers, so double-sided is assumed (24 x 3 = 72 sheets); page 5 then has a blank back, so cutting off the exit ticket loses nothing. No spare copies are named.</t>
  </si>
  <si>
    <t xml:space="preserve">Odd-one-out cards, group set (four A6 cards A to D on one A4 landscape sheet)</t>
  </si>
  <si>
    <t xml:space="preserve">copies; 1 A4 page landscape, single-sided, cut into four A6 cards</t>
  </si>
  <si>
    <t xml:space="preserve">Think and Reflect: which test is not fair? One set per group</t>
  </si>
  <si>
    <t xml:space="preserve">The print spec says '1 set for the slide (Slide 10) plus 6 sets for groups'; the A5 single cards A to D are treated as the Slide 10 images, not printed. The file does not say paper or card. Nothing is written on the cards, so if collected in, one batch of 6 sets can serve every class.</t>
  </si>
  <si>
    <t xml:space="preserve">Kit card (half A4), teacher copy</t>
  </si>
  <si>
    <t xml:space="preserve">Kit list, teacher prep, hazards and clean-up for setting out the trays</t>
  </si>
  <si>
    <t xml:space="preserve">The design is marked 'Teacher copy'. The Teacher Guide has the Safety Officer check the kit card at the start of every Do phase; print 6 more if each group should have one.</t>
  </si>
  <si>
    <t xml:space="preserve">Paper spinner template printed on thin white card (160 gsm), three spinners per sheet</t>
  </si>
  <si>
    <t xml:space="preserve">sheets; A4 card 160 gsm, single-sided, black and white, printed at 100% (no fit to page)</t>
  </si>
  <si>
    <t xml:space="preserve">1 sheet per group (S, M and L spinners) plus 3 spares on the teacher desk (1 per 2 groups)</t>
  </si>
  <si>
    <t xml:space="preserve">The print spec also asks for 9 more sheets in reserve for Week 4; the Week 4 requisition already lists them, so they are not counted here. The file does not say where the demo S and L spinners come from; the current requisition takes them from a spare, which leaves 2 full spare sheets instead of 3.</t>
  </si>
  <si>
    <t xml:space="preserve">A5 envelopes, labelled with the group name</t>
  </si>
  <si>
    <t xml:space="preserve">Spinner storage for Week 4; the Recorder writes the group members' names on it</t>
  </si>
  <si>
    <t xml:space="preserve">Kept with the spinners: reused in Week 4 and, with the results table, in Week 5.</t>
  </si>
  <si>
    <t xml:space="preserve">Wall drop marks: 6 strips at exactly 2.0 m and 6 at 1.8 m, one pair per group station</t>
  </si>
  <si>
    <t xml:space="preserve">The file gives 12 strips but no number of rolls; 1 roll is the current requisition's figure and is ample. The Week 2 roll (mystery cups) may do.</t>
  </si>
  <si>
    <t xml:space="preserve">Write '1.8 m' on the lower tape strips and the group names on the envelopes</t>
  </si>
  <si>
    <t xml:space="preserve">Week 2 marker pen (mystery cup labels); reuse</t>
  </si>
  <si>
    <t xml:space="preserve">The kit card says 'labelled' but names no pen.</t>
  </si>
  <si>
    <t xml:space="preserve">pencils (1 per student)</t>
  </si>
  <si>
    <t xml:space="preserve">Worksheet, results table, envelope names and exit ticket</t>
  </si>
  <si>
    <t xml:space="preserve">bought for Week 1 (kit card: 1 per student, spares on the teacher desk); reuse</t>
  </si>
  <si>
    <t xml:space="preserve">Not listed on the Week 3 kit card.</t>
  </si>
  <si>
    <t xml:space="preserve">Group role cards with duties, including the Language buddy card</t>
  </si>
  <si>
    <t xml:space="preserve">sets of 6 laminated business-card-size cards</t>
  </si>
  <si>
    <t xml:space="preserve">Roles on every table; Language buddy card for the Band 3 student beside the Band 1 student</t>
  </si>
  <si>
    <t xml:space="preserve">printed and laminated from the language support pack before Week 1; reuse</t>
  </si>
  <si>
    <t xml:space="preserve">The slides name a Dropper, Measurer and Recorder. There is no Dropper card: the tallest student in the group drops (Slide 7 notes).</t>
  </si>
  <si>
    <t xml:space="preserve">Classroom language cards (A5, two-sided, laminated)</t>
  </si>
  <si>
    <t xml:space="preserve">cards (1 per student plus 6 spares)</t>
  </si>
  <si>
    <t xml:space="preserve">Routine phrases and asking for help</t>
  </si>
  <si>
    <t xml:space="preserve">Sentence frame card sets, Ice Engineers (A6)</t>
  </si>
  <si>
    <t xml:space="preserve">Week 3 frames ('It is / is not fair because', 'I change, I measure, I keep the same', 'We must keep ___ the same because') for the Do Now, Learn and Stretch</t>
  </si>
  <si>
    <t xml:space="preserve">printed from the language support pack before Week 1; reuse</t>
  </si>
  <si>
    <t xml:space="preserve">The odd-one-out frame is not in the frame bank; it is printed on the cards and Slide 10.</t>
  </si>
  <si>
    <t xml:space="preserve">Language wall posters: Instruction words (A3), Classroom language side B (A3), Sentence frames Ice Engineers (A4), Think in any language (A3)</t>
  </si>
  <si>
    <t xml:space="preserve">posters</t>
  </si>
  <si>
    <t xml:space="preserve">Wall support for instructions, routine phrases, frames and any-language thinking</t>
  </si>
  <si>
    <t xml:space="preserve">on the wall since before Week 1; reuse</t>
  </si>
  <si>
    <t xml:space="preserve">Scientist's Logbooks (A5 booklets)</t>
  </si>
  <si>
    <t xml:space="preserve">logbooks</t>
  </si>
  <si>
    <t xml:space="preserve">Logbook line at the end of Think and Reflect; collected into the class box</t>
  </si>
  <si>
    <t xml:space="preserve">started in Week 1; kept in the class box; reuse</t>
  </si>
  <si>
    <t xml:space="preserve">Not named in the Week 3 lesson plan; the Teacher Guide routine ends every lesson with a logbook line.</t>
  </si>
  <si>
    <t xml:space="preserve">My Science Dictionary booklets (Y7)</t>
  </si>
  <si>
    <t xml:space="preserve">booklets (1 per student plus 4)</t>
  </si>
  <si>
    <t xml:space="preserve">Recording today's new key words</t>
  </si>
  <si>
    <t xml:space="preserve">printed before Week 1; reuse</t>
  </si>
  <si>
    <t xml:space="preserve">Not named in the lesson plan.</t>
  </si>
  <si>
    <t xml:space="preserve">Paper clips, standard 28 mm, all the same size</t>
  </si>
  <si>
    <t xml:space="preserve">clips</t>
  </si>
  <si>
    <t xml:space="preserve">One clip per spinner: 4 per group (3 plus 1 spare) = 24, plus 2 for the teacher's demo S and L spinners</t>
  </si>
  <si>
    <t xml:space="preserve">All clips must be the same size: the clip is a control variable.</t>
  </si>
  <si>
    <t xml:space="preserve">Scissors</t>
  </si>
  <si>
    <t xml:space="preserve">pairs</t>
  </si>
  <si>
    <t xml:space="preserve">Cutting out the spinners, 2 per group</t>
  </si>
  <si>
    <t xml:space="preserve">Counted back into the tray at clean-up.</t>
  </si>
  <si>
    <t xml:space="preserve">Stopwatches</t>
  </si>
  <si>
    <t xml:space="preserve">stopwatches</t>
  </si>
  <si>
    <t xml:space="preserve">The Measurer times each fall, 1 per group</t>
  </si>
  <si>
    <t xml:space="preserve">Metre sticks</t>
  </si>
  <si>
    <t xml:space="preserve">metre sticks</t>
  </si>
  <si>
    <t xml:space="preserve">1 per group to check the 2 m mark; the teacher uses one to mark the walls beforehand</t>
  </si>
  <si>
    <t xml:space="preserve">Kit trays</t>
  </si>
  <si>
    <t xml:space="preserve">trays</t>
  </si>
  <si>
    <t xml:space="preserve">Group kit set out before the lesson; scissors and stopwatches counted back in at clean-up</t>
  </si>
  <si>
    <t xml:space="preserve">The kit card says scissors and stopwatches are 'counted back into the tray' and the current requisition lists 1 tray; the Teacher Guide routine sets out one tray per group (6). Decide which.</t>
  </si>
  <si>
    <t xml:space="preserve">Stores logbooks and the six spinner envelopes until Week 4</t>
  </si>
  <si>
    <t xml:space="preserve">set up in Week 1; reuse</t>
  </si>
  <si>
    <t xml:space="preserve">Demo paper spinners, S (4 cm wings) and L (8 cm wings), each with one paper clip, tested once</t>
  </si>
  <si>
    <t xml:space="preserve">spinners</t>
  </si>
  <si>
    <t xml:space="preserve">Hook demo: dropped together from the 2 m mark</t>
  </si>
  <si>
    <t xml:space="preserve">Uses 2 of the 26 paper clips; see the spinner template note on which sheet they come from. Keeping the L spinner would also serve the Week 4 Hook (one L spinner), though the files do not say so.</t>
  </si>
  <si>
    <t xml:space="preserve">Wall drop marks at six group stations (2.0 m, plus a second mark at 1.8 m labelled '1.8 m')</t>
  </si>
  <si>
    <t xml:space="preserve">stations</t>
  </si>
  <si>
    <t xml:space="preserve">Fixed drop height for every test; 1.8 m only for groups where no one can reach 2 m standing flat</t>
  </si>
  <si>
    <t xml:space="preserve">Choose walls away from windows, fans and air-conditioning vents. Leave up for Week 4.</t>
  </si>
  <si>
    <t xml:space="preserve">Worksheet: Who wrote the note? (Core a to d, Stretch, Challenge, My thinking, fold-under word bank, exit ticket strip)</t>
  </si>
  <si>
    <t xml:space="preserve">copies; 4 A4 portrait pages, double-sided (2 sheets per copy)</t>
  </si>
  <si>
    <t xml:space="preserve">Main student task: method cloze, results and match tables, box d for the dry chromatograms, Stretch Rf, Challenge; exit ticket strip at the foot of page 4</t>
  </si>
  <si>
    <t xml:space="preserve">No spares stated. Pages 1 to 3 say 'turn over', so the design is double-sided: cutting off the exit ticket (foot of page 4) also cuts the foot of page 3 (Challenge a). Keep the worksheets in the case files after the lesson: box d on page 2 takes the dry chromatograms in the Week 4 Do Now. Print only from the designs rebuilt after the language pass (prep calendar).</t>
  </si>
  <si>
    <t xml:space="preserve">Kit card (half-A4, marked 'Teacher copy')</t>
  </si>
  <si>
    <t xml:space="preserve">not stated (the design is marked 'Teacher copy'); copies; A5 landscape, single-sided</t>
  </si>
  <si>
    <t xml:space="preserve">Per-group kit list, teacher prep, hazards and controls, clean-up steps; kit trays are set out from it</t>
  </si>
  <si>
    <t xml:space="preserve">The Teacher Guide says the Safety Officer checks the kit card at the start of every Do phase: decide on 1 teacher copy or 1 per group tray (6).</t>
  </si>
  <si>
    <t xml:space="preserve">Teacher Pre-test Record: pens A to D (teacher only)</t>
  </si>
  <si>
    <t xml:space="preserve">copy; A4 portrait, single-sided</t>
  </si>
  <si>
    <t xml:space="preserve">Records brand, colours, distances and Rf for pens A to D at the pen pre-test, plus the prep checklist; source of the Core b answer key</t>
  </si>
  <si>
    <t xml:space="preserve">Needed at the pen pre-test, which the prep calendar puts in Week 1, so print it then, not with the Week 3 batch. Keep it in the teacher folder with the dried pre-test strips; never show it to students.</t>
  </si>
  <si>
    <t xml:space="preserve">Chromatography lab card (A5 landscape, table top, laminated)</t>
  </si>
  <si>
    <t xml:space="preserve">copies; A5 landscape, single-sided, laminated</t>
  </si>
  <si>
    <t xml:space="preserve">Five bilingual picture steps for the practical on every group table (Band 1 support)</t>
  </si>
  <si>
    <t xml:space="preserve">Print 6 (one per group) as the file states. Laminated, so one set can serve every class.</t>
  </si>
  <si>
    <t xml:space="preserve">Laminating the 6 chromatography lab cards</t>
  </si>
  <si>
    <t xml:space="preserve">Pencils for the kit (baselines and hanging strips)</t>
  </si>
  <si>
    <t xml:space="preserve">5 per group: Measurer draws the baselines and letters; each strip is folded and taped over a pencil laid across a cup; solvent front marked in pencil</t>
  </si>
  <si>
    <t xml:space="preserve">All 5 pencils hang across the cups during the 7-minute run while students write Core a, so students also need something to write with.</t>
  </si>
  <si>
    <t xml:space="preserve">Pencils for writing</t>
  </si>
  <si>
    <t xml:space="preserve">Worksheet, exit ticket and evidence log while the kit pencils are in use</t>
  </si>
  <si>
    <t xml:space="preserve">Not named in the Week 3 files.</t>
  </si>
  <si>
    <t xml:space="preserve">rolls</t>
  </si>
  <si>
    <t xml:space="preserve">A few pieces per group to fix each strip over its pencil</t>
  </si>
  <si>
    <t xml:space="preserve">Week 2 rolls (1 per group); reuse</t>
  </si>
  <si>
    <t xml:space="preserve">The kit card says 'a few' pieces per group. The Week 3 requisition lists 6 rolls again but its note says reuse the Week 2 rolls, so no new order unless they have run out.</t>
  </si>
  <si>
    <t xml:space="preserve">Paper clips (instead of tape)</t>
  </si>
  <si>
    <t xml:space="preserve">not stated ('a few' per group, as an alternative to tape); clips</t>
  </si>
  <si>
    <t xml:space="preserve">Alternative way to fix strips to the pencils</t>
  </si>
  <si>
    <t xml:space="preserve">The requisition assumes 30 (5 per group, one per strip). Only needed if tape is not used; paper clips are already on the before-Week 1 buy list.</t>
  </si>
  <si>
    <t xml:space="preserve">Cover the brand name on every group pen and write its letter A to D on the tape</t>
  </si>
  <si>
    <t xml:space="preserve">Week 1 roll (pen pre-test labelling); reuse</t>
  </si>
  <si>
    <t xml:space="preserve">Case files (evidence log with suspect tracker)</t>
  </si>
  <si>
    <t xml:space="preserve">Evidence log row 3 and suspect tracker column 'Ink'; worksheets and chromatograms are kept here</t>
  </si>
  <si>
    <t xml:space="preserve">One line under 'What I found' if time; otherwise evidence log row 3 counts as the entry</t>
  </si>
  <si>
    <t xml:space="preserve">Printed before Week 1 and started in Week 1; kept in the class box</t>
  </si>
  <si>
    <t xml:space="preserve">Group role cards with duties, including the language buddy card (6 cards per set, laminated)</t>
  </si>
  <si>
    <t xml:space="preserve">Measurer draws baselines, Lead Scientist dots, Safety Officer pours water to 1 cm and checks the kit card, Recorder labels the cups; Band 3 buddy sits with the Band 1 student</t>
  </si>
  <si>
    <t xml:space="preserve">Printed and laminated before Week 1 (language support pack); reuse</t>
  </si>
  <si>
    <t xml:space="preserve">Week 3 frame on group tables: 'This sample matches ___ because ___.'</t>
  </si>
  <si>
    <t xml:space="preserve">The lesson file uses the Week 3 frame but does not name the card sets; put them on the group tables.</t>
  </si>
  <si>
    <t xml:space="preserve">Key word meanings in English and Chinese</t>
  </si>
  <si>
    <t xml:space="preserve">Given out in Week 1 (1 per student plus 4 spares); reuse</t>
  </si>
  <si>
    <t xml:space="preserve">Not named in the Week 3 lesson file.</t>
  </si>
  <si>
    <t xml:space="preserve">Black washable felt-tip pens, four brands, labelled A to D (group sets)</t>
  </si>
  <si>
    <t xml:space="preserve">pens (6 sets of A to D)</t>
  </si>
  <si>
    <t xml:space="preserve">Reference samples: each group dots pens A, B, C and D on its strips</t>
  </si>
  <si>
    <t xml:space="preserve">Must be the same four brands as the pre-test pens, washable not permanent. The prep calendar and Case Bible only name 8 teacher pens (two of each), so this order is separate. Keep them for Weeks 7 to 8 (Ink 2). If only one set is available, the teacher pre-dots strips A to D instead.</t>
  </si>
  <si>
    <t xml:space="preserve">Teacher's pre-test pens A to D (two of each brand)</t>
  </si>
  <si>
    <t xml:space="preserve">Pen B makes the N strips; the spare set is stored safely for Weeks 7 to 8 (Ink 2)</t>
  </si>
  <si>
    <t xml:space="preserve">Bought before Week 1 and pre-tested; reuse</t>
  </si>
  <si>
    <t xml:space="preserve">Never let pen B sit on a student table except as a labelled reference pen.</t>
  </si>
  <si>
    <t xml:space="preserve">Small clear plastic cups</t>
  </si>
  <si>
    <t xml:space="preserve">5 per group: one cup of 1 cm water per strip (A, B, C, D, N)</t>
  </si>
  <si>
    <t xml:space="preserve">Rulers, 30 cm</t>
  </si>
  <si>
    <t xml:space="preserve">rulers</t>
  </si>
  <si>
    <t xml:space="preserve">Drawing the 2 cm baselines; measuring spot and solvent distances for Stretch Rf</t>
  </si>
  <si>
    <t xml:space="preserve">Small jugs of water</t>
  </si>
  <si>
    <t xml:space="preserve">jugs</t>
  </si>
  <si>
    <t xml:space="preserve">Safety Officer pours water 1 cm deep into each cup</t>
  </si>
  <si>
    <t xml:space="preserve">Fill with tap water before the lesson.</t>
  </si>
  <si>
    <t xml:space="preserve">One kit tray per group; pens counted back in, 4 per tray</t>
  </si>
  <si>
    <t xml:space="preserve">not stated; cloths</t>
  </si>
  <si>
    <t xml:space="preserve">Wipe up spills straight away; wipe tables at clean-up</t>
  </si>
  <si>
    <t xml:space="preserve">The kit card says 'Wipe tables' but gives no number; the requisition lists 6 (1 per group).</t>
  </si>
  <si>
    <t xml:space="preserve">Guillotine or scissors for cutting filter strips</t>
  </si>
  <si>
    <t xml:space="preserve">not stated; tool</t>
  </si>
  <si>
    <t xml:space="preserve">Cutting coffee filters into 2 cm by 10 cm strips</t>
  </si>
  <si>
    <t xml:space="preserve">Not named in the files; a prep room guillotine or scissors. The filter paper must give strips 10 cm long.</t>
  </si>
  <si>
    <t xml:space="preserve">Case files and logbooks stored after the lesson</t>
  </si>
  <si>
    <t xml:space="preserve">White coffee-filter strips, 2 cm by 10 cm</t>
  </si>
  <si>
    <t xml:space="preserve">36 for groups (4 plus 2 spare per group) and 8 for the note ink strips N (1 per group plus 2 spare)</t>
  </si>
  <si>
    <t xml:space="preserve">Cut fresh for every class. How many whole filters this takes depends on the filter size, which is not stated. Coffee filters are on the before-Week 1 buy list.</t>
  </si>
  <si>
    <t xml:space="preserve">Paper towels (the lab's own)</t>
  </si>
  <si>
    <t xml:space="preserve">2 per group: comparing strips side by side and drying them flat, labelled with the group number</t>
  </si>
  <si>
    <t xml:space="preserve">The strips stay on these towels until the Week 4 Do Now, so dry them where they will not be disturbed.</t>
  </si>
  <si>
    <t xml:space="preserve">Note ink strips 'N' (pen B, pencil baseline 2 cm up, 'N' in pencil at the top, dotted three times)</t>
  </si>
  <si>
    <t xml:space="preserve">The forensic lab's sample of the note ink: 1 per group plus 2 spare</t>
  </si>
  <si>
    <t xml:space="preserve">Made from 8 of the 44 filter strips with the teacher's pen B, new for every class (about 10 minutes). The 2 spares can serve the Week 7 Ink 2 groups.</t>
  </si>
  <si>
    <t xml:space="preserve">Pre-dotted strips A to D (only if just one set of pens)</t>
  </si>
  <si>
    <t xml:space="preserve">strips (4 per group)</t>
  </si>
  <si>
    <t xml:space="preserve">Teacher pre-dots pens A to D on every group's strips if only one set of pens is available</t>
  </si>
  <si>
    <t xml:space="preserve">Made from 24 of the 36 group strips; the requisition's pen note covers this fallback. The kit card says it adds 10 minutes.</t>
  </si>
  <si>
    <t xml:space="preserve">Dried pen pre-test strips A to D (answer key)</t>
  </si>
  <si>
    <t xml:space="preserve">One strip shown in the Hook; backup 'lab results' if strips fail; source of the Core b answer key</t>
  </si>
  <si>
    <t xml:space="preserve">Made at the pen pre-test (Week 1); reuse</t>
  </si>
  <si>
    <t xml:space="preserve">Keep them in the teacher folder with the Pre-test Record.</t>
  </si>
  <si>
    <t xml:space="preserve">Display note written with pen B (the note prop)</t>
  </si>
  <si>
    <t xml:space="preserve">Held up in the Hook: 'Is black ink just black?'</t>
  </si>
  <si>
    <t xml:space="preserve">Written on plain white card with pen B after the pen pre-test (Week 1); reuse</t>
  </si>
  <si>
    <t xml:space="preserve">Worksheet: Measure it well (Do Now box, Core A to D with the results table, Stretch, Challenge, My thinking, fold-under word bank, exit ticket strip)</t>
  </si>
  <si>
    <t xml:space="preserve">copies; 5 A4 pages, double-sided (page 5 on its own sheet, back blank)</t>
  </si>
  <si>
    <t xml:space="preserve">Main student task for the whole lesson; the Core D results table feeds Week 5 graphing; exit ticket strip at the foot of page 5</t>
  </si>
  <si>
    <t xml:space="preserve">No spares stated. Pages 1 to 4 say 'turn over', so print double-sided: 3 sheets per copy, 72 sheets per class. Page 5 has a blank back, so cutting off the exit ticket strip loses nothing else. Print only from the design rebuilt after the language pass.</t>
  </si>
  <si>
    <t xml:space="preserve">Sample data card, Weeks 4 and 5 (Snow Owls results)</t>
  </si>
  <si>
    <t xml:space="preserve">cards; A5 landscape, single-sided</t>
  </si>
  <si>
    <t xml:space="preserve">Backup data for any group whose results are poor or missing, and for means practice if time is short; reused in Week 5 graphing</t>
  </si>
  <si>
    <t xml:space="preserve">Kept on the teacher desk and handed out only if needed. Spec: 6 per class, ideally laminated, reused in Week 5. Teacher answers are not printed on the card: 1.31 s, 1.68 s, 2.08 s (1.76 s if the anomaly is left in).</t>
  </si>
  <si>
    <t xml:space="preserve">Kit list, teacher prep, hazards and clean-up; the Safety Officer checks the kit card at the start of the Do phase</t>
  </si>
  <si>
    <t xml:space="preserve">Spare spinner template sheets ('Paper spinner', Week 3 design) on 160 gsm white card</t>
  </si>
  <si>
    <t xml:space="preserve">sheets; A4 160 gsm card, single-sided, printed at 100% scale</t>
  </si>
  <si>
    <t xml:space="preserve">Spares on the teacher desk (1 per 2 groups) to replace spinners that fail in the lesson; also used to rebuild damaged spinners before it</t>
  </si>
  <si>
    <t xml:space="preserve">The Week 4 kit card puts 3 on the teacher desk; the Week 3 print spec keeps 9 more in reserve for Week 4 and the requisition lists 9 sheets of A4 white card. Some may already exist from the Week 3 batch (including unused Week 3 desk spares). Print at 100%, never 'fit to page'.</t>
  </si>
  <si>
    <t xml:space="preserve">Laminating the 6 sample data cards so they last into Week 5</t>
  </si>
  <si>
    <t xml:space="preserve">The print spec says 'ideally laminated'; the card footer says 'laminate and reuse in Week 5'.</t>
  </si>
  <si>
    <t xml:space="preserve">Paper clips, standard 28 mm</t>
  </si>
  <si>
    <t xml:space="preserve">clips (2 spare per group)</t>
  </si>
  <si>
    <t xml:space="preserve">Spare clips for repairing or rebuilding spinners</t>
  </si>
  <si>
    <t xml:space="preserve">Use the same 28 mm clips as Week 3 so every spinner carries the same clip.</t>
  </si>
  <si>
    <t xml:space="preserve">Re-pressing or replacing any wall drop marks that have peeled off</t>
  </si>
  <si>
    <t xml:space="preserve">Week 3 roll; reuse</t>
  </si>
  <si>
    <t xml:space="preserve">Not on the Week 4 kit card. The requisition lists 1 roll again but notes it is the same roll as Week 3; no new order needed.</t>
  </si>
  <si>
    <t xml:space="preserve">Group spinner envelopes (A5, labelled with the group name)</t>
  </si>
  <si>
    <t xml:space="preserve">Hold each group's three spinners; the group results table goes in at the end of the lesson for Week 5</t>
  </si>
  <si>
    <t xml:space="preserve">Labelled and filled in Week 3; reuse</t>
  </si>
  <si>
    <t xml:space="preserve">The requisition lists 6 A5 envelopes again ('Same envelopes returned with spinners'); they are the Week 3 envelopes, so no new order is needed.</t>
  </si>
  <si>
    <t xml:space="preserve">Logbook line in Think and Reflect (one new word)</t>
  </si>
  <si>
    <t xml:space="preserve">The Week 4 requisition lists 24 logbooks again ('Same booklets'); no new order needed.</t>
  </si>
  <si>
    <t xml:space="preserve">Worksheet, exit ticket and logbook</t>
  </si>
  <si>
    <t xml:space="preserve">Week 1 kit card: 1 per student, spares on the teacher desk; reuse</t>
  </si>
  <si>
    <t xml:space="preserve">Not named in the Week 4 file. Anomalies are circled, never rubbed out.</t>
  </si>
  <si>
    <t xml:space="preserve">Group role cards with duties (6 cards per set, laminated)</t>
  </si>
  <si>
    <t xml:space="preserve">Roles rotate (a new Measurer this week); language buddy card for the Band 3 student paired with a Band 1 student</t>
  </si>
  <si>
    <t xml:space="preserve">The Do phase also uses a Dropper, which has no card of its own.</t>
  </si>
  <si>
    <t xml:space="preserve">Sentence frame card sets, Year 7 (A6 cards)</t>
  </si>
  <si>
    <t xml:space="preserve">Week 4 frames on group tables: 'The anomaly is ___ because ___.' and 'I will leave it out of the mean because ___.'</t>
  </si>
  <si>
    <t xml:space="preserve">The lesson plan's other two frames ('The times are different because ___.' and 'To make it more accurate, we could ___.') are not in the frame bank, so they are not on the cards.</t>
  </si>
  <si>
    <t xml:space="preserve">Key word meanings in English and Chinese (Week 4 page: 8 new words); point to 'mean' and 'second' when the vocabulary traps come up</t>
  </si>
  <si>
    <t xml:space="preserve">Given out in Week 1; reuse</t>
  </si>
  <si>
    <t xml:space="preserve">Not named in the Week 4 file; the Teacher Guide says it is open in every lesson. The 4 spares printed in Week 1 are kept with the logbook spares.</t>
  </si>
  <si>
    <t xml:space="preserve">Timing the drops (one per group Measurer); three timers for the Hook drop</t>
  </si>
  <si>
    <t xml:space="preserve">The Hook needs three timers: the extra one plus two borrowed from groups, or three from groups (the kit card says that is fine).</t>
  </si>
  <si>
    <t xml:space="preserve">Tray for stopwatches</t>
  </si>
  <si>
    <t xml:space="preserve">Stopwatches reset and counted back in at clean-up</t>
  </si>
  <si>
    <t xml:space="preserve">Metre stick</t>
  </si>
  <si>
    <t xml:space="preserve">metre stick</t>
  </si>
  <si>
    <t xml:space="preserve">Checking the 2.0 m wall marks before the lesson</t>
  </si>
  <si>
    <t xml:space="preserve">Spinner repairs only, one pair per group</t>
  </si>
  <si>
    <t xml:space="preserve">Carried with the points down.</t>
  </si>
  <si>
    <t xml:space="preserve">Logbooks collected and stored at the end of the lesson</t>
  </si>
  <si>
    <t xml:space="preserve">Group paper spinners: S (4 cm), M (6 cm) and L (8 cm) wings, 3 per group</t>
  </si>
  <si>
    <t xml:space="preserve">Three repeats for each wing length (9 drops per group)</t>
  </si>
  <si>
    <t xml:space="preserve">Made by students in Week 3; kept in the group envelopes</t>
  </si>
  <si>
    <t xml:space="preserve">Check before the lesson: three spinners, wings not torn, one paper clip each; rebuild any damaged one from a spare template sheet.</t>
  </si>
  <si>
    <t xml:space="preserve">Demo L spinner (8 cm wings) for the Hook</t>
  </si>
  <si>
    <t xml:space="preserve">spinner</t>
  </si>
  <si>
    <t xml:space="preserve">Teacher drops it once from 2 m while three volunteers time the same drop</t>
  </si>
  <si>
    <t xml:space="preserve">Made and tested for the Week 3 Hook; reuse</t>
  </si>
  <si>
    <t xml:space="preserve">The requisition lists 1 demo spinner as teacher-made; the Week 3 demo L spinner serves unless it is damaged.</t>
  </si>
  <si>
    <t xml:space="preserve">Wall drop marks at 2.0 m and 1.8 m (masking tape), 6 stations</t>
  </si>
  <si>
    <t xml:space="preserve">Same drop height as Week 3 at each group station</t>
  </si>
  <si>
    <t xml:space="preserve">Marked in Week 3; check and re-press</t>
  </si>
  <si>
    <t xml:space="preserve">The requisition lists 6 stations as teacher-made; they exist from Week 3, so only check 2.0 m with the metre stick and re-press any that have peeled.</t>
  </si>
  <si>
    <t xml:space="preserve">Worksheet: The white powder (Core results grid with picture key, b and c with sorting strip; Stretch flowchart key; Challenge; My thinking; fold-under word bank; exit ticket strip)</t>
  </si>
  <si>
    <t xml:space="preserve">copies; 3 A4 pages, double-sided (pages 1 and 2 back to back, page 3 on its own sheet, back blank)</t>
  </si>
  <si>
    <t xml:space="preserve">Main student task: results grid during testing, identification key, Think and Reflect answers; exit ticket strip at the foot of page 3</t>
  </si>
  <si>
    <t xml:space="preserve">No spares stated. Pages 1 and 2 both say 'turn over'. The exit ticket sits below a cut line at the foot of page 3, so with page 3 single-sided nothing is lost when the strip is cut off: 24 x 2 = 48 sheets. No scissors are named for cutting off the strip. The worksheet goes into the case file afterwards: the Week 7 kit card lists the 'Week 4 results grid (in case files)' for planning, and Powder 2 groups use it as a reference in Week 8. Print only from the design rebuilt after the language pass.</t>
  </si>
  <si>
    <t xml:space="preserve">Powder testing lab card (table top, lab card 6.1): tile and cup layout, 'What to look for' table, safety footer</t>
  </si>
  <si>
    <t xml:space="preserve">copies; A5 landscape, single-sided, then laminated</t>
  </si>
  <si>
    <t xml:space="preserve">On each group's tray in the Do phase: where each powder goes on the spotting tile and cups, and what a positive result means</t>
  </si>
  <si>
    <t xml:space="preserve">Print 6 (one per group). Laminated and not written on, so one set serves every class. If the printer has no A5 paper, print 2 per A4 sheet and cut (3 A4 sheets).</t>
  </si>
  <si>
    <t xml:space="preserve">Kit card: Week 4 The white powder (half-A4, marked 'Teacher copy')</t>
  </si>
  <si>
    <t xml:space="preserve">copy; A5 landscape (half-A4), single-sided</t>
  </si>
  <si>
    <t xml:space="preserve">Per-group kit list, teacher prep, hazards and controls, clean-up</t>
  </si>
  <si>
    <t xml:space="preserve">The kit list names the scene powder: 'Evidence bag ... (baking soda)', so keep it on the teacher's desk, not on group trays. The Teacher Guide says the Safety Officer checks the kit card at the start of every Do phase: Safety Officers can use Slide 7 and the lab card's safety footer instead. One copy serves every class.</t>
  </si>
  <si>
    <t xml:space="preserve">White powder identification key poster</t>
  </si>
  <si>
    <t xml:space="preserve">copy; A3 portrait, single-sided</t>
  </si>
  <si>
    <t xml:space="preserve">Classroom wall display from Week 5, after students have built their own key</t>
  </si>
  <si>
    <t xml:space="preserve">Do not put it up until every class has done Week 4: it gives away the Stretch key. One per room serves every class taught there.</t>
  </si>
  <si>
    <t xml:space="preserve">Laminating the 6 powder testing lab cards</t>
  </si>
  <si>
    <t xml:space="preserve">Once for all classes.</t>
  </si>
  <si>
    <t xml:space="preserve">Black card</t>
  </si>
  <si>
    <t xml:space="preserve">pieces</t>
  </si>
  <si>
    <t xml:space="preserve">Dark background for viewing each powder under the magnifier</t>
  </si>
  <si>
    <t xml:space="preserve">Size not stated. Brush off and keep: reusable for every class and for Week 8 (Powder 2 kit card: black card, 1 per group).</t>
  </si>
  <si>
    <t xml:space="preserve">Sticky labels</t>
  </si>
  <si>
    <t xml:space="preserve">labels</t>
  </si>
  <si>
    <t xml:space="preserve">30 known powder pots (Salt, Sugar, Baking soda, Cornflour, Flour; 5 per group), 6 evidence bags ('Evidence 3: white powder, floor by desk (F4)'), 6 vinegar cups</t>
  </si>
  <si>
    <t xml:space="preserve">Pot labels can stay on if the pots are reused for later classes. The lab card shows the six water cups labelled with the powder names too, but the kit card does not ask for this: 36 more labels per class, or students write on the cups.</t>
  </si>
  <si>
    <t xml:space="preserve">not stated (no adhesive is named; the requisition lists 6 rolls, 1 per group); rolls</t>
  </si>
  <si>
    <t xml:space="preserve">Do Now: sticking the dry Week 3 chromatograms into the Week 3 worksheet box</t>
  </si>
  <si>
    <t xml:space="preserve">Week 2 and Week 3 rolls; reuse</t>
  </si>
  <si>
    <t xml:space="preserve">The lesson file names no tape or glue for sticking in the chromatograms; the requisition assumes tape from the trays. No new order needed if the Week 2 rolls are left.</t>
  </si>
  <si>
    <t xml:space="preserve">Recording in the results grid, drawing the key, exit ticket, evidence log</t>
  </si>
  <si>
    <t xml:space="preserve">Case files (A4 folder per student: suspect cards, evidence log, suspect tracker)</t>
  </si>
  <si>
    <t xml:space="preserve">Core c (suspect cards), evidence log row 4, suspect tracker 'Powder' column, confidence row</t>
  </si>
  <si>
    <t xml:space="preserve">Made before Week 1; kept in the class box</t>
  </si>
  <si>
    <t xml:space="preserve">Band 1 students can use the worksheet sorting strip instead of reading the suspect cards.</t>
  </si>
  <si>
    <t xml:space="preserve">Week 3 worksheets (box d for the chromatograms)</t>
  </si>
  <si>
    <t xml:space="preserve">copies</t>
  </si>
  <si>
    <t xml:space="preserve">Do Now: the dry chromatograms are stuck into the box on the Week 3 worksheet</t>
  </si>
  <si>
    <t xml:space="preserve">Week 3 worksheets; handed back for the Do Now</t>
  </si>
  <si>
    <t xml:space="preserve">Where the Week 3 worksheets are kept (case file or collected by the teacher) is not stated.</t>
  </si>
  <si>
    <t xml:space="preserve">Dried Week 3 chromatograms (strips A, B, C, D and N, labelled with the group number)</t>
  </si>
  <si>
    <t xml:space="preserve">sets of 5 strips</t>
  </si>
  <si>
    <t xml:space="preserve">Handed back in the Do Now and stuck into the Week 3 worksheet</t>
  </si>
  <si>
    <t xml:space="preserve">Made in Week 3; dried flat on paper towels</t>
  </si>
  <si>
    <t xml:space="preserve">Week 3 made one set of 5 strips per group, but every student's Week 3 worksheet has a 5-slot box, and the Week 3 plan says the chromatograms go in the case file. Decide whose worksheet or case file gets each set.</t>
  </si>
  <si>
    <t xml:space="preserve">One line under 'What I found' if there is time; otherwise evidence log row 4 counts</t>
  </si>
  <si>
    <t xml:space="preserve">Roles today: Measurer (water cups), Lead Scientist (vinegar), Safety Officer (goggles, iodine), Recorder (grid); buddy for Band 1 students</t>
  </si>
  <si>
    <t xml:space="preserve">Anyone with a wheat or corn allergy takes the Recorder role.</t>
  </si>
  <si>
    <t xml:space="preserve">Frames for identifying the powder and judging the evidence in Think and Reflect</t>
  </si>
  <si>
    <t xml:space="preserve">The Week 4 card in the frame bank is '___ is ruled out because ___.' The lesson's own frame 'The scene powder matches ___ because it ___.' is on Slide 11 and worksheet Core b; 'When we added vinegar, it ___.' is in the lesson plan only; 'This evidence is strong / weak because ___.' is the Week 2 card.</t>
  </si>
  <si>
    <t xml:space="preserve">Given out in Week 1 (24 + 4 spares); reuse</t>
  </si>
  <si>
    <t xml:space="preserve">Not named in the lesson file; the Teacher Guide says the dictionary is open in every lesson.</t>
  </si>
  <si>
    <t xml:space="preserve">Safety goggles</t>
  </si>
  <si>
    <t xml:space="preserve">Worn for vinegar and iodine; Safety Officer checks before either is opened</t>
  </si>
  <si>
    <t xml:space="preserve">Kit card: 4 per group. The teacher controlling the iodine or modelling a powder also needs a pair (not stated).</t>
  </si>
  <si>
    <t xml:space="preserve">magnifiers</t>
  </si>
  <si>
    <t xml:space="preserve">Looking at crystal shape (salt makes small cubes) on black card</t>
  </si>
  <si>
    <t xml:space="preserve">Prep room magnifiers used in Week 2; reuse</t>
  </si>
  <si>
    <t xml:space="preserve">Listed again in the Week 4 requisition; same stock as Week 2 (12 used then), so no new order.</t>
  </si>
  <si>
    <t xml:space="preserve">One kit tray per group, set out before students arrive</t>
  </si>
  <si>
    <t xml:space="preserve">Group kit trays used since Week 2; reuse</t>
  </si>
  <si>
    <t xml:space="preserve">Same trays as Weeks 2 and 3; no new order.</t>
  </si>
  <si>
    <t xml:space="preserve">6 per group a third full of water (water test), plus 1 per group for about 30 ml of vinegar</t>
  </si>
  <si>
    <t xml:space="preserve">Cup size not stated. Rinse and reuse between classes. The 30 Week 3 cups can serve, so 12 more are needed.</t>
  </si>
  <si>
    <t xml:space="preserve">Spotting tiles, 12 wells</t>
  </si>
  <si>
    <t xml:space="preserve">tiles</t>
  </si>
  <si>
    <t xml:space="preserve">Top row: vinegar test; bottom row: iodine test, one well per powder</t>
  </si>
  <si>
    <t xml:space="preserve">Alternative on the kit card: 12 white plastic bottle lids per group (72 per class).</t>
  </si>
  <si>
    <t xml:space="preserve">Droppers (plastic pipettes)</t>
  </si>
  <si>
    <t xml:space="preserve">droppers</t>
  </si>
  <si>
    <t xml:space="preserve">Adding 5 drops of vinegar to each tile well</t>
  </si>
  <si>
    <t xml:space="preserve">Iodine solution in dropper bottles (optional)</t>
  </si>
  <si>
    <t xml:space="preserve">dropper bottles</t>
  </si>
  <si>
    <t xml:space="preserve">Starch test: 1 drop per well; blue-black means starch. Teacher or Safety Officer only</t>
  </si>
  <si>
    <t xml:space="preserve">Strength not stated; use the prep room's dilute iodine solution. Teacher-controlled, droppers only, one drop. If iodine is not used, show Slide 10 and use the water test to spot the starches. Decide the week before.</t>
  </si>
  <si>
    <t xml:space="preserve">Small spoons or lolly sticks</t>
  </si>
  <si>
    <t xml:space="preserve">spoons or sticks</t>
  </si>
  <si>
    <t xml:space="preserve">One clean spoon per powder (pea-sized spoonful) to avoid contamination</t>
  </si>
  <si>
    <t xml:space="preserve">Washed spoons can be reused between classes; lolly sticks are single use, so 36 per class.</t>
  </si>
  <si>
    <t xml:space="preserve">Stirring sticks</t>
  </si>
  <si>
    <t xml:space="preserve">sticks</t>
  </si>
  <si>
    <t xml:space="preserve">Stirring each water cup (one per powder)</t>
  </si>
  <si>
    <t xml:space="preserve">Small lidded pots</t>
  </si>
  <si>
    <t xml:space="preserve">pots</t>
  </si>
  <si>
    <t xml:space="preserve">Holding the five known powders, 5 per group</t>
  </si>
  <si>
    <t xml:space="preserve">The kit card says 'labelled pots'; lids are not stated but stop spills and dust between classes. The Case Bible allows a lidded pot instead of a zip bag for the scene powder (6 more).</t>
  </si>
  <si>
    <t xml:space="preserve">Small zip bags (evidence bags)</t>
  </si>
  <si>
    <t xml:space="preserve">bags</t>
  </si>
  <si>
    <t xml:space="preserve">Evidence 3 scene powder, 1 per group</t>
  </si>
  <si>
    <t xml:space="preserve">Teaspoon (teacher's measuring spoon)</t>
  </si>
  <si>
    <t xml:space="preserve">not stated (the requisition lists 1); teaspoon</t>
  </si>
  <si>
    <t xml:space="preserve">Measuring about 2 teaspoons into each powder pot and about 3 into each evidence bag</t>
  </si>
  <si>
    <t xml:space="preserve">Amounts are given in teaspoons but no teaspoon is named as kit.</t>
  </si>
  <si>
    <t xml:space="preserve">not stated (the requisition lists 6, 1 per group); cloths</t>
  </si>
  <si>
    <t xml:space="preserve">Clean-up: wipe tables with a damp cloth</t>
  </si>
  <si>
    <t xml:space="preserve">Cloths used in Weeks 2 and 3; reuse</t>
  </si>
  <si>
    <t xml:space="preserve">Case files and logbooks out at the start and back in at the end</t>
  </si>
  <si>
    <t xml:space="preserve">Week 1 class storage box; reuse</t>
  </si>
  <si>
    <t xml:space="preserve">Teacher demonstration set (Hook evidence bag; Learn: model one powder)</t>
  </si>
  <si>
    <t xml:space="preserve">not stated (the kit card lists group kit only); set</t>
  </si>
  <si>
    <t xml:space="preserve">Hook: hold up the evidence bag; Learn: model the tests on one powder</t>
  </si>
  <si>
    <t xml:space="preserve">Either use one group's tray before handing it out, or make a seventh set: a powder pot, an Evidence 3 bag, a water cup, tile, vinegar cup with dropper, magnifier and black card, and goggles for the teacher.</t>
  </si>
  <si>
    <t xml:space="preserve">Salt</t>
  </si>
  <si>
    <t xml:space="preserve">teaspoons</t>
  </si>
  <si>
    <t xml:space="preserve">Known powder: about 2 teaspoons in a labelled pot per group</t>
  </si>
  <si>
    <t xml:space="preserve">Sugar (white)</t>
  </si>
  <si>
    <t xml:space="preserve">Known powder pot (about 2 teaspoons per group) and the Evidence 3 scene powder (about 3 teaspoons per group)</t>
  </si>
  <si>
    <t xml:space="preserve">Must fizz strongly with vinegar: test one portion before the lesson.</t>
  </si>
  <si>
    <t xml:space="preserve">Cornflour</t>
  </si>
  <si>
    <t xml:space="preserve">Allergy check (corn) before the lesson.</t>
  </si>
  <si>
    <t xml:space="preserve">Plain flour (wheat)</t>
  </si>
  <si>
    <t xml:space="preserve">Allergy check (wheat) before the lesson.</t>
  </si>
  <si>
    <t xml:space="preserve">White vinegar</t>
  </si>
  <si>
    <t xml:space="preserve">Fizz test: about 30 ml in a small labelled cup with a dropper per group</t>
  </si>
  <si>
    <t xml:space="preserve">Paper towels (the lab's own, from the sink dispenser)</t>
  </si>
  <si>
    <t xml:space="preserve">not stated (the requisition assumes 3 per group, 18 sheets); sheets</t>
  </si>
  <si>
    <t xml:space="preserve">Spills and drips on the tray</t>
  </si>
  <si>
    <t xml:space="preserve">The kit card says 'Paper towels' with no number.</t>
  </si>
  <si>
    <t xml:space="preserve">Tap water for the water cups</t>
  </si>
  <si>
    <t xml:space="preserve">not stated (36 small cups a third full); cups' worth</t>
  </si>
  <si>
    <t xml:space="preserve">Water test: does each powder dissolve?</t>
  </si>
  <si>
    <t xml:space="preserve">From the lab tap. No jug for filling the cups is named.</t>
  </si>
  <si>
    <t xml:space="preserve">Known powder sets (5 labelled lidded pots: salt, sugar, baking soda, cornflour, flour, about 2 teaspoons each)</t>
  </si>
  <si>
    <t xml:space="preserve">Reference samples for the systematic tests</t>
  </si>
  <si>
    <t xml:space="preserve">Part of the kit card's 15 minutes of teacher prep. Refill for each class, or top up between classes if the pots are clean.</t>
  </si>
  <si>
    <t xml:space="preserve">Evidence 3: scene powder (about 3 teaspoons of baking soda in a zip bag labelled 'Evidence 3: white powder, floor by desk (F4)')</t>
  </si>
  <si>
    <t xml:space="preserve">The unknown sample, tested last and exactly like the knowns</t>
  </si>
  <si>
    <t xml:space="preserve">Test one portion yourself: it must fizz strongly with vinegar. The label must not say baking soda. Keep any unopened bag for the Powder 2 groups in Weeks 7 and 8.</t>
  </si>
  <si>
    <t xml:space="preserve">Worksheet: Spot the pattern (Do Now box, Core A to C with graph grid, Stretch, Challenge, My thinking, fold-under word bank, exit ticket strip)</t>
  </si>
  <si>
    <t xml:space="preserve">copies; 4 A4 pages, double-sided</t>
  </si>
  <si>
    <t xml:space="preserve">Main student task: Do Now mean, data table, line graph on the printed grid, conclusion; exit ticket strip at the foot of page 4</t>
  </si>
  <si>
    <t xml:space="preserve">Print at 100% scale: the 1 cm grid squares must measure 1 cm, or the y-axis scale (one minor square = 0.05 s) and the answer key positions no longer work. The lesson file expects one sheet front and back, but the design runs to 4 pages (2 sheets, 48 sheets per class). Pages 3 and 4 share a sheet, so cutting off the exit ticket strip also cuts the foot of page 3 (Challenge c writing lines). No spares stated. Print only from the design rebuilt after the language pass.</t>
  </si>
  <si>
    <t xml:space="preserve">Checkpoint paper, Year 7 Week 5 (assessment/Checkpoint_Y7.md)</t>
  </si>
  <si>
    <t xml:space="preserve">copies (24 students + 1 for the incoming teacher's seat); 2 A4 pages, double-sided</t>
  </si>
  <si>
    <t xml:space="preserve">10-minute checkpoint, out of 12, done alone in silence after the Do Now; one copy on the incoming teacher's seat</t>
  </si>
  <si>
    <t xml:space="preserve">Print in class order. Checkpoint_Y7.md asks for one side of A4, but the design runs to 2 pages: print double-sided on one sheet. No student spares stated. Not reused, so new copies for every class.</t>
  </si>
  <si>
    <t xml:space="preserve">Checkpoint mark scheme (teacher copy)</t>
  </si>
  <si>
    <t xml:space="preserve">copy; 1 A4 page, single-sided</t>
  </si>
  <si>
    <t xml:space="preserve">Marking the checkpoint out of 12 after the lesson, before the tracker entry and handover note</t>
  </si>
  <si>
    <t xml:space="preserve">Teacher-only document: keep it off student desks.</t>
  </si>
  <si>
    <t xml:space="preserve">Lesson plan (Section 1 of the lesson file), copy for the incoming teacher</t>
  </si>
  <si>
    <t xml:space="preserve">copy; Section 1 is written as one page</t>
  </si>
  <si>
    <t xml:space="preserve">Left on the incoming teacher's seat at the back for the Week 5 observation, with a checkpoint paper</t>
  </si>
  <si>
    <t xml:space="preserve">Section 1 is written as 'one page'; printed from the file it may run to a second side.</t>
  </si>
  <si>
    <t xml:space="preserve">copy; A5, single-sided</t>
  </si>
  <si>
    <t xml:space="preserve">Kit list, teacher prep, hazards and clean-up for the lesson</t>
  </si>
  <si>
    <t xml:space="preserve">The design is marked 'Teacher copy'. One copy can serve every class.</t>
  </si>
  <si>
    <t xml:space="preserve">Bar or line? cards A to D (A5 landscape)</t>
  </si>
  <si>
    <t xml:space="preserve">set of 4 cards; 4 A5 pages, single-sided</t>
  </si>
  <si>
    <t xml:space="preserve">Think and Reflect: the teacher holds up each card while students vote BAR or LINE (the same cards are on Slide 10)</t>
  </si>
  <si>
    <t xml:space="preserve">Print spec: 1 set for the slide (digital) and 1 set for the teacher to hold up. Paper not stated: card or laminating would let one set serve every class (the prep calendar says 'print or reuse').</t>
  </si>
  <si>
    <t xml:space="preserve">Handover note form, Ice Engineers version (assessment/Tracker_Spec.md, Section 6)</t>
  </si>
  <si>
    <t xml:space="preserve">copy per class; 1 A4 page, single-sided</t>
  </si>
  <si>
    <t xml:space="preserve">Completed by the current teacher after this lesson: checkpoint summary, groups and roles, language support, challenge, freezer decision, storage</t>
  </si>
  <si>
    <t xml:space="preserve">One per class; Teacher Guide Section 10 says a paper copy and one in the class assessment folder, so a second copy per class may be wanted.</t>
  </si>
  <si>
    <t xml:space="preserve">Sample data card (Snow Owls, A5 landscape)</t>
  </si>
  <si>
    <t xml:space="preserve">Kept on the teacher desk; handed to groups whose Week 4 results are poor or missing, for Core A</t>
  </si>
  <si>
    <t xml:space="preserve">Printed for Week 4 (6 per class, ideally laminated and reused in Week 5); reuse</t>
  </si>
  <si>
    <t xml:space="preserve">The card's Mean column is blank (students calculated it in Week 4), so a group using it must work out the means first, leaving out the 1.12 s anomaly at 8 cm: 1.31, 1.68 and 2.08 s.</t>
  </si>
  <si>
    <r>
      <rPr>
        <sz val="10"/>
        <color rgb="FF00235F"/>
        <rFont val="Arial"/>
        <family val="0"/>
        <charset val="1"/>
      </rPr>
      <t xml:space="preserve">BAR | LINE voting cards (10 x 7 cm, 8 per A4 sheet, front BAR </t>
    </r>
    <r>
      <rPr>
        <sz val="10"/>
        <color rgb="FF00235F"/>
        <rFont val="WenQuanYi Zen Hei"/>
        <family val="2"/>
      </rPr>
      <t xml:space="preserve">条形图</t>
    </r>
    <r>
      <rPr>
        <sz val="10"/>
        <color rgb="FF00235F"/>
        <rFont val="Arial"/>
        <family val="0"/>
        <charset val="1"/>
      </rPr>
      <t xml:space="preserve">, back LINE </t>
    </r>
    <r>
      <rPr>
        <sz val="10"/>
        <color rgb="FF00235F"/>
        <rFont val="WenQuanYi Zen Hei"/>
        <family val="2"/>
      </rPr>
      <t xml:space="preserve">折线图</t>
    </r>
    <r>
      <rPr>
        <sz val="10"/>
        <color rgb="FF00235F"/>
        <rFont val="Arial"/>
        <family val="0"/>
        <charset val="1"/>
      </rPr>
      <t xml:space="preserve">)</t>
    </r>
  </si>
  <si>
    <t xml:space="preserve">set of 24 cards; 3 A4 card sheets, double-sided, cut</t>
  </si>
  <si>
    <t xml:space="preserve">Every student holds up BAR or LINE in the 'Bar or line?' vote</t>
  </si>
  <si>
    <t xml:space="preserve">3 sheets of A4 white card per class, matching the requisition. 8 cards of 10 x 7 cm leave only 5 mm side margins on A4: print one test sheet to check the printer reaches the edges and the back lines up with the front. Reusable: the kit card allows reusing a set from another class.</t>
  </si>
  <si>
    <t xml:space="preserve">Sharp pencil for the checkpoint, plotting crosses and drawing the line of best fit</t>
  </si>
  <si>
    <t xml:space="preserve">Class pencils bought for Week 1; reuse, sharpened</t>
  </si>
  <si>
    <t xml:space="preserve">The Week 5 requisition lists 24 pencils again although they were bought for Week 1; no new order unless stock is short.</t>
  </si>
  <si>
    <t xml:space="preserve">Pencil sharpener</t>
  </si>
  <si>
    <t xml:space="preserve">sharpener</t>
  </si>
  <si>
    <t xml:space="preserve">On the teacher desk with the spare pencils</t>
  </si>
  <si>
    <t xml:space="preserve">Logbook line in Think and Reflect: a question I still have</t>
  </si>
  <si>
    <t xml:space="preserve">The Week 5 requisition lists 24 logbooks again ('Same booklets'); they are the Week 1 booklets, so no new order. Collect and store them before the handover.</t>
  </si>
  <si>
    <t xml:space="preserve">Group envelopes (A5) with the spinners and the Week 4 results table</t>
  </si>
  <si>
    <t xml:space="preserve">Handed out in the Do Now so each group can copy its Week 4 means in the Do phase</t>
  </si>
  <si>
    <t xml:space="preserve">Made in Week 3; results tables added in Week 4; reuse</t>
  </si>
  <si>
    <t xml:space="preserve">The Week 5 requisition lists 6 A5 envelopes again ('Same envelopes'); no new order. Recycle after this lesson, keeping two sets of spinners as the demo.</t>
  </si>
  <si>
    <t xml:space="preserve">Group role cards with duties, including the Language buddy card (6 cards per set, laminated)</t>
  </si>
  <si>
    <t xml:space="preserve">Roles on every table; the Language buddy card for each Band 1 student's partner</t>
  </si>
  <si>
    <t xml:space="preserve">Record current groups and roles on the handover note.</t>
  </si>
  <si>
    <t xml:space="preserve">Week 5 frames on the table: 'As the ___ increases, the ___ increases / decreases.' and 'Our results show ___.'</t>
  </si>
  <si>
    <t xml:space="preserve">Open in every lesson and in the checkpoint (Teacher Guide Section 4)</t>
  </si>
  <si>
    <t xml:space="preserve">Not named in the Week 5 lesson file; the Teacher Guide says it is open in every lesson and the checkpoint.</t>
  </si>
  <si>
    <t xml:space="preserve">String</t>
  </si>
  <si>
    <t xml:space="preserve">length for one hanger string (a loop about 20 cm round plus a tail)</t>
  </si>
  <si>
    <t xml:space="preserve">Strip trial for Weeks 7 to 8 (Week 7 kit card), run by the teacher during Week 5; not used in the lesson itself. Hanger string for the trial rig</t>
  </si>
  <si>
    <t xml:space="preserve">Strip trial for Weeks 7 to 8 (Week 7 kit card), run by the teacher during Week 5; not used in the lesson itself. Marking the 25 ml line on the pour cup</t>
  </si>
  <si>
    <t xml:space="preserve">Ruler, 30 cm</t>
  </si>
  <si>
    <t xml:space="preserve">Drawing a straight line of best fit on the graph grid</t>
  </si>
  <si>
    <t xml:space="preserve">Outline Section 11 lists 24 rulers as likely already in the prep room.</t>
  </si>
  <si>
    <t xml:space="preserve">Logbooks, demo spinners and papers stored for the handover</t>
  </si>
  <si>
    <t xml:space="preserve">Demo paper spinners (2 sets of S 4 cm, M 6 cm and L 8 cm)</t>
  </si>
  <si>
    <t xml:space="preserve">Kept at clean-up as a demonstration set for the incoming teacher</t>
  </si>
  <si>
    <t xml:space="preserve">Made in Week 3; kept from the group envelopes at clean-up</t>
  </si>
  <si>
    <t xml:space="preserve">The requisition lists 6 demo spinners as teacher-made, with no new spinners made: they come from the group sets. Write their location on the handover note.</t>
  </si>
  <si>
    <t xml:space="preserve">Wood offcut (or a stack of rulers taped together) for the trough template block</t>
  </si>
  <si>
    <t xml:space="preserve">piece, giving a block 12 cm long and 2 cm wide</t>
  </si>
  <si>
    <t xml:space="preserve">Strip trial for Weeks 7 to 8 (Week 7 kit card), run by the teacher during Week 5; not used in the lesson itself. Material for the template block</t>
  </si>
  <si>
    <t xml:space="preserve">Kitchen scale, 1 g (or 0.1 g if available)</t>
  </si>
  <si>
    <t xml:space="preserve">scale</t>
  </si>
  <si>
    <t xml:space="preserve">Plan B</t>
  </si>
  <si>
    <t xml:space="preserve">Strip trial for Weeks 7 to 8 (Week 7 kit card), run by the teacher during Week 5; not used in the lesson itself. Weighing the 18 g dough balls (Plan B)</t>
  </si>
  <si>
    <t xml:space="preserve">The requisition marks this for both plans, but only the Plan B trial needs it.</t>
  </si>
  <si>
    <t xml:space="preserve">Measuring cylinder, 25 ml (or a 20 ml syringe without a needle)</t>
  </si>
  <si>
    <t xml:space="preserve">cylinder</t>
  </si>
  <si>
    <t xml:space="preserve">Strip trial for Weeks 7 to 8 (Week 7 kit card), run by the teacher during Week 5; not used in the lesson itself. Measuring 12 ml of water per Plan A trial strip; marking the 25 ml line on the pour cup</t>
  </si>
  <si>
    <t xml:space="preserve">Freezer space</t>
  </si>
  <si>
    <t xml:space="preserve">small level space for 5 troughs, at least 24 hours</t>
  </si>
  <si>
    <t xml:space="preserve">Plan A</t>
  </si>
  <si>
    <t xml:space="preserve">Strip trial for Weeks 7 to 8 (Week 7 kit card), run by the teacher during Week 5; not used in the lesson itself. Freezing the Plan A trial strips flat and level</t>
  </si>
  <si>
    <t xml:space="preserve">The 2 spare strips stay frozen until the Week 8 Hook; label them.</t>
  </si>
  <si>
    <t xml:space="preserve">Dry shelf</t>
  </si>
  <si>
    <t xml:space="preserve">shelf space for 5 strips for one week</t>
  </si>
  <si>
    <t xml:space="preserve">Strip trial for Weeks 7 to 8 (Week 7 kit card), run by the teacher during Week 5; not used in the lesson itself. Drying the Plan B trial strips, away from sinks and very hot radiators</t>
  </si>
  <si>
    <t xml:space="preserve">Plan B strips must be made in Week 5 so they can dry for a week before testing.</t>
  </si>
  <si>
    <t xml:space="preserve">Textbooks for the book stacks</t>
  </si>
  <si>
    <t xml:space="preserve">books (two equal stacks of three)</t>
  </si>
  <si>
    <t xml:space="preserve">Strip trial for Weeks 7 to 8 (Week 7 kit card), run by the teacher during Week 5; not used in the lesson itself. Trial test rig (Week 8 Section 6a): stacks at a 10 cm gap</t>
  </si>
  <si>
    <t xml:space="preserve">Thin plastic bags to cover the top books</t>
  </si>
  <si>
    <t xml:space="preserve">bags (one over the top book of each stack)</t>
  </si>
  <si>
    <t xml:space="preserve">Strip trial for Weeks 7 to 8 (Week 7 kit card), run by the teacher during Week 5; not used in the lesson itself. Protect the books from meltwater on the trial rig (Plan A)</t>
  </si>
  <si>
    <t xml:space="preserve">The Week 8 Plan A kit card lists 2 bags for two rigs; the Week 8 rig diagram covers the top book of each stack, so 2 are entered for one rig.</t>
  </si>
  <si>
    <t xml:space="preserve">Small carrier bag or freezer bag with handles</t>
  </si>
  <si>
    <t xml:space="preserve">bag</t>
  </si>
  <si>
    <t xml:space="preserve">Strip trial for Weeks 7 to 8 (Week 7 kit card), run by the teacher during Week 5; not used in the lesson itself. The load bag hung from the strip and filled 25 ml at a time</t>
  </si>
  <si>
    <t xml:space="preserve">Bucket or deep washing-up bowl (catch tray)</t>
  </si>
  <si>
    <t xml:space="preserve">bucket</t>
  </si>
  <si>
    <t xml:space="preserve">Strip trial for Weeks 7 to 8 (Week 7 kit card), run by the teacher during Week 5; not used in the lesson itself. Catch tray under the hanging bag</t>
  </si>
  <si>
    <t xml:space="preserve">Plastic cup</t>
  </si>
  <si>
    <t xml:space="preserve">cup</t>
  </si>
  <si>
    <t xml:space="preserve">Strip trial for Weeks 7 to 8 (Week 7 kit card), run by the teacher during Week 5; not used in the lesson itself. Becomes the 25 ml pour cup</t>
  </si>
  <si>
    <t xml:space="preserve">Jug, about 2 litres</t>
  </si>
  <si>
    <t xml:space="preserve">jug</t>
  </si>
  <si>
    <t xml:space="preserve">Strip trial for Weeks 7 to 8 (Week 7 kit card), run by the teacher during Week 5; not used in the lesson itself. Water for the trial pours (a plain strip may hold more than 800 ml)</t>
  </si>
  <si>
    <t xml:space="preserve">Aluminium foil (kitchen foil)</t>
  </si>
  <si>
    <t xml:space="preserve">pieces, about 20 x 10 cm</t>
  </si>
  <si>
    <t xml:space="preserve">Strip trial for Weeks 7 to 8 (Week 7 kit card), run by the teacher during Week 5; not used in the lesson itself. One piece per trial trough, folded double round the template block</t>
  </si>
  <si>
    <t xml:space="preserve">Foil is on the pre-Week 1 Buy list, so it may already be in stock.</t>
  </si>
  <si>
    <t xml:space="preserve">Plain flour</t>
  </si>
  <si>
    <t xml:space="preserve">not stated for the trial; about 30 g if scaled from the Week 7 batch recipe (5 balls of 18 g is about 90 g of dough); g</t>
  </si>
  <si>
    <t xml:space="preserve">Strip trial for Weeks 7 to 8 (Week 7 kit card), run by the teacher during Week 5; not used in the lesson itself. Trial salt dough (Plan B)</t>
  </si>
  <si>
    <t xml:space="preserve">The requisition's 30 g is scaled from the Week 7 batch recipe (250 g flour, 290 g salt, 240 ml water makes about 780 g); water (about 30 ml) comes from the tap. Check the allergy list before handling flour.</t>
  </si>
  <si>
    <t xml:space="preserve">not stated for the trial; about 35 g if scaled from the Week 7 batch recipe; g</t>
  </si>
  <si>
    <t xml:space="preserve">The requisition's 35 g is scaled from the Week 7 batch recipe.</t>
  </si>
  <si>
    <t xml:space="preserve">Trough template block, 12 cm x 2 cm</t>
  </si>
  <si>
    <t xml:space="preserve">Strip trial for Weeks 7 to 8 (Week 7 kit card), run by the teacher during Week 5; not used in the lesson itself. Every trough is folded round the same block so every strip has the same width</t>
  </si>
  <si>
    <t xml:space="preserve">Keep it: the same block folds the 60 class troughs in Week 7 and is kept for next year.</t>
  </si>
  <si>
    <t xml:space="preserve">Foil troughs for the trial strips (12 cm x 2 cm inside, sides about 1.5 cm, 3 cm tab)</t>
  </si>
  <si>
    <t xml:space="preserve">troughs</t>
  </si>
  <si>
    <t xml:space="preserve">Strip trial for Weeks 7 to 8 (Week 7 kit card), run by the teacher during Week 5; not used in the lesson itself. Moulds for the 5 plain trial strips</t>
  </si>
  <si>
    <t xml:space="preserve">Plain trial strips, about 12 cm x 2 cm x 5 mm (ice for Plan A, salt dough for Plan B)</t>
  </si>
  <si>
    <t xml:space="preserve">strips (3 to test + 2 spare for the Week 8 Hook)</t>
  </si>
  <si>
    <t xml:space="preserve">Strip trial for Weeks 7 to 8 (Week 7 kit card), run by the teacher during Week 5; not used in the lesson itself. Test 3 on the Week 8 rig (aim: snap at about 150 to 500 ml) to set the class strip thickness or span; keep 2 for the Week 8 Hook</t>
  </si>
  <si>
    <t xml:space="preserve">The Teacher Guide and outline say two plain strips; the Week 7 kit card says three tested, and the Week 8 kit cards need 2 spares from the trial batch, so 5 are entered, matching the requisition. The Week 8 kit cards list 2 Hook spares per class, so more may be needed with several classes.</t>
  </si>
  <si>
    <t xml:space="preserve">Salt dough balls, 18 g each</t>
  </si>
  <si>
    <t xml:space="preserve">balls</t>
  </si>
  <si>
    <t xml:space="preserve">Strip trial for Weeks 7 to 8 (Week 7 kit card), run by the teacher during Week 5; not used in the lesson itself. One ball pressed along each trial trough (Plan B)</t>
  </si>
  <si>
    <t xml:space="preserve">Hanger string, pre-tied</t>
  </si>
  <si>
    <t xml:space="preserve">string</t>
  </si>
  <si>
    <t xml:space="preserve">Strip trial for Weeks 7 to 8 (Week 7 kit card), run by the teacher during Week 5; not used in the lesson itself. Loop over the strip; the bag hangs about 5 cm above the bottom of the bucket</t>
  </si>
  <si>
    <t xml:space="preserve">Test the length on a pair of classroom desks.</t>
  </si>
  <si>
    <t xml:space="preserve">Pour cup marked at 25 ml</t>
  </si>
  <si>
    <t xml:space="preserve">Strip trial for Weeks 7 to 8 (Week 7 kit card), run by the teacher during Week 5; not used in the lesson itself. Pouring water into the load bag 25 ml at a time</t>
  </si>
  <si>
    <t xml:space="preserve">Worksheet: results table (Core a to d), Stretch tracker, Challenge, My thinking, fold-under word bank and exit ticket strip</t>
  </si>
  <si>
    <t xml:space="preserve">copies; 3 A4 pages, double-sided (pages 1 and 2 on one sheet, page 3 on its own sheet)</t>
  </si>
  <si>
    <t xml:space="preserve">Do: results table, matching with the suspect cards and tracker update; Think and Reflect: conflict questions and My thinking; exit ticket cut off page 3 and collected at the door</t>
  </si>
  <si>
    <t xml:space="preserve">1 per student; no spares stated. 24 x 2 = 48 sheets. Page 3 has a blank back, so cutting off the exit ticket loses nothing (scissors are not listed; folding and tearing on the cut line also works). Print only from the designs rebuilt after the language pass (Teacher Guide Section 8). Core d) points to the suspect cards in the case file (the same details are printed under d)); Challenge b) uses the scene map in the case file.</t>
  </si>
  <si>
    <t xml:space="preserve">Checkpoint paper (Questions 1 to 6, 12 marks)</t>
  </si>
  <si>
    <t xml:space="preserve">copies; 2 A4 pages, double-sided (24 students plus 1 left on the incoming teacher's seat)</t>
  </si>
  <si>
    <t xml:space="preserve">Do Now: 10-minute checkpoint in place of the Do Now; the score goes into tracker column Q and the handover note</t>
  </si>
  <si>
    <t xml:space="preserve">Kit card: 1 per student. Teacher Guide Section 10: the current teacher leaves a copy on the incoming teacher's seat. No spares stated. Checkpoint_Y8.md says one side of A4, but the designed paper is 2 pages with 'turn over', so 25 sheets printed double-sided. Papers go on desks before students arrive. The checkpoint is not reused: print fresh for every class.</t>
  </si>
  <si>
    <t xml:space="preserve">Marking the checkpoint out of 12 and banding scores for the tracker and handover note</t>
  </si>
  <si>
    <t xml:space="preserve">Teacher only; keep away from students. Chinese answers that earn marks are listed in Checkpoint_Y8.md Section 0, not on the designed mark scheme.</t>
  </si>
  <si>
    <t xml:space="preserve">Kit card (half-A4, two sides: kit, prep and clean-up; hazards and controls)</t>
  </si>
  <si>
    <t xml:space="preserve">copy; A5, 2 sides, double-sided</t>
  </si>
  <si>
    <t xml:space="preserve">Per-group kit, teacher prep times, clean-up and bilingual hazards and controls</t>
  </si>
  <si>
    <t xml:space="preserve">Marked 'Teacher copy'; no print count stated, 1 assumed. The Teacher Guide says the Safety Officer checks the kit card at the start of every Do phase: print 6 if each tray should carry one.</t>
  </si>
  <si>
    <t xml:space="preserve">pH colour chart for red cabbage indicator (A5 landscape, colour), laminated</t>
  </si>
  <si>
    <t xml:space="preserve">copies; A5 landscape, single-sided, colour, then laminated</t>
  </si>
  <si>
    <t xml:space="preserve">Do: groups compare each cup with the chart to read colour, acid / neutral / alkali and pH; the bilingual chart is also the Band 1 support for Core a)</t>
  </si>
  <si>
    <t xml:space="preserve">Requisition lists colour printing (7, including the A3 copy) and 6 A5 laminating pouches. Colour names are printed in every box, so it still works in greyscale. Laminated charts can serve every class.</t>
  </si>
  <si>
    <t xml:space="preserve">pH colour chart, enlarged A3 copy for the wall</t>
  </si>
  <si>
    <t xml:space="preserve">copy; A3 landscape, single-sided, colour if possible</t>
  </si>
  <si>
    <t xml:space="preserve">Wall reference during Learn and Do</t>
  </si>
  <si>
    <t xml:space="preserve">The file says only '1 enlarged A3 copy for the wall'; colour and laminating are not stated (the requisition counts it as a colour print).</t>
  </si>
  <si>
    <t xml:space="preserve">Ideas Parking Board header sign</t>
  </si>
  <si>
    <t xml:space="preserve">copy; 1 A4 landscape page, single-sided, black and white</t>
  </si>
  <si>
    <t xml:space="preserve">Think and Reflect: heads the wall space where students stick their explanations for the evidence that does not fit</t>
  </si>
  <si>
    <t xml:space="preserve">Print 1 (file). Keep it up: the Week 6 Do Now points to the board, and Week 9 uses the board or its photo. See the open question on keeping each class's notes separate.</t>
  </si>
  <si>
    <t xml:space="preserve">Lesson plan (Section 1, one page) for the incoming teacher</t>
  </si>
  <si>
    <t xml:space="preserve">Left on the incoming teacher's seat with a checkpoint paper for the Week 5 observation (Teacher Guide Section 10)</t>
  </si>
  <si>
    <t xml:space="preserve">One copy can serve every observed class if the same incoming teacher keeps it.</t>
  </si>
  <si>
    <t xml:space="preserve">Handover note form (Tracker_Spec Section 6, Science Detectives version)</t>
  </si>
  <si>
    <t xml:space="preserve">Completed after this lesson, one per class, for the incoming teacher (checkpoint summary, groups and roles, language support, storage, kit status)</t>
  </si>
  <si>
    <t xml:space="preserve">Teacher document; fill in after the checkpoint scores are in tracker column Q. A paper copy also goes in the class assessment folder (Teacher Guide Section 10).</t>
  </si>
  <si>
    <t xml:space="preserve">Laminate the 6 A5 pH colour charts</t>
  </si>
  <si>
    <t xml:space="preserve">Plain white paper, A4 (to stand the cups on)</t>
  </si>
  <si>
    <t xml:space="preserve">Do: under the six indicator cups so the colours show clearly</t>
  </si>
  <si>
    <t xml:space="preserve">Sticky notes</t>
  </si>
  <si>
    <t xml:space="preserve">notes</t>
  </si>
  <si>
    <t xml:space="preserve">Think and Reflect: each student writes one possible explanation for the Ideas Parking Board</t>
  </si>
  <si>
    <t xml:space="preserve">Kit card lists sticky notes per class with no number; 1 per student is implied by the lesson plan ('Write one idea on a sticky note'). No spares stated.</t>
  </si>
  <si>
    <t xml:space="preserve">Label 36 indicator cups, 30 reference liquid cups, 6 'Evidence 4: liquid, floor by sink (I2)' cups and the indicator bottle 'Red cabbage indicator: do not drink'</t>
  </si>
  <si>
    <t xml:space="preserve">Count follows the kit card ('ready filled and labelled') and Case Bible Sections 12 and 13. Writing on the cups with a permanent marker also works. If cups are rinsed and reused, labels can stay on for later classes.</t>
  </si>
  <si>
    <t xml:space="preserve">Case files (A4 folder per student: scene map, suspect cards, evidence log, suspect tracker)</t>
  </si>
  <si>
    <t xml:space="preserve">Core d) and Slide 9 use the suspect cards; Challenge b) uses the scene map; students fill in evidence log row 5, confidence and the suspect tracker 'Liquid' column</t>
  </si>
  <si>
    <t xml:space="preserve">The Week 6 Do Now checks that evidence log row 5 is filled in.</t>
  </si>
  <si>
    <t xml:space="preserve">One line under 'What I found' if time at the end; otherwise evidence log row 5 counts as the entry</t>
  </si>
  <si>
    <t xml:space="preserve">Collect at the end: logbooks are stored for the handover.</t>
  </si>
  <si>
    <t xml:space="preserve">booklets (1 per student plus 4 spares)</t>
  </si>
  <si>
    <t xml:space="preserve">Open during the lesson and the checkpoint (Teacher Guide Section 4)</t>
  </si>
  <si>
    <t xml:space="preserve">Language support pack: 1 per student plus 4.</t>
  </si>
  <si>
    <t xml:space="preserve">Group role cards with duties, including the language buddy card (laminated)</t>
  </si>
  <si>
    <t xml:space="preserve">Roles for the practical (Safety Officer checks the kit card and goggles before any liquid is opened); Band 1 students sit with their language buddy</t>
  </si>
  <si>
    <t xml:space="preserve">Frames for pair talk, reporting and the sticky note ('One problem with this evidence is ___ .')</t>
  </si>
  <si>
    <t xml:space="preserve">Sentence frame poster, Year 8 (A4)</t>
  </si>
  <si>
    <t xml:space="preserve">poster</t>
  </si>
  <si>
    <t xml:space="preserve">Frames on the wall for rehearsing before reporting (Teacher Guide Section 4)</t>
  </si>
  <si>
    <t xml:space="preserve">Printed with the language support pack before Week 1; already on the wall</t>
  </si>
  <si>
    <t xml:space="preserve">White powder identification key poster (A3), from Week 4</t>
  </si>
  <si>
    <t xml:space="preserve">Wall display from Week 5, after students have built their own key (Week 4 file, printable 6.2)</t>
  </si>
  <si>
    <t xml:space="preserve">Printed for Week 4; put up now</t>
  </si>
  <si>
    <t xml:space="preserve">Not used in this lesson's tasks; the Week 4 file only says display it from Week 5.</t>
  </si>
  <si>
    <t xml:space="preserve">Checkpoint, worksheet and sticky notes</t>
  </si>
  <si>
    <t xml:space="preserve">Eye protection for indicator, vinegar, lemon juice and soap solution (4 per group)</t>
  </si>
  <si>
    <t xml:space="preserve">Goggles for the teacher during the Hook demo are not listed.</t>
  </si>
  <si>
    <t xml:space="preserve">cups (per group 6 indicator, 5 reference, 1 scene liquid = 72; plus 2 indicator cups for the Hook demo)</t>
  </si>
  <si>
    <t xml:space="preserve">Ready-filled indicator cups, reference liquid cups and the Evidence 4 cup on each tray; two indicator cups for the teacher's Hook demo</t>
  </si>
  <si>
    <t xml:space="preserve">Rinse and reuse for later classes, or recycle (kit card).</t>
  </si>
  <si>
    <t xml:space="preserve">Cups of rinse water (only if using 2 droppers per group)</t>
  </si>
  <si>
    <t xml:space="preserve">Rinse the dropper between liquids when a group has 2 droppers instead of 6</t>
  </si>
  <si>
    <t xml:space="preserve">The requisition's cup note says add 6 rinse-water cups if using 2 droppers per group; they are not in its 74.</t>
  </si>
  <si>
    <t xml:space="preserve">Add 10 drops of each liquid to its indicator cup (6 per group)</t>
  </si>
  <si>
    <t xml:space="preserve">Kit card alternative: 2 per group (12) plus a cup of rinse water.</t>
  </si>
  <si>
    <t xml:space="preserve">Kettle</t>
  </si>
  <si>
    <t xml:space="preserve">kettle</t>
  </si>
  <si>
    <t xml:space="preserve">Hot water for the indicator, the day before (teacher only)</t>
  </si>
  <si>
    <t xml:space="preserve">Heatproof jug</t>
  </si>
  <si>
    <t xml:space="preserve">Chopped cabbage and about 500 ml hot water, left 15 minutes</t>
  </si>
  <si>
    <t xml:space="preserve">Sieve</t>
  </si>
  <si>
    <t xml:space="preserve">sieve</t>
  </si>
  <si>
    <t xml:space="preserve">Strain the indicator into a clean bottle</t>
  </si>
  <si>
    <t xml:space="preserve">Clean bottle for the indicator</t>
  </si>
  <si>
    <t xml:space="preserve">bottle</t>
  </si>
  <si>
    <t xml:space="preserve">Holds the strained indicator, labelled 'Red cabbage indicator: do not drink'; leftovers keep in the fridge up to 3 days</t>
  </si>
  <si>
    <t xml:space="preserve">Fridge space</t>
  </si>
  <si>
    <t xml:space="preserve">shelf space</t>
  </si>
  <si>
    <t xml:space="preserve">Store the indicator overnight; leftovers keep up to 3 days, then discard</t>
  </si>
  <si>
    <t xml:space="preserve">Teacher's kitchen tools and containers: knife and chopping board (cabbage), grater (soap), teaspoon, measuring jug (500 ml and 200 ml), stirring spoon, and a jug or bottle each for the soap solution, baking soda solution and scene liquid</t>
  </si>
  <si>
    <t xml:space="preserve">not stated (one of each tool and 3 containers are implied by the recipes); set</t>
  </si>
  <si>
    <t xml:space="preserve">Making the indicator, soap solution, baking soda solution and scene liquid</t>
  </si>
  <si>
    <t xml:space="preserve">Implied by the Case Bible recipes ('chop', 'grate', 'about 500 ml', '200 ml') but not listed anywhere. Check the prep room or canteen.</t>
  </si>
  <si>
    <t xml:space="preserve">not stated (requisition assumes 6, 1 per group); cloths</t>
  </si>
  <si>
    <t xml:space="preserve">Clean-up: wipe spills straight away and wipe tables</t>
  </si>
  <si>
    <t xml:space="preserve">Kit card says 'Wipe tables' without a number.</t>
  </si>
  <si>
    <t xml:space="preserve">Timer or stopwatch</t>
  </si>
  <si>
    <t xml:space="preserve">timer</t>
  </si>
  <si>
    <t xml:space="preserve">Exactly 10 minutes for the checkpoint; 15-minute Do with the minute-11 call</t>
  </si>
  <si>
    <t xml:space="preserve">An on-screen timer will do.</t>
  </si>
  <si>
    <t xml:space="preserve">Camera or phone</t>
  </si>
  <si>
    <t xml:space="preserve">camera</t>
  </si>
  <si>
    <t xml:space="preserve">Photograph the Ideas Parking Board for the handover folder and Week 9 (Hook slide 4 and the tunnel vision sort)</t>
  </si>
  <si>
    <t xml:space="preserve">Ideas Parking Board space on the wall</t>
  </si>
  <si>
    <t xml:space="preserve">wall or board area</t>
  </si>
  <si>
    <t xml:space="preserve">Students stick their sticky notes under the header; photographed for Week 9</t>
  </si>
  <si>
    <t xml:space="preserve">Fixings for the header and the A3 chart (Blu-tack or pins) are not listed.</t>
  </si>
  <si>
    <t xml:space="preserve">Holds case files and logbooks between lessons</t>
  </si>
  <si>
    <r>
      <rPr>
        <sz val="10"/>
        <color rgb="FF00235F"/>
        <rFont val="Arial"/>
        <family val="0"/>
        <charset val="1"/>
      </rPr>
      <t xml:space="preserve">Red cabbage (</t>
    </r>
    <r>
      <rPr>
        <sz val="10"/>
        <color rgb="FF00235F"/>
        <rFont val="WenQuanYi Zen Hei"/>
        <family val="2"/>
      </rPr>
      <t xml:space="preserve">紫甘蓝</t>
    </r>
    <r>
      <rPr>
        <sz val="10"/>
        <color rgb="FF00235F"/>
        <rFont val="Arial"/>
        <family val="0"/>
        <charset val="1"/>
      </rPr>
      <t xml:space="preserve">)</t>
    </r>
  </si>
  <si>
    <t xml:space="preserve">head</t>
  </si>
  <si>
    <t xml:space="preserve">Makes about 500 ml of indicator, enough for one class</t>
  </si>
  <si>
    <t xml:space="preserve">A quarter head per class (Case Bible Section 13). The requisition note says the canteen is asked for 1 head; that covers four batches.</t>
  </si>
  <si>
    <t xml:space="preserve">Lemon juice</t>
  </si>
  <si>
    <t xml:space="preserve">Reference liquid, about 10 ml per group</t>
  </si>
  <si>
    <t xml:space="preserve">Food material: check the allergy list (Teacher Guide Section 6).</t>
  </si>
  <si>
    <t xml:space="preserve">ml, plus a little for the Hook demo</t>
  </si>
  <si>
    <t xml:space="preserve">Reference liquid on every tray; poured into an indicator cup in the Hook demo (turns pink)</t>
  </si>
  <si>
    <t xml:space="preserve">Requisition lists 70 ml (60 ml plus about 10 ml for the demo), which covers it.</t>
  </si>
  <si>
    <t xml:space="preserve">not stated: no strength is given for the baking soda solution (requisition assumes 2 teaspoons); plus a pinch if the soap solution only turns blue-purple; teaspoons</t>
  </si>
  <si>
    <t xml:space="preserve">Baking soda solution for the reference cups, half of the scene liquid and the Hook demo</t>
  </si>
  <si>
    <t xml:space="preserve">Week 4 baking soda stock may cover it.</t>
  </si>
  <si>
    <t xml:space="preserve">Plain bar soap</t>
  </si>
  <si>
    <t xml:space="preserve">teaspoon, grated (buy 1 plain bar; not washing-up liquid)</t>
  </si>
  <si>
    <t xml:space="preserve">Soap solution: about 1 teaspoon grated into 200 ml warm water</t>
  </si>
  <si>
    <t xml:space="preserve">Washing-up liquid is often close to neutral and will not work (Case Bible Section 13).</t>
  </si>
  <si>
    <t xml:space="preserve">Bottled or purified water</t>
  </si>
  <si>
    <t xml:space="preserve">About 500 ml heated for the indicator plus 60 ml for the 'water' reference cups (10 ml per group)</t>
  </si>
  <si>
    <t xml:space="preserve">Tap water can be slightly alkaline and turn the indicator blue-purple. The water for the soap and baking soda solutions is not specified.</t>
  </si>
  <si>
    <t xml:space="preserve">not stated (requisition assumes 3 sheets per group, 18); sheets</t>
  </si>
  <si>
    <t xml:space="preserve">Spills and drips on each tray</t>
  </si>
  <si>
    <t xml:space="preserve">Kit card lists 'Paper towels' with no number.</t>
  </si>
  <si>
    <t xml:space="preserve">Red cabbage indicator</t>
  </si>
  <si>
    <t xml:space="preserve">Six cups of about 10 ml (2 cm) per group, plus spare and the two Hook demo cups</t>
  </si>
  <si>
    <t xml:space="preserve">Made by the teacher the day before with hot water; refrigerate; use within 3 days. Check it is purple in bottled water.</t>
  </si>
  <si>
    <t xml:space="preserve">Reference cups (10 ml per group) and half of the scene liquid</t>
  </si>
  <si>
    <t xml:space="preserve">Must turn the indicator blue-green or green; if it only goes blue-purple, add a pinch of baking soda.</t>
  </si>
  <si>
    <t xml:space="preserve">not stated: at least about 90 ml is needed (60 ml for the reference cups plus 30 ml as half of the scene liquid) plus a little for the Hook demo; requisition assumes 100 ml; ml</t>
  </si>
  <si>
    <t xml:space="preserve">Reference cups, half of the scene liquid and the Hook demo (turns the indicator blue-green)</t>
  </si>
  <si>
    <t xml:space="preserve">No recipe or strength is given in any file. About 120 ml is needed if the scene liquid follows the Case Bible's 20 ml per group.</t>
  </si>
  <si>
    <t xml:space="preserve">Evidence 4: scene liquid (equal amounts of soap solution and baking soda solution) in cups labelled 'Evidence 4: liquid, floor by sink (I2)'</t>
  </si>
  <si>
    <t xml:space="preserve">The unknown each group tests last against the five reference liquids</t>
  </si>
  <si>
    <t xml:space="preserve">Test it yourself: it must turn the indicator blue-green, not purple. The Case Bible says it wins over lesson files, so 120 ml may be intended.</t>
  </si>
  <si>
    <t xml:space="preserve">Worksheet Plan A: Ice cube rescue (Core A to D, Stretch, Challenge, My thinking, fold-under word bank, exit ticket strip on page 5)</t>
  </si>
  <si>
    <t xml:space="preserve">copies; 5 A4 pages, double-sided (3 sheets; page 5, the exit ticket, prints alone on sheet 3)</t>
  </si>
  <si>
    <t xml:space="preserve">Main student task for the whole lesson: cartoon vote, meltwater results table, gap fill, variables table, prediction, conclusion; exit ticket</t>
  </si>
  <si>
    <t xml:space="preserve">No spares stated. The design runs to 5 pages with 'turn over' on pages 1 to 4, so print double-sided: 24 x 3 = 72 A4 sheets. The Core D sort-card strip ('CUT HERE') sits in the middle of page 3, so cutting it out also cuts into page 4 on the back (Challenge). Print only from the design rebuilt after the language pass.</t>
  </si>
  <si>
    <t xml:space="preserve">Worksheet Plan B: Keep it warm (Core A to D, Stretch, Challenge, My thinking, fold-under word bank, exit ticket strip on page 5)</t>
  </si>
  <si>
    <t xml:space="preserve">Main student task for the whole lesson: cartoon vote, temperature results table, gap fill, variables table, prediction, conclusion; exit ticket</t>
  </si>
  <si>
    <t xml:space="preserve">Planning frame Plan A: Pykrete strips (Week 7 Section 6a design; page 1 done in Week 6)</t>
  </si>
  <si>
    <t xml:space="preserve">copies; 5 A4 pages, double-sided (3 sheets)</t>
  </si>
  <si>
    <t xml:space="preserve">Think and Reflect: each group chooses a project question and drafts the independent variable on page 1; kept in the group folder from Week 6 to Week 10</t>
  </si>
  <si>
    <t xml:space="preserve">8 = 1 per group + 2 spares (Week 7 print spec); the Week 6 file says 6 copies. The spec says two sides of A4 or one A3 sheet folded, and the requisition counts 8 A3 sheets for that, but the design runs to 5 A4 pages, so print 5 pages double-sided (8 x 3 = 24 A4 sheets) unless the design is cut back to two pages. Printed from the Week 7 design (Section 6a).</t>
  </si>
  <si>
    <t xml:space="preserve">Planning frame Plan B: Straw-brick science (Week 7 Section 6a design; page 1 done in Week 6)</t>
  </si>
  <si>
    <t xml:space="preserve">Concept cartoon: snowman in a coat (A3 board copy)</t>
  </si>
  <si>
    <t xml:space="preserve">copy; A3 landscape, single-sided (A4 landscape design enlarged), then laminated</t>
  </si>
  <si>
    <t xml:space="preserve">Hook vote and the 'Who was right?' return in Think and Reflect; the same cartoon is on Slides 4, 5 and 17 and in worksheet Core A</t>
  </si>
  <si>
    <t xml:space="preserve">Print spec: 1 laminated A3 copy for the board. One copy can stay up for every class taught in the same room.</t>
  </si>
  <si>
    <t xml:space="preserve">Kit card Plan A: Ice cube rescue (half-A4, marked Teacher copy)</t>
  </si>
  <si>
    <t xml:space="preserve">Kit list, teacher prep (about 25 minutes plus freezing), hazards and controls, clean-up</t>
  </si>
  <si>
    <t xml:space="preserve">Print quantity not stated; the design is marked 'Teacher copy', so 1 is assumed. The Teacher Guide says the Safety Officer checks the kit card at the start of every Do phase; print 6 more for the trays if wanted.</t>
  </si>
  <si>
    <t xml:space="preserve">Kit card Plan B: Keep it warm (half-A4, marked Teacher copy)</t>
  </si>
  <si>
    <t xml:space="preserve">Kit list, teacher prep (about 20 minutes), hazards and controls, clean-up</t>
  </si>
  <si>
    <t xml:space="preserve">Laminating pouch, A3</t>
  </si>
  <si>
    <t xml:space="preserve">pouch</t>
  </si>
  <si>
    <t xml:space="preserve">Laminate the A3 concept cartoon board copy</t>
  </si>
  <si>
    <t xml:space="preserve">Group folders</t>
  </si>
  <si>
    <t xml:space="preserve">One per group: holds the planning frame from Week 6 to Week 10; the teacher keeps them between lessons</t>
  </si>
  <si>
    <t xml:space="preserve">New this week; label each with the project group name. Reused in Weeks 7 to 10. No spare folders stated.</t>
  </si>
  <si>
    <t xml:space="preserve">Label cups A to D (both plans); Plan B: mark the 150 ml line on 24 cups</t>
  </si>
  <si>
    <t xml:space="preserve">Marker from Week 2 or Week 5; reuse</t>
  </si>
  <si>
    <t xml:space="preserve">The requisition lists 1 marker again; the Week 2 or Week 5 marker will do if it still writes. The file says only 'a marker'; a permanent (waterproof) one is advisable because the cups get wet.</t>
  </si>
  <si>
    <t xml:space="preserve">Writing on the worksheet, planning frame, exit ticket and logbook</t>
  </si>
  <si>
    <t xml:space="preserve">Not named in the Week 6 file.</t>
  </si>
  <si>
    <t xml:space="preserve">Logbook line 'What I found' in Think and Reflect, if time</t>
  </si>
  <si>
    <t xml:space="preserve">Group role cards with duties, with the Language buddy card (laminated)</t>
  </si>
  <si>
    <t xml:space="preserve">Safety Officer collects the ice and leads clean-up; Measurer reads the cylinder or thermometer; Recorder writes times and results; Reporter shares; Lead Scientist files the planning frame; buddy card for Band 1 pairs</t>
  </si>
  <si>
    <t xml:space="preserve">Roles rotate weekly. Project groups may be re-formed this week.</t>
  </si>
  <si>
    <t xml:space="preserve">Frames on group tables for the vote and the report back (Week 6 frame: 'I think ___ because ___.')</t>
  </si>
  <si>
    <t xml:space="preserve">Classroom language card (A5, laminated)</t>
  </si>
  <si>
    <t xml:space="preserve">Routine phrases and how to ask for help, in English and Chinese (Band 1 support)</t>
  </si>
  <si>
    <t xml:space="preserve">Printed and laminated with the language support pack before Week 1 (1 per student + 6 spares); reuse</t>
  </si>
  <si>
    <t xml:space="preserve">Not named in the Week 6 file; the Teacher Guide gives it to Band 1 students with the dictionary.</t>
  </si>
  <si>
    <t xml:space="preserve">Not named in the Week 6 file; the Teacher Guide says it is open in every lesson.</t>
  </si>
  <si>
    <t xml:space="preserve">Logbooks collected at the end of the lesson</t>
  </si>
  <si>
    <t xml:space="preserve">Scissors and a ruler (teacher prep)</t>
  </si>
  <si>
    <t xml:space="preserve">Cut the 15 x 15 cm squares (Plan A) or the 25 x 10 cm jackets and 10 x 10 cm lid squares with a 1 cm slit (Plan B)</t>
  </si>
  <si>
    <t xml:space="preserve">Not listed in the file, but the kit card prep needs them. Prep-room stock is likely enough.</t>
  </si>
  <si>
    <t xml:space="preserve">Plastic cups (Plan A)</t>
  </si>
  <si>
    <t xml:space="preserve">4 per group labelled A to D for the wrapped bags (24) + 1 hand-out cup per group holding the 4 bagged cubes (6)</t>
  </si>
  <si>
    <t xml:space="preserve">The file does not say whether the hand-out cup is a fifth cup or one of cups A to D; if it is cup A, 24 are enough. Cups are stacked at clean-up and reused for later classes.</t>
  </si>
  <si>
    <t xml:space="preserve">Plastic cups, identical, about 250 ml (Plan B)</t>
  </si>
  <si>
    <t xml:space="preserve">4 per group labelled A to D with a 150 ml line (24) + 1 cup of room-temperature water for the thermometer check</t>
  </si>
  <si>
    <t xml:space="preserve">Cups must be identical. Once marked, they are reused for later classes.</t>
  </si>
  <si>
    <t xml:space="preserve">One kit tray per group; the cups stand on it to catch spills</t>
  </si>
  <si>
    <t xml:space="preserve">Reused as group trays in Weeks 7 and 8.</t>
  </si>
  <si>
    <t xml:space="preserve">Elastic bands (Plan A)</t>
  </si>
  <si>
    <t xml:space="preserve">bands</t>
  </si>
  <si>
    <t xml:space="preserve">3 per group to hold the wrapped squares, plus 2 spare per group</t>
  </si>
  <si>
    <t xml:space="preserve">The requisition row (36, tagged both) is the Plan B count; Plan A needs 30.</t>
  </si>
  <si>
    <t xml:space="preserve">Elastic bands (Plan B)</t>
  </si>
  <si>
    <t xml:space="preserve">6 per group to hold the cup jackets</t>
  </si>
  <si>
    <t xml:space="preserve">Aluminium foil, 15 x 15 cm squares (Plan A)</t>
  </si>
  <si>
    <t xml:space="preserve">squares</t>
  </si>
  <si>
    <t xml:space="preserve">Set A groups (1, 3, 5): one square each</t>
  </si>
  <si>
    <t xml:space="preserve">The requisition row (6 pieces, tagged both) is the Plan B count. Cut from the roll on the programme order; dry foil can be reused.</t>
  </si>
  <si>
    <t xml:space="preserve">Newspaper, 15 x 15 cm squares (Plan A)</t>
  </si>
  <si>
    <t xml:space="preserve">All 6 groups: one square each</t>
  </si>
  <si>
    <t xml:space="preserve">The requisition row (12 pieces, tagged both) is the Plan B count. Collected, not bought; wet newspaper goes in the bin.</t>
  </si>
  <si>
    <t xml:space="preserve">Cotton wool sheet, 15 x 15 cm squares (Plan A)</t>
  </si>
  <si>
    <t xml:space="preserve">The requisition row (6 pieces, tagged both) is the Plan B count. Wet cotton wool goes in the bin.</t>
  </si>
  <si>
    <t xml:space="preserve">Fabric scraps, 15 x 15 cm squares (Plan A)</t>
  </si>
  <si>
    <t xml:space="preserve">Set B groups (2, 4, 6): one square each</t>
  </si>
  <si>
    <t xml:space="preserve">The requisition row (6 pieces, tagged both) is the Plan B count. Collected from staff and students; the Plan A clean-up puts wet materials in the bin.</t>
  </si>
  <si>
    <t xml:space="preserve">Bubble wrap, 15 x 15 cm squares (Plan A)</t>
  </si>
  <si>
    <t xml:space="preserve">The requisition row (6 pieces, tagged both) is the Plan B count. Dry bubble wrap can be reused (Week 8 box wraps if cool boxes are short).</t>
  </si>
  <si>
    <t xml:space="preserve">Aluminium foil, jackets and lid squares (Plan B)</t>
  </si>
  <si>
    <t xml:space="preserve">pieces: 3 jackets 25 x 10 cm + 3 lid squares 10 x 10 cm with a 1 cm slit</t>
  </si>
  <si>
    <t xml:space="preserve">Set A groups (1, 3, 5): one jacket and one lid each</t>
  </si>
  <si>
    <t xml:space="preserve">Dried for reuse.</t>
  </si>
  <si>
    <t xml:space="preserve">Newspaper, jackets and lid squares (Plan B)</t>
  </si>
  <si>
    <t xml:space="preserve">pieces: 6 jackets 25 x 10 cm + 6 lid squares 10 x 10 cm with a 1 cm slit</t>
  </si>
  <si>
    <t xml:space="preserve">All 6 groups: one jacket and one lid each</t>
  </si>
  <si>
    <t xml:space="preserve">Collected, not bought; wet newspaper goes in the bin.</t>
  </si>
  <si>
    <t xml:space="preserve">Cotton wool sheet, jackets and lid squares (Plan B)</t>
  </si>
  <si>
    <t xml:space="preserve">Wet cotton wool goes in the bin.</t>
  </si>
  <si>
    <t xml:space="preserve">Fabric scraps, jackets and lid squares (Plan B)</t>
  </si>
  <si>
    <t xml:space="preserve">Set B groups (2, 4, 6): one jacket and one lid each</t>
  </si>
  <si>
    <t xml:space="preserve">Bubble wrap, jackets and lid squares (Plan B)</t>
  </si>
  <si>
    <t xml:space="preserve">Measuring cylinders, 25 ml (or 10 ml) (Plan A)</t>
  </si>
  <si>
    <t xml:space="preserve">cylinders</t>
  </si>
  <si>
    <t xml:space="preserve">Read each bag's meltwater in ml in Do part 2</t>
  </si>
  <si>
    <t xml:space="preserve">The requisition tags this row 'both'; it is Plan A only. Expected meltwater is 2 to 10 ml, so 10 ml cylinders read more precisely. The Teacher Guide (Week 5 row) allows a kitchen scale instead, but the worksheet records ml. Week 7 (Plan A) needs 12.</t>
  </si>
  <si>
    <t xml:space="preserve">Measuring cylinder for marking the 150 ml line (Plan B)</t>
  </si>
  <si>
    <t xml:space="preserve">Teacher prep: measure 150 ml into each cup to mark the line</t>
  </si>
  <si>
    <t xml:space="preserve">Size not stated in the file; the requisition says 100 ml or larger. A 250 ml cylinder measures 150 ml in one fill.</t>
  </si>
  <si>
    <t xml:space="preserve">Thermometers, spirit-filled (red) or digital (Plan B)</t>
  </si>
  <si>
    <t xml:space="preserve">thermometers</t>
  </si>
  <si>
    <t xml:space="preserve">1 per group for start and end readings (6) + 1 spare for checking the jug</t>
  </si>
  <si>
    <t xml:space="preserve">Never mercury. If short, the Teacher Guide allows one per two groups or a teacher-read class set of readings.</t>
  </si>
  <si>
    <t xml:space="preserve">Stopwatches (Plan B)</t>
  </si>
  <si>
    <t xml:space="preserve">1 per group: the Recorder starts it at cup A; end readings at 15 minutes</t>
  </si>
  <si>
    <t xml:space="preserve">Prep-room stopwatches used in Weeks 3 and 4; reuse</t>
  </si>
  <si>
    <t xml:space="preserve">Already in the prep room from Weeks 3 and 4; no new order needed.</t>
  </si>
  <si>
    <t xml:space="preserve">Stopwatches (Plan A, only if no wall clock is visible to all)</t>
  </si>
  <si>
    <t xml:space="preserve">1 per group to time the melt, only if there is no wall clock visible to all</t>
  </si>
  <si>
    <t xml:space="preserve">Ice-cube trays, same type (Plan A)</t>
  </si>
  <si>
    <t xml:space="preserve">Freeze about 28 cubes the day before, filled to the same level</t>
  </si>
  <si>
    <t xml:space="preserve">Two more trays and more freezer space for each extra class taught on the same day.</t>
  </si>
  <si>
    <t xml:space="preserve">Cool box, insulated with lid (Plan A)</t>
  </si>
  <si>
    <t xml:space="preserve">Holds 24 bagged cubes + 4 spare at the door</t>
  </si>
  <si>
    <t xml:space="preserve">Week 8 (Plan A) needs 6 cool boxes.</t>
  </si>
  <si>
    <t xml:space="preserve">Freezer space (Plan A)</t>
  </si>
  <si>
    <t xml:space="preserve">drawer</t>
  </si>
  <si>
    <t xml:space="preserve">Freeze the two ice-cube trays the day before; keep the bagged cubes until the lesson</t>
  </si>
  <si>
    <t xml:space="preserve">Jugs: one of at least 2 litres + a second jug or flask (Plan B)</t>
  </si>
  <si>
    <t xml:space="preserve">Mixing and holding the warm water the teacher pours</t>
  </si>
  <si>
    <t xml:space="preserve">The requisition tags this row 'both'; it is Plan B only. About 3.6 litres are needed, so refill or use both. The Week 5 trial jug can be one of them.</t>
  </si>
  <si>
    <t xml:space="preserve">Kettle (Plan B)</t>
  </si>
  <si>
    <t xml:space="preserve">Hot water mixed with cold tap water to about 50 °C; teacher use only</t>
  </si>
  <si>
    <t xml:space="preserve">Students never handle the kettle.</t>
  </si>
  <si>
    <t xml:space="preserve">Mop and bucket, or a roll of paper towels</t>
  </si>
  <si>
    <t xml:space="preserve">set</t>
  </si>
  <si>
    <t xml:space="preserve">Mop spills straight away: a wet floor is the most likely injury</t>
  </si>
  <si>
    <t xml:space="preserve">Paper towels (kitchen roll)</t>
  </si>
  <si>
    <t xml:space="preserve">6 per group with the tray, for drips and wiping tables</t>
  </si>
  <si>
    <t xml:space="preserve">Plus a whole roll per class if there is no mop.</t>
  </si>
  <si>
    <t xml:space="preserve">Disposable gloves (Plan A)</t>
  </si>
  <si>
    <t xml:space="preserve">2 pairs per group: handling ice for more than a minute and the measuring slot</t>
  </si>
  <si>
    <t xml:space="preserve">Zip-lock sandwich bags, small (Plan A)</t>
  </si>
  <si>
    <t xml:space="preserve">One per ice cube (24 + 4 spare), so the meltwater stays in the bag</t>
  </si>
  <si>
    <t xml:space="preserve">The requisition tags this row 'both'; it is Plan A only.</t>
  </si>
  <si>
    <t xml:space="preserve">Ice cubes (Plan A)</t>
  </si>
  <si>
    <t xml:space="preserve">cubes</t>
  </si>
  <si>
    <t xml:space="preserve">4 per group (24) + 4 spare; one spare bag for the teacher's measuring demo</t>
  </si>
  <si>
    <t xml:space="preserve">From the same tray type, filled to the same level, so the test is fair. The Teacher Guide (Sections 7 and 8) says about 24; the kit card's 28 takes priority.</t>
  </si>
  <si>
    <t xml:space="preserve">Warm water, about 50 °C (Plan B)</t>
  </si>
  <si>
    <t xml:space="preserve">litres</t>
  </si>
  <si>
    <t xml:space="preserve">150 ml into each of 24 cups, poured by the teacher during the Hook</t>
  </si>
  <si>
    <t xml:space="preserve">Never above 55 °C; mixed from kettle water and cold tap water during the Do Now.</t>
  </si>
  <si>
    <t xml:space="preserve">Pre-cut material sets, 15 x 15 cm squares (Plan A)</t>
  </si>
  <si>
    <t xml:space="preserve">sets (3 squares each)</t>
  </si>
  <si>
    <t xml:space="preserve">Set A (groups 1, 3, 5): foil, newspaper, cotton wool sheet; Set B (groups 2, 4, 6): fabric, bubble wrap, newspaper; packed on the trays</t>
  </si>
  <si>
    <t xml:space="preserve">Cut from the material rows above; replace any wet pieces for each class (wet materials go in the bin).</t>
  </si>
  <si>
    <t xml:space="preserve">Pre-cut material sets, jackets and lid squares (Plan B)</t>
  </si>
  <si>
    <t xml:space="preserve">sets (3 jackets + 3 lid squares each)</t>
  </si>
  <si>
    <t xml:space="preserve">Set A (groups 1, 3, 5): foil, newspaper, cotton wool sheet; Set B (groups 2, 4, 6): fabric, bubble wrap, newspaper; each a 25 x 10 cm jacket and a 10 x 10 cm lid square with a 1 cm slit</t>
  </si>
  <si>
    <t xml:space="preserve">Cut from the material rows above; new newspaper and cotton wool for each class.</t>
  </si>
  <si>
    <t xml:space="preserve">Bagged ice cubes (Plan A)</t>
  </si>
  <si>
    <t xml:space="preserve">bagged cubes</t>
  </si>
  <si>
    <t xml:space="preserve">Each cube sealed in its own zip-lock bag with the air squeezed out; 24 + 4 spare kept in the cool box or freezer</t>
  </si>
  <si>
    <t xml:space="preserve">Made on the day of the lesson.</t>
  </si>
  <si>
    <t xml:space="preserve">Cups labelled A to D (Plan A)</t>
  </si>
  <si>
    <t xml:space="preserve">4 per group for the three wrapped bags and the bare control</t>
  </si>
  <si>
    <t xml:space="preserve">Made from the plastic cups with the marker; the requisition has a teacher-made row for the Plan B marked cups only. Reusable for every class.</t>
  </si>
  <si>
    <t xml:space="preserve">Cups labelled A to D and marked with a 150 ml line (Plan B)</t>
  </si>
  <si>
    <t xml:space="preserve">4 per group: three wrapped cups and the bare control, all filled to the same line</t>
  </si>
  <si>
    <t xml:space="preserve">Reusable for every class.</t>
  </si>
  <si>
    <t xml:space="preserve">Worksheet: Footprints and height (Core, Stretch, Challenge, My thinking, fold-under word bank, exit ticket strip with the Week 7 option vote)</t>
  </si>
  <si>
    <t xml:space="preserve">Main student task: own measurements, class data table, scatter graph (15 cm by 13 cm grid), line of best fit, height estimate and suspect check; exit ticket with the Week 7 option choice at the foot of page 4</t>
  </si>
  <si>
    <t xml:space="preserve">No spares stated. 24 copies x 2 sheets = 48 A4 sheets. The lesson file says 'two sides', but the designed worksheet has 4 pages (pages 1 to 3 say 'turn over'). Cutting off the exit ticket strip at the foot of page 4 also cuts the bottom of page 3 (Challenge a) writing lines) on the back. Print only from the design rebuilt after the language pass.</t>
  </si>
  <si>
    <t xml:space="preserve">Scene footprint, true size (group copies)</t>
  </si>
  <si>
    <t xml:space="preserve">copies; A4 portrait, single-sided, printed at 100% (actual size)</t>
  </si>
  <si>
    <t xml:space="preserve">Evidence 5: the 24 cm white footprint with a 0 to 25 cm check scale, one per group for the Do phase</t>
  </si>
  <si>
    <t xml:space="preserve">The requisition lists 7 prints (6 groups plus 1 scene table). Never print 'fit to page'; check every copy measures exactly 24.0 cm with a ruler. Footprints go into case files at clean-up, so 6 new copies are needed for each class.</t>
  </si>
  <si>
    <t xml:space="preserve">Scene footprint, true size (scene table and teacher's Hook copy)</t>
  </si>
  <si>
    <t xml:space="preserve">copy; A4 portrait, single-sided, printed at 100% (actual size)</t>
  </si>
  <si>
    <t xml:space="preserve">The teacher holds it next to a metre stick in the Hook ('Can a footprint tell us how tall someone is?'); then on the scene table</t>
  </si>
  <si>
    <t xml:space="preserve">Counted in the requisition's 7 prints. If the optional Week 1 scene table used a 24 cm paper footprint, that copy can be reused: check it measures 24 cm.</t>
  </si>
  <si>
    <t xml:space="preserve">Sample class data card (24 made-up Year 8 students, S01 to S24)</t>
  </si>
  <si>
    <t xml:space="preserve">copies; A5 portrait, single-sided, then laminated</t>
  </si>
  <si>
    <t xml:space="preserve">Data for any student who prefers not to be measured, and for the whole class if fewer than 16 are measured or time is short; also used by the answer key</t>
  </si>
  <si>
    <t xml:space="preserve">Print notes give 6 (1 per group) plus 1 for the teacher; the kit card says 1 per group. Laminated 'if possible', so the cards can be collected and serve every class. Print on A5, or 2 up on A4 and cut.</t>
  </si>
  <si>
    <t xml:space="preserve">Height station sign</t>
  </si>
  <si>
    <t xml:space="preserve">Three picture steps for measuring height to the nearest 1 cm at each wall station; bilingual method support for Band 1 students</t>
  </si>
  <si>
    <t xml:space="preserve">The requisition names the signs only as an ingredient of the height stations ('ordinary print'). They can stay up with the charts for every class.</t>
  </si>
  <si>
    <t xml:space="preserve">Teacher kit list, prep, hazards and controls, and clean-up</t>
  </si>
  <si>
    <t xml:space="preserve">The design is marked 'Teacher copy'. The Teacher Guide has the Safety Officer check the kit card at the start of every Do phase; extra copies for group trays are not stated.</t>
  </si>
  <si>
    <t xml:space="preserve">Laminating the 7 sample class data cards</t>
  </si>
  <si>
    <t xml:space="preserve">Lamination is 'if possible'.</t>
  </si>
  <si>
    <t xml:space="preserve">not stated (requisition: 1 roll); roll</t>
  </si>
  <si>
    <t xml:space="preserve">Taping the paper height charts to the wall, or making the marked strip (every 1 cm from 100 to 200 cm) beside an upright metre stick</t>
  </si>
  <si>
    <t xml:space="preserve">The Week 1 roll (pen labels) may still have enough.</t>
  </si>
  <si>
    <t xml:space="preserve">Pencils, sharp</t>
  </si>
  <si>
    <t xml:space="preserve">Plotting small, neat crosses on the scatter graph and filling in the worksheet</t>
  </si>
  <si>
    <t xml:space="preserve">Listed again in the Week 6 requisition; no new order needed. Sharpen before the lesson.</t>
  </si>
  <si>
    <t xml:space="preserve">Case files (cover, briefing, scene map, four suspect cards, evidence log with suspect tracker and confidence rows)</t>
  </si>
  <si>
    <t xml:space="preserve">Do Now answers from evidence log row 5; suspect cards give heights (Core f) and foot lengths (Challenge b); evidence log row 6, tracker column 'Footprint' and confidence row W6; group footprints filed here at clean-up</t>
  </si>
  <si>
    <t xml:space="preserve">One line under 'What I found' if time; otherwise evidence log row 6 counts as the logbook entry</t>
  </si>
  <si>
    <t xml:space="preserve">Group role cards with duties (6 cards per set, laminated, including the Language buddy card)</t>
  </si>
  <si>
    <t xml:space="preserve">Measurer and Recorder roles rotate in the measuring pairs; the Recorder reads the group's data to the teacher; the Safety Officer checks the kit card; buddy card for Band 1 seating</t>
  </si>
  <si>
    <t xml:space="preserve">Frames on the tables for reporting, including the Week 6 frame 'We estimate ___ because ___.' and 'This evidence is strong / weak because ___.'</t>
  </si>
  <si>
    <t xml:space="preserve">The Week 6 page gives all eight key words with Chinese meanings; open in every lesson</t>
  </si>
  <si>
    <t xml:space="preserve">Given out in Week 1 (24 plus 4 spares); reuse</t>
  </si>
  <si>
    <t xml:space="preserve">Not named in the Week 6 lesson file; the Teacher Guide says the dictionary is open in every lesson.</t>
  </si>
  <si>
    <t xml:space="preserve">rulers (2 per group)</t>
  </si>
  <si>
    <t xml:space="preserve">Measuring foot length (heel against the wall) to the nearest 0.5 cm and drawing the line of best fit; the teacher also uses one to check the footprint prints</t>
  </si>
  <si>
    <t xml:space="preserve">Week 3 used 6 (1 per group); 12 are needed this week.</t>
  </si>
  <si>
    <t xml:space="preserve">Metre sticks or tape measures</t>
  </si>
  <si>
    <t xml:space="preserve">metre sticks or tape measures (1 per group plus 1 for the Hook)</t>
  </si>
  <si>
    <t xml:space="preserve">Group measuring; the teacher lays one beside the scene footprint in the Hook</t>
  </si>
  <si>
    <t xml:space="preserve">The kit card gives 1 per group; the Slide 4 notes need one at the front, so the requisition adds 1. Tape measures must be retracted slowly (Teacher Guide safety table).</t>
  </si>
  <si>
    <t xml:space="preserve">Metre sticks for upright height stations (alternative to paper charts)</t>
  </si>
  <si>
    <t xml:space="preserve">Held upright against the wall with a masking tape strip marked every 1 cm from 100 to 200 cm</t>
  </si>
  <si>
    <t xml:space="preserve">The requisition note says 'add up to 3 more if the height stations use upright metre sticks'. Marking the tape needs a fine marker pen, which is not listed.</t>
  </si>
  <si>
    <t xml:space="preserve">Paper height charts, 130 to 190 cm</t>
  </si>
  <si>
    <t xml:space="preserve">charts</t>
  </si>
  <si>
    <t xml:space="preserve">Wall scale at each height station</t>
  </si>
  <si>
    <t xml:space="preserve">No printable design exists for the chart: buy ready-made charts or use the upright metre stick alternative. Leave up if Year 7 or 9 need them.</t>
  </si>
  <si>
    <t xml:space="preserve">Hardback books</t>
  </si>
  <si>
    <t xml:space="preserve">books (1 per group)</t>
  </si>
  <si>
    <t xml:space="preserve">Held flat on the head, touching the wall, to read height</t>
  </si>
  <si>
    <t xml:space="preserve">Borrow from the library or staff room.</t>
  </si>
  <si>
    <t xml:space="preserve">Group kit tray; rulers and metre sticks are counted back in at clean-up</t>
  </si>
  <si>
    <t xml:space="preserve">Prep room trays used every week since Week 2; reuse</t>
  </si>
  <si>
    <t xml:space="preserve">Listed again in the Week 6 requisition; no new order needed.</t>
  </si>
  <si>
    <t xml:space="preserve">Case files and logbooks stored at the end of the lesson</t>
  </si>
  <si>
    <t xml:space="preserve">Ideas Parking Board (Week 5 sticky notes), or its photo</t>
  </si>
  <si>
    <t xml:space="preserve">board</t>
  </si>
  <si>
    <t xml:space="preserve">Do Now: the teacher points to it ('We have not forgotten that the liquid does not fit')</t>
  </si>
  <si>
    <t xml:space="preserve">Made in Week 5; photo kept for Week 9</t>
  </si>
  <si>
    <t xml:space="preserve">The Week 5 file says photograph it before taking it down; the handover note should say whether it is still on the wall.</t>
  </si>
  <si>
    <t xml:space="preserve">Height measuring stations</t>
  </si>
  <si>
    <t xml:space="preserve">Pairs measure height to the nearest 1 cm, book flat on the head</t>
  </si>
  <si>
    <t xml:space="preserve">On clear wall space away from doors. Ingredients: a paper height chart (or upright metre stick with a marked masking tape strip), masking tape and a height station sign. Set up once and leave up for every class.</t>
  </si>
  <si>
    <t xml:space="preserve">Worksheet Plan A: The ice ship mission (Do Now box, Core A story cloze, Core B my job, Stretch, Challenge, My thinking, fold-under word bank, exit ticket strip)</t>
  </si>
  <si>
    <t xml:space="preserve">copies; 3 A4 pages, double-sided (pages 1 and 2 back to back, page 3 on a second sheet)</t>
  </si>
  <si>
    <t xml:space="preserve">Each student's own sheet for the whole lesson; exit ticket strip at the foot of page 3</t>
  </si>
  <si>
    <t xml:space="preserve">No spares stated. Pages 1 and 2 say 'turn over'; page 3 carries the cut-off exit ticket, so leave its back blank: 2 sheets per copy, 48 sheets. Print only the plan named on the handover note (Week 4 freezer decision).</t>
  </si>
  <si>
    <t xml:space="preserve">Worksheet Plan B: Straw-brick science (same sections as Plan A, with the Plan B making jobs, Challenge and word bank additions)</t>
  </si>
  <si>
    <t xml:space="preserve">No spares stated. 2 sheets per copy, 48 sheets. Print only the plan named on the handover note.</t>
  </si>
  <si>
    <t xml:space="preserve">Kit card Plan A: Pykrete strips (teacher copy)</t>
  </si>
  <si>
    <t xml:space="preserve">copy; A5 landscape, double-sided</t>
  </si>
  <si>
    <t xml:space="preserve">Teacher kit list, sample size and fibre doses, strip trial, prep steps, hazards and clean-up</t>
  </si>
  <si>
    <t xml:space="preserve">Designed as A5 (half-A4), side 1 and side 2, marked 'Teacher copy'.</t>
  </si>
  <si>
    <t xml:space="preserve">Kit card Plan B: Straw-brick science (teacher copy)</t>
  </si>
  <si>
    <t xml:space="preserve">Teacher kit list, strip trial, prep steps (allergy check, dough recipe), hazards and clean-up</t>
  </si>
  <si>
    <t xml:space="preserve">Class project board Plan A (A3 landscape)</t>
  </si>
  <si>
    <t xml:space="preserve">Wall board for Weeks 7 to 9: each group's question, three samples, test (strength or melting), repeats made, tray number, tested in Week 8; coverage check; teacher writes in marker; strip trial decision recorded on it</t>
  </si>
  <si>
    <t xml:space="preserve">One board per class, kept up until Week 9; laminate if possible. Covered by the requisition line 'A3 paper for A3 prints' (1 sheet).</t>
  </si>
  <si>
    <r>
      <rPr>
        <sz val="10"/>
        <color rgb="FF00235F"/>
        <rFont val="Arial"/>
        <family val="0"/>
        <charset val="1"/>
      </rPr>
      <t xml:space="preserve">Class project board Plan B (A3 landscape, Test column printed 'Strength </t>
    </r>
    <r>
      <rPr>
        <sz val="10"/>
        <color rgb="FF00235F"/>
        <rFont val="WenQuanYi Zen Hei"/>
        <family val="2"/>
      </rPr>
      <t xml:space="preserve">强度</t>
    </r>
    <r>
      <rPr>
        <sz val="10"/>
        <color rgb="FF00235F"/>
        <rFont val="Arial"/>
        <family val="0"/>
        <charset val="1"/>
      </rPr>
      <t xml:space="preserve">')</t>
    </r>
  </si>
  <si>
    <t xml:space="preserve">Wall board for Weeks 7 to 9: each group's question, three samples, repeats made, tray number, tested in Week 8; coverage check; strip trial decision recorded on it</t>
  </si>
  <si>
    <t xml:space="preserve">Sample labels (32 per A4 sheet, 4 x 8, bilingual code key at the top)</t>
  </si>
  <si>
    <t xml:space="preserve">sheets; A4, single-sided, 32 labels each (64 labels)</t>
  </si>
  <si>
    <t xml:space="preserve">One label per sample (54 needed: 9 per group) plus spares; 10 per group on the kit tray; written in pencil and taped to the flat foil tab</t>
  </si>
  <si>
    <t xml:space="preserve">Same sheet for both plans (students tick Plan A ice or Plan B dough). Cut into single labels before the lesson.</t>
  </si>
  <si>
    <t xml:space="preserve">Planning frame: Our investigation plan (Plan A or Plan B version)</t>
  </si>
  <si>
    <t xml:space="preserve">copies (1 per group plus 2 spares), printed for Week 6; no new printing</t>
  </si>
  <si>
    <t xml:space="preserve">Group plan: page 1 done in Week 6; Boxes 3 to 8, plan check and teacher sign-off done today; kept in the group folder to Week 10</t>
  </si>
  <si>
    <t xml:space="preserve">Printed for Week 6 and kept in the group folders; reuse</t>
  </si>
  <si>
    <t xml:space="preserve">The designed frame has 5 A4 pages (the spec says two sides of A4 or one folded A3). Use a spare if a group's frame is lost.</t>
  </si>
  <si>
    <t xml:space="preserve">Laminate the class project board so it lasts Weeks 7 to 9</t>
  </si>
  <si>
    <t xml:space="preserve">Spec says 'laminated if possible'. Choose the marker to match: a permanent marker will not wipe off a laminated board.</t>
  </si>
  <si>
    <t xml:space="preserve">Hold each group's planning frame; returned in the Do Now; approved frame kept in it</t>
  </si>
  <si>
    <t xml:space="preserve">Bought for Week 6; reuse</t>
  </si>
  <si>
    <t xml:space="preserve">The Week 7 requisition lists 6 group folders again; they are the Week 6 folders, so no new order is needed.</t>
  </si>
  <si>
    <t xml:space="preserve">not stated (the kit card lists masking tape in each group's kit); rolls</t>
  </si>
  <si>
    <t xml:space="preserve">Fix each sample label to the flat foil tab of its trough</t>
  </si>
  <si>
    <t xml:space="preserve">The requisition has 6 rolls (one per group); groups could share fewer.</t>
  </si>
  <si>
    <t xml:space="preserve">Sample labels (pencil only: pen runs when wet), worksheet and planning frame</t>
  </si>
  <si>
    <t xml:space="preserve">The kit card lists pencils per group with no number; the requisition lists 6 pencils again although the Week 1 class set covers this.</t>
  </si>
  <si>
    <t xml:space="preserve">Label the fibre portions and spare-fibre bags; teacher writes on the class project board</t>
  </si>
  <si>
    <t xml:space="preserve">Week 6 marker; reuse</t>
  </si>
  <si>
    <t xml:space="preserve">The file names a marker for the board but gives no number.</t>
  </si>
  <si>
    <t xml:space="preserve">Group role cards with duties (6 cards per set, including the language buddy card, laminated)</t>
  </si>
  <si>
    <t xml:space="preserve">Roles split the planning frame: Lead Scientist question and prediction, Measurer variables and method, Safety Officer risks, Recorder results table, Reporter checks; language buddy card for Band 1</t>
  </si>
  <si>
    <t xml:space="preserve">Printed and laminated with the language support pack; reuse</t>
  </si>
  <si>
    <t xml:space="preserve">Frames on group tables for the prediction and control variables ('I predict ___ because ___.', 'We must keep ___ the same because ___.')</t>
  </si>
  <si>
    <t xml:space="preserve">Printed with the language support pack; reuse</t>
  </si>
  <si>
    <t xml:space="preserve">Not named in the Week 7 file, and the frame bank has no Week 7 row; today's own frames are on the slides and the planning frame.</t>
  </si>
  <si>
    <t xml:space="preserve">Given out in Week 1 (28 printed: 24 plus 4 spares); reuse</t>
  </si>
  <si>
    <t xml:space="preserve">Not named in the Week 7 file; the Teacher Guide says it is open in every lesson.</t>
  </si>
  <si>
    <t xml:space="preserve">Weekly logbook line, if time</t>
  </si>
  <si>
    <t xml:space="preserve">Not named in the Week 7 file, and the 4-minute Think and Reflect has no logbook slot; the Teacher Guide asks for a line every lesson.</t>
  </si>
  <si>
    <t xml:space="preserve">Holds the logbooks between lessons</t>
  </si>
  <si>
    <t xml:space="preserve">Measure 12 ml of water per strip (2 per group)</t>
  </si>
  <si>
    <t xml:space="preserve">Week 6 (Plan A) used 6 and the Week 5 strip trial 1, so about 5 more are needed, or use 20 ml syringes without needles.</t>
  </si>
  <si>
    <t xml:space="preserve">Small mixing cups</t>
  </si>
  <si>
    <t xml:space="preserve">Mix 12 ml of water with the fibre portion (3 per group)</t>
  </si>
  <si>
    <t xml:space="preserve">Rinsed at clean-up. The requisition line 'Plastic cups 24' covers these 18 and the 6 water cups; the 30 plastic cups from Week 6 could be rinsed and reused.</t>
  </si>
  <si>
    <t xml:space="preserve">Cup for water, about 200 ml</t>
  </si>
  <si>
    <t xml:space="preserve">One cup of water per group to measure from</t>
  </si>
  <si>
    <t xml:space="preserve">Part of the requisition line 'Plastic cups 24'.</t>
  </si>
  <si>
    <t xml:space="preserve">Teaspoons</t>
  </si>
  <si>
    <t xml:space="preserve">Plan A: stir and spread the fibres along the trough; Plan B: press and smooth the dough (3 per group)</t>
  </si>
  <si>
    <t xml:space="preserve">Rinsed at clean-up.</t>
  </si>
  <si>
    <t xml:space="preserve">Flat tray to hold 9 troughs (for example a baking tray, or a stiff card on a tray)</t>
  </si>
  <si>
    <t xml:space="preserve">Each group's troughs sit flat and level; carried by the teacher to the freezer (Plan A) or the drying shelf (Plan B)</t>
  </si>
  <si>
    <t xml:space="preserve">Week 6 kit trays, if flat and they fit the freezer</t>
  </si>
  <si>
    <t xml:space="preserve">The kit card also says the class's 54 strips fit on two shallow trays in one freezer drawer: decide whether the 6 group trays go into the freezer or the troughs are moved onto two shallow trays.</t>
  </si>
  <si>
    <t xml:space="preserve">Pre-portion the fibres; Plan B: weigh 54 dough balls at 18 g</t>
  </si>
  <si>
    <t xml:space="preserve">On the Week 5 requisition for the strip trial; reuse</t>
  </si>
  <si>
    <t xml:space="preserve">Listed again in the Week 7 requisition; the Week 5 trial scale will do.</t>
  </si>
  <si>
    <t xml:space="preserve">Fill the six cups of about 200 ml (about 1.2 litres of tap water)</t>
  </si>
  <si>
    <t xml:space="preserve">Week 5 strip trial jug; reuse</t>
  </si>
  <si>
    <t xml:space="preserve">Not on the kit card; the Teacher Guide Week 6 prep row names a measuring jug. Listed again in the Week 7 requisition.</t>
  </si>
  <si>
    <t xml:space="preserve">Mop and bucket</t>
  </si>
  <si>
    <t xml:space="preserve">Mop spills straight away so no one slips; floor wiped at clean-up</t>
  </si>
  <si>
    <t xml:space="preserve">Week 6; reuse</t>
  </si>
  <si>
    <t xml:space="preserve">Listed again in the Week 7 requisition; the same set as Week 6.</t>
  </si>
  <si>
    <t xml:space="preserve">Freezer drawer (space for 54 thin strips on trays)</t>
  </si>
  <si>
    <t xml:space="preserve">Freeze the strips flat and level for at least 24 hours, until the Week 8 lesson</t>
  </si>
  <si>
    <t xml:space="preserve">The Teacher Guide Week 6 row says about 36 samples; the kit card's 54 is used. Each class needs its own space.</t>
  </si>
  <si>
    <t xml:space="preserve">Dry shelf (room for two shallow trays for one week)</t>
  </si>
  <si>
    <t xml:space="preserve">shelf</t>
  </si>
  <si>
    <t xml:space="preserve">Air-dry the dough strips for a week, away from sinks and very hot radiators</t>
  </si>
  <si>
    <t xml:space="preserve">Each class needs its own space until Week 8.</t>
  </si>
  <si>
    <t xml:space="preserve">Large mixing bowl and a cup measure (for the salt dough)</t>
  </si>
  <si>
    <t xml:space="preserve">not stated (a bowl and a cup measure are implied by the recipe); sets</t>
  </si>
  <si>
    <t xml:space="preserve">Mix and knead 2 batches of salt dough on the morning of the lesson</t>
  </si>
  <si>
    <t xml:space="preserve">Not on the kit card; may come from the canteen if it makes the dough.</t>
  </si>
  <si>
    <t xml:space="preserve">Untreated natural wood sawdust (or pet-bedding wood shavings)</t>
  </si>
  <si>
    <t xml:space="preserve">not stated: depends on the approved plans; g</t>
  </si>
  <si>
    <t xml:space="preserve">Fibre: 0.6 g per strip in a fibre-type test; 0.3, 0.6 or 0.9 g per strip in an amount test; kept damp in a sealed bag</t>
  </si>
  <si>
    <t xml:space="preserve">Never MDF dust. The requisition buys 30 g as an upper limit (18 x 0.9 g and 18 x 0.6 g in 9 g and 6 g batches, plus spare). Buy in Week 6.</t>
  </si>
  <si>
    <t xml:space="preserve">Paper tissues</t>
  </si>
  <si>
    <t xml:space="preserve">Fibre, torn into 5 mm pieces: 0.6 g per strip</t>
  </si>
  <si>
    <t xml:space="preserve">The requisition has 12 g (up to 18 portions).</t>
  </si>
  <si>
    <t xml:space="preserve">Shredded paper, finely shredded</t>
  </si>
  <si>
    <t xml:space="preserve">Fibre: 0.6 g per strip</t>
  </si>
  <si>
    <t xml:space="preserve">The requisition has 12 g (up to 18 portions); collect from an office shredder.</t>
  </si>
  <si>
    <t xml:space="preserve">Cotton wool</t>
  </si>
  <si>
    <t xml:space="preserve">Fibre, pulled apart: 0.6 g per strip</t>
  </si>
  <si>
    <t xml:space="preserve">Aluminium kitchen foil</t>
  </si>
  <si>
    <t xml:space="preserve">pieces about 20 cm x 10 cm (about 1.2 square metres in all)</t>
  </si>
  <si>
    <t xml:space="preserve">Fold into 60 troughs (10 per group: 9 plus 1 spare)</t>
  </si>
  <si>
    <t xml:space="preserve">The strip trial troughs are on the Week 5 list, not here.</t>
  </si>
  <si>
    <t xml:space="preserve">Small paper cups (or paper twists) for fibre portions</t>
  </si>
  <si>
    <t xml:space="preserve">Hold each pre-portioned, labelled fibre portion (at most 36: 6 per group, as control samples need none)</t>
  </si>
  <si>
    <t xml:space="preserve">Paper twists of scrap paper also work.</t>
  </si>
  <si>
    <t xml:space="preserve">Zip-lock bags, small, for dough balls</t>
  </si>
  <si>
    <t xml:space="preserve">One 18 g ball of salt dough per bag (9 per group); students knead the fibre in with the bag closed</t>
  </si>
  <si>
    <t xml:space="preserve">The requisition line of 58 bags covers these 54 and 4 spare-fibre bags. Spare dough balls need more bags (number not stated).</t>
  </si>
  <si>
    <t xml:space="preserve">Sealable bags for spare fibre</t>
  </si>
  <si>
    <t xml:space="preserve">not stated (the kit card says 'labelled bags'; one per fibre type would be 4); bags</t>
  </si>
  <si>
    <t xml:space="preserve">Spare fibre on the teacher desk in labelled bags; sawdust kept damp in its sealed bag</t>
  </si>
  <si>
    <t xml:space="preserve">Part of the requisition's 58 zip-lock bags, which allows 4 (one per fibre type).</t>
  </si>
  <si>
    <t xml:space="preserve">Spills and wiping (4 per group)</t>
  </si>
  <si>
    <t xml:space="preserve">g</t>
  </si>
  <si>
    <t xml:space="preserve">2 batches of salt dough, each 2 cups (about 250 g), with about 1 cup (240 ml) of water per batch</t>
  </si>
  <si>
    <t xml:space="preserve">The Week 5 trial dough is on the Week 5 list, not here. Check the allergy list before anyone handles flour.</t>
  </si>
  <si>
    <t xml:space="preserve">2 batches of salt dough, each 1 cup (about 290 g)</t>
  </si>
  <si>
    <t xml:space="preserve">Damp cloth for wiping tables</t>
  </si>
  <si>
    <t xml:space="preserve">cloth</t>
  </si>
  <si>
    <t xml:space="preserve">Clean-up after the dough work</t>
  </si>
  <si>
    <t xml:space="preserve">Trough template block (12 cm x 2 cm wood offcut, or a stack of rulers taped together)</t>
  </si>
  <si>
    <t xml:space="preserve">Every trough is folded round the same block, so every strip has the same width</t>
  </si>
  <si>
    <t xml:space="preserve">Made for the Week 5 strip trial; reuse</t>
  </si>
  <si>
    <t xml:space="preserve">The Week 7 requisition lists a wood offcut and the block again, but it is the Week 5 block, so no new order. Keep for next year.</t>
  </si>
  <si>
    <t xml:space="preserve">Foil troughs (12 cm x 2 cm inside, sides about 1.5 cm high, 3 cm flat tab at one end)</t>
  </si>
  <si>
    <t xml:space="preserve">Moulds for the strips: 10 per group (9 plus 1 spare)</t>
  </si>
  <si>
    <t xml:space="preserve">Pre-portioned, labelled fibre portions</t>
  </si>
  <si>
    <t xml:space="preserve">portions (at most: 6 per group)</t>
  </si>
  <si>
    <t xml:space="preserve">Each group's fibre to match its plan (for example 'Sawdust 0.6 g' x 3); control samples need none</t>
  </si>
  <si>
    <t xml:space="preserve">Portioned before the plans are approved in the lesson: work from the Week 6 page 1 drafts and keep spare fibre for changes. If the trial moved to thinner strips, use the scaled doses (0.4 g; or 0, 0.2, 0.4 and 0.6 g).</t>
  </si>
  <si>
    <t xml:space="preserve">Salt dough balls, 18 g, each in its own small zip-lock bag</t>
  </si>
  <si>
    <t xml:space="preserve">One ball per strip, 9 per group</t>
  </si>
  <si>
    <t xml:space="preserve">Made on the morning of the lesson. Spares not stated; 2 batches (about 1,560 g of dough) give plenty. Use 12 g balls if the trial moved to thinner strips.</t>
  </si>
  <si>
    <t xml:space="preserve">Strip trial result (3 plain trial strips tested on the Week 8 rig, 10 cm span, 25 ml pours)</t>
  </si>
  <si>
    <t xml:space="preserve">strips (tested before this lesson)</t>
  </si>
  <si>
    <t xml:space="preserve">Essential trial: sets the strip size (Plan A 12 ml or 8 ml of water; Plan B 18 g or 12 g balls) and the Week 8 span (10 cm or 8 cm)</t>
  </si>
  <si>
    <t xml:space="preserve">Made and tested in Week 5 (Plan B must be Week 5 so the strips dry); the trial kit is on the Week 5 list and requisition</t>
  </si>
  <si>
    <t xml:space="preserve">Nothing new to buy this week. The Teacher Guide Week 5 row says two strips; the kit card's three is used (Week 5 makes five: three to test, two kept for the Week 8 Hook).</t>
  </si>
  <si>
    <t xml:space="preserve">Plan sheet (worksheet): Core a) to f), Stretch, Challenge, My thinking, fold-under word bank, exit ticket strip and kit request box</t>
  </si>
  <si>
    <t xml:space="preserve">Main task for the Do phase: each student completes their own copy of the group's agreed plan; checkpoint stamp boxes on page 1; exit ticket and kit request on page 4</t>
  </si>
  <si>
    <t xml:space="preserve">Kit card: plan sheets, 4 per group (24). No spares stated. Lesson file Section 3 says 'two sides', but the designed plan sheet is 4 A4 pages (pages 1 to 3 say 'turn over'), so 24 x 2 = 48 sheets. Printed double-sided, page 3 is on the back of page 4: the first cut line on page 4 sits a little under halfway down, so cutting off the exit ticket also cuts away the lower half of page 3 (Stretch c and all of Challenge); cutting off only the kit request cuts away Challenge b and c. The kit request is meant to be one per group (Safety Officer) but is printed on every copy. Plan sheets are collected, returned with comments in the Week 8 Do Now (Week 8 file), then go into the case file. Print only from the designs rebuilt after the language pass.</t>
  </si>
  <si>
    <t xml:space="preserve">Option cards: Soil, Paper, Ink 2, Powder 2 (story hook, question, samples, picture method steps, main hazards, Think about)</t>
  </si>
  <si>
    <t xml:space="preserve">copies; 1 A4 page each, single-sided; 6 group copies (1 per group, its own option) plus 4 spares (1 of each option)</t>
  </si>
  <si>
    <t xml:space="preserve">Hook: each group reads its story hook and question; Do: groups copy the question, samples and hazards and put the lettered method steps in order</t>
  </si>
  <si>
    <t xml:space="preserve">Print after allocating options ('1 per group taking that option, plus 1 spare of each'). With six groups, every option at least once and no more than two groups per option, the split is always 2, 2, 1, 1, so 3, 3, 2 and 2 copies (10). Laminate if possible. Keep them: the Week 8 file says the Week 7 option card stays on the table beside the plan sheet on lab day.</t>
  </si>
  <si>
    <t xml:space="preserve">Kit card: Week 7 planning lesson (half-A4, teacher copy)</t>
  </si>
  <si>
    <t xml:space="preserve">Per-group kit, teacher prep, hazards and controls, clean-up</t>
  </si>
  <si>
    <t xml:space="preserve">Marked 'Teacher copy'. No print count is stated; 1 teacher copy assumed.</t>
  </si>
  <si>
    <t xml:space="preserve">Week 8 kit lists by option: Soil, Paper, Ink 2, Powder 2 (teacher copy)</t>
  </si>
  <si>
    <t xml:space="preserve">set; 4 A5 pages (one per option), single-sided</t>
  </si>
  <si>
    <t xml:space="preserve">Teacher reference for checking kit requests against what each option needs in Week 8</t>
  </si>
  <si>
    <t xml:space="preserve">Titled 'Week 8 kit list by option: plan with these' and marked 'Teacher copy'. No print count is stated; 1 teacher set assumed. The lesson file specifies them as half-A4, so they can also go 2 per A4 sheet (2 sheets). The full Week 8 kit cards in the Week 8 file take priority.</t>
  </si>
  <si>
    <t xml:space="preserve">Laminating the 10 option cards</t>
  </si>
  <si>
    <t xml:space="preserve">The print spec says 'laminated if possible'.</t>
  </si>
  <si>
    <t xml:space="preserve">Labelling the sealed Evidence 6, Evidence 7 and Evidence 3 bags</t>
  </si>
  <si>
    <t xml:space="preserve">Label text: 'Evidence 6' and 'Evidence 7' (kit card and Case Bible Section 12); 'Evidence 3: white powder, floor by desk (F4)' as in Week 4. Up to 2 of each; with a 2, 2, 1, 1 split no class needs more than 5.</t>
  </si>
  <si>
    <t xml:space="preserve">Clear plastic sleeves</t>
  </si>
  <si>
    <t xml:space="preserve">sleeves</t>
  </si>
  <si>
    <t xml:space="preserve">Holding a note ink strip N for each Ink 2 group to look at</t>
  </si>
  <si>
    <t xml:space="preserve">1 per Ink 2 group, no more than 2 groups.</t>
  </si>
  <si>
    <t xml:space="preserve">Dry-wipe pens for mini whiteboards</t>
  </si>
  <si>
    <t xml:space="preserve">Do Now recap answers</t>
  </si>
  <si>
    <t xml:space="preserve">Kit card: mini whiteboards and pens, 4 per group. Students may answer in the logbook instead.</t>
  </si>
  <si>
    <t xml:space="preserve">Writing the plan sheet, exit ticket and kit request</t>
  </si>
  <si>
    <t xml:space="preserve">Case files (A4 folder per student, with the Week 4 results grid and the evidence log)</t>
  </si>
  <si>
    <t xml:space="preserve">Powder 2 groups use the Week 4 results grid as a reference; evidence log row 7; the plan sheet is filed here</t>
  </si>
  <si>
    <t xml:space="preserve">Planning roles: Lead Scientist keeps time, Recorder writes the group copy, Safety Officer leads the risk table and kit request, Measurer plans measurements, Reporter explains the plan</t>
  </si>
  <si>
    <t xml:space="preserve">Week 7 frames on group tables: 'I change ___. I measure ___. I keep ___ the same.' and 'I predict ___ because ___.'</t>
  </si>
  <si>
    <t xml:space="preserve">Not named in the Week 7 lesson file; the Teacher Guide says the dictionary is open in every lesson.</t>
  </si>
  <si>
    <t xml:space="preserve">Do Now answers if no whiteboards; one line under 'What I found' if time allows (otherwise evidence log row 7 counts)</t>
  </si>
  <si>
    <t xml:space="preserve">Mini whiteboards</t>
  </si>
  <si>
    <t xml:space="preserve">boards</t>
  </si>
  <si>
    <t xml:space="preserve">Do Now: three recap questions</t>
  </si>
  <si>
    <t xml:space="preserve">Kit card: 4 per group. First Year 8 lesson to use them; the school may already have a class set. Students may answer in the logbook instead.</t>
  </si>
  <si>
    <t xml:space="preserve">Sealed evidence bags, 1 per group: Evidence 6 (Soil groups), Evidence 7 (Paper groups), Evidence 3 (Powder 2 groups)</t>
  </si>
  <si>
    <t xml:space="preserve">Up to 2 of each type (6), but because at least one group takes Ink 2, no class uses more than 5. Reuse a Week 4 Evidence 3 bag only if it is still sealed.</t>
  </si>
  <si>
    <t xml:space="preserve">Case files and logbooks out at the start and back at the end</t>
  </si>
  <si>
    <t xml:space="preserve">Pen B (black washable felt-tip that wrote the note)</t>
  </si>
  <si>
    <t xml:space="preserve">Making new note ink strips N, only if the 2 Week 3 spares are gone</t>
  </si>
  <si>
    <t xml:space="preserve">Bought and pre-tested before Week 1; kept with pens A to D</t>
  </si>
  <si>
    <t xml:space="preserve">Never leave pen B on a student table (Case Bible Section 11).</t>
  </si>
  <si>
    <t xml:space="preserve">New note ink strips N for the Ink 2 groups, only if the Week 3 spares are gone</t>
  </si>
  <si>
    <t xml:space="preserve">Coffee filters bought before Week 1 (Week 3 stock)</t>
  </si>
  <si>
    <t xml:space="preserve">The requisition lists 2 strips, but they come from the existing coffee-filter stock; no new order needed.</t>
  </si>
  <si>
    <t xml:space="preserve">Reference samples to show groups: soils A to D (A flowerbed by the science block entrance, B sports field edge, C sandpit, D tree bed by the main gate) and papers P1 to P4 (lab paper towel, canteen napkin, tissue, shop kitchen roll)</t>
  </si>
  <si>
    <t xml:space="preserve">not stated for Week 7 (the Week 8 kit card collects about 2 cups of each soil; each Soil group uses about 4 tablespoons of each, and each Paper group needs enough of each paper for 3 strips); samples</t>
  </si>
  <si>
    <t xml:space="preserve">Kit card: 'collect the reference soils and papers now if possible, so groups can see them' while planning</t>
  </si>
  <si>
    <t xml:space="preserve">Listed in the Week 8 requisition (campus soil samples A to D, paper reference sets P1 to P4); collecting them now only moves that Week 8 task earlier, so do not order twice. No containers are named for Week 7.</t>
  </si>
  <si>
    <t xml:space="preserve">Making Evidence 7: one sheet per Paper group</t>
  </si>
  <si>
    <t xml:space="preserve">Must come from the lab's own roll (the same roll as reference P1), not a purchase. The same sheet is smoothed flat and cut into 3 strips 2 cm by 12 cm in Week 8, so take a full sheet.</t>
  </si>
  <si>
    <t xml:space="preserve">New sealed Evidence 3 bags for the Powder 2 groups, about 3 teaspoons per bag</t>
  </si>
  <si>
    <t xml:space="preserve">Only if no unopened Week 4 Evidence 3 bag is left. Use the Week 4 baking soda if any remains.</t>
  </si>
  <si>
    <t xml:space="preserve">Evidence 6: scene soil (a little soil from the flowerbed by the science block entrance) in a sealed bag labelled 'Evidence 6'</t>
  </si>
  <si>
    <t xml:space="preserve">sealed bags</t>
  </si>
  <si>
    <t xml:space="preserve">Hook reveal ('new evidence from the forensic team'), then on the Soil groups' tables to look at while planning</t>
  </si>
  <si>
    <t xml:space="preserve">Must come from the same flowerbed as reference A, or the Week 8 results will not match the Case Bible. The lesson file and kit card say a sealed bag; Case Bible Section 12 and the Teacher Guide prep calendar say a labelled jar. Bags stay sealed and go back to the teacher, so one set can serve every class (Week 8 uses a separate pot of Evidence 6 per Soil group).</t>
  </si>
  <si>
    <t xml:space="preserve">Evidence 7: scene paper towel (crumpled lab paper towel with a pencil arrow along the roll direction) in a sealed bag labelled 'Evidence 7'</t>
  </si>
  <si>
    <t xml:space="preserve">Hook reveal, then on the Paper groups' tables to look at while planning</t>
  </si>
  <si>
    <t xml:space="preserve">From the lab's own roll (reference P1); mark the arrow before crumpling. The same sheet is smoothed flat and cut into strips in Week 8, so if you teach more than one class, each class's Paper groups will need their own sheet by Week 8. Bags stay sealed and go back to the teacher.</t>
  </si>
  <si>
    <t xml:space="preserve">Evidence 3: scene powder (baking soda) in a sealed bag labelled 'Evidence 3: white powder, floor by desk (F4)'</t>
  </si>
  <si>
    <t xml:space="preserve">On the Powder 2 groups' tables to look at while planning</t>
  </si>
  <si>
    <t xml:space="preserve">An unopened Week 4 bag if one is left (most will have been opened in Week 4); otherwise a new bag of about 3 teaspoons of baking soda.</t>
  </si>
  <si>
    <t xml:space="preserve">Note ink strip N (pen B on a coffee-filter strip) in a clear sleeve</t>
  </si>
  <si>
    <t xml:space="preserve">On the Ink 2 groups' tables to look at while planning</t>
  </si>
  <si>
    <t xml:space="preserve">The 2 spare N strips from Week 3, if still unused</t>
  </si>
  <si>
    <t xml:space="preserve">The requisition lists 2 teacher-made strips; use the Week 3 spares first. If new ones are needed, make them as in Case Bible Section 11 (pencil line 2 cm from the bottom, 'N' at the top, dot pen B on the line three times).</t>
  </si>
  <si>
    <t xml:space="preserve">Worksheet, Plan A: Test day (group results sheet)</t>
  </si>
  <si>
    <t xml:space="preserve">copies; 5 A4 pages, double-sided (3 sheets), stapled</t>
  </si>
  <si>
    <t xml:space="preserve">Safety check, strength results table and melting results table with repeats and notes, How did it break?, Stretch, Challenge, My thinking, fold-under word bank and exit ticket (page 5). The Recorder's copy goes in the group folder for Week 9</t>
  </si>
  <si>
    <t xml:space="preserve">Designed as 5 A4 pages, but the lesson file expects one sheet that may run onto the back; check before printing 72 sheets. Page 5 holds only the exit ticket, so the third sheet has a blank back. Spares not stated.</t>
  </si>
  <si>
    <t xml:space="preserve">Worksheet, Plan B: Test day (group results sheet)</t>
  </si>
  <si>
    <t xml:space="preserve">copies; 4 A4 pages, double-sided (2 sheets), stapled</t>
  </si>
  <si>
    <t xml:space="preserve">Safety check, strength results table with repeats and notes, How did it break?, Stretch, Challenge, My thinking, fold-under word bank and exit ticket. The Recorder's copy goes in the group folder for Week 9</t>
  </si>
  <si>
    <t xml:space="preserve">The exit ticket is at the foot of page 4. Printed double-sided, cutting it off also cuts the foot of page 3 (Challenge b and its Ideas line). Check the layout before printing 48 sheets. Spares not stated.</t>
  </si>
  <si>
    <t xml:space="preserve">Kit card, Plan A: Test day, ice strips</t>
  </si>
  <si>
    <t xml:space="preserve">not stated; the card is marked Teacher copy, but the Safety Officer in each group reads its hazards aloud; copies; A5, 2 sides, double-sided</t>
  </si>
  <si>
    <t xml:space="preserve">Kit list per group and per class, teacher prep (side 2), bilingual hazards and clean-up</t>
  </si>
  <si>
    <t xml:space="preserve">Decide: 1 teacher copy, or 1 per group for the Safety Officers.</t>
  </si>
  <si>
    <t xml:space="preserve">Kit card, Plan B: Test day, dough strips</t>
  </si>
  <si>
    <t xml:space="preserve">Strength test rig labelled diagram (6a), A4 group copies</t>
  </si>
  <si>
    <t xml:space="preserve">copies; 1 A4 landscape page, single-sided, then laminated</t>
  </si>
  <si>
    <t xml:space="preserve">Bilingual diagram on each group table; groups (and Band 1 students) build the rig from it</t>
  </si>
  <si>
    <t xml:space="preserve">Laminated and reusable in future years, so print once for all classes.</t>
  </si>
  <si>
    <t xml:space="preserve">Strength test rig labelled diagram (6a), A3 board copy</t>
  </si>
  <si>
    <t xml:space="preserve">Board copy for the rig demonstration</t>
  </si>
  <si>
    <t xml:space="preserve">Melting test station card (6b)</t>
  </si>
  <si>
    <t xml:space="preserve">copies; 1 A5 landscape page, single-sided, then laminated</t>
  </si>
  <si>
    <t xml:space="preserve">Picture steps for the melting-test groups (up to two)</t>
  </si>
  <si>
    <t xml:space="preserve">The print spec says 2 per class; once laminated, the same pair can serve later classes.</t>
  </si>
  <si>
    <t xml:space="preserve">Laminate the 6 group copies of the rig diagram</t>
  </si>
  <si>
    <t xml:space="preserve">Laminate the 2 melting test station cards</t>
  </si>
  <si>
    <t xml:space="preserve">The requisition tags this line 'both'; only Plan A needs it.</t>
  </si>
  <si>
    <t xml:space="preserve">Group folder with the Week 7 planning frame</t>
  </si>
  <si>
    <t xml:space="preserve">Handed out in the Do Now; Band 1 students copy the Our test line from the planning frame; the Recorder's results sheet is stored in it for Week 9</t>
  </si>
  <si>
    <t xml:space="preserve">Folders and planning frames issued in Week 6; planning frame completed and approved in Week 7; reuse</t>
  </si>
  <si>
    <t xml:space="preserve">The requisition lists 6 group folders again this week (flagged reusable); no new order needed.</t>
  </si>
  <si>
    <t xml:space="preserve">Group role cards with duties (language support pack, 6 cards per set including the Language buddy card)</t>
  </si>
  <si>
    <t xml:space="preserve">Parallel roles on two rigs; the teacher checks role cards in the Do Now; the Band 1 student sits beside the language buddy</t>
  </si>
  <si>
    <t xml:space="preserve">Printed and laminated from the language support pack before Week 1; reuse</t>
  </si>
  <si>
    <t xml:space="preserve">Sentence frame card set, Year 7 Ice Engineers (A6)</t>
  </si>
  <si>
    <t xml:space="preserve">Pair talk in Think and Reflect with the frame 'The anomaly is ___ because ___.' (Slide 13); the set also has the Week 8 frame '___ is an anomaly because ___.'</t>
  </si>
  <si>
    <t xml:space="preserve">Printed from the language support pack before Week 1; reuse</t>
  </si>
  <si>
    <t xml:space="preserve">Class project board</t>
  </si>
  <si>
    <t xml:space="preserve">Shows the trial decision (strip thickness or span) and who tests what; Recorders copy their results onto it for Week 9 pooling</t>
  </si>
  <si>
    <t xml:space="preserve">Printed (A3) for Week 7 and on the wall since then; reuse</t>
  </si>
  <si>
    <t xml:space="preserve">Photograph it after the lesson, before it is wiped.</t>
  </si>
  <si>
    <t xml:space="preserve">String for the hanger strings</t>
  </si>
  <si>
    <t xml:space="preserve">lengths (one per hanger string: 2 per group plus 1 for the demo rig)</t>
  </si>
  <si>
    <t xml:space="preserve">Hanger strings: a loop about 20 cm round with a tail so the bag hangs about 5 cm above the bottom of the bucket</t>
  </si>
  <si>
    <t xml:space="preserve">Length per string not stated; set by testing on one pair of classroom desks.</t>
  </si>
  <si>
    <t xml:space="preserve">not stated; the requisition lists 1; pens</t>
  </si>
  <si>
    <t xml:space="preserve">Mark the 25 ml line on the pour cups; results written on the class project board</t>
  </si>
  <si>
    <t xml:space="preserve">The lesson file does not name a marker or a quantity (the Week 7 project board is written on in marker).</t>
  </si>
  <si>
    <t xml:space="preserve">Labelled ice strips on the group's tray (from the freezer)</t>
  </si>
  <si>
    <t xml:space="preserve">trays (one per group, about 9 labelled strips each, still in their foil troughs)</t>
  </si>
  <si>
    <t xml:space="preserve">The samples to test</t>
  </si>
  <si>
    <t xml:space="preserve">Made in the Week 7 lesson and frozen for at least 24 hours; reuse</t>
  </si>
  <si>
    <t xml:space="preserve">Labelled dough strips on the group's tray (from the drying shelf)</t>
  </si>
  <si>
    <t xml:space="preserve">trays (one per group, about 9 labelled strips each)</t>
  </si>
  <si>
    <t xml:space="preserve">Made in the Week 7 lesson and air-dried for a week; reuse</t>
  </si>
  <si>
    <t xml:space="preserve">Strips must feel hard, not soft, before testing.</t>
  </si>
  <si>
    <t xml:space="preserve">Freezer drawer holding the class's ice strips</t>
  </si>
  <si>
    <t xml:space="preserve">Strips stay frozen until just before the lesson, then move into the insulated boxes</t>
  </si>
  <si>
    <t xml:space="preserve">Booked in Week 6, cleared and labelled in Week 7; in use since the Week 7 lesson; reuse</t>
  </si>
  <si>
    <t xml:space="preserve">The requisition lists it again this week (Freezer space, 1 drawer); no new booking needed if it is still held.</t>
  </si>
  <si>
    <t xml:space="preserve">Drying shelf holding the class's dough strips</t>
  </si>
  <si>
    <t xml:space="preserve">Strips stay on the shelf until they are handed out at the start of the lesson</t>
  </si>
  <si>
    <t xml:space="preserve">Set up for the Week 7 lesson; reuse</t>
  </si>
  <si>
    <t xml:space="preserve">The requisition lists it again this week (Dry shelf, 1 shelf).</t>
  </si>
  <si>
    <t xml:space="preserve">Flat trays carrying each group's samples</t>
  </si>
  <si>
    <t xml:space="preserve">Carry each group's strips to its table</t>
  </si>
  <si>
    <t xml:space="preserve">Week 7 flat trays (the samples are still on them); reuse</t>
  </si>
  <si>
    <t xml:space="preserve">The requisition lists 6 trays again this week (flagged reusable); no new order needed.</t>
  </si>
  <si>
    <t xml:space="preserve">Each group's kit set out before students arrive (Do Now resource: kit tray)</t>
  </si>
  <si>
    <t xml:space="preserve">Group kit trays used in every practical (Teacher Guide routine); reuse</t>
  </si>
  <si>
    <t xml:space="preserve">Books and buckets will not fit on a tray; set them beside it.</t>
  </si>
  <si>
    <t xml:space="preserve">Cool box (insulated box with lid)</t>
  </si>
  <si>
    <t xml:space="preserve">boxes (1 per group)</t>
  </si>
  <si>
    <t xml:space="preserve">Keeps each group's tray of ice strips cold from the freezer until each strip is tested</t>
  </si>
  <si>
    <t xml:space="preserve">Week 6 used one cool box; 6 are needed. Use bubble-wrapped boxes (below) if short.</t>
  </si>
  <si>
    <t xml:space="preserve">Box with a lid, to wrap in bubble wrap</t>
  </si>
  <si>
    <t xml:space="preserve">boxes</t>
  </si>
  <si>
    <t xml:space="preserve">Alternative insulated box if cool boxes are short</t>
  </si>
  <si>
    <t xml:space="preserve">Only if cool boxes are short.</t>
  </si>
  <si>
    <t xml:space="preserve">Bubble wrap</t>
  </si>
  <si>
    <t xml:space="preserve">not stated; enough to wrap up to 6 boxes; box wraps</t>
  </si>
  <si>
    <t xml:space="preserve">Wrap the alternative insulated boxes</t>
  </si>
  <si>
    <t xml:space="preserve">Week 6 bubble wrap; reuse if there is enough</t>
  </si>
  <si>
    <t xml:space="preserve">The requisition tags it 'both'; Plan A only. The Week 6 Plan A pieces were small (15 cm squares for three groups), so more may be needed.</t>
  </si>
  <si>
    <t xml:space="preserve">books (about 12 per group for 4 stacks of 3, plus 6 for the demo rig)</t>
  </si>
  <si>
    <t xml:space="preserve">Two equal stacks at the gap edges for each rig</t>
  </si>
  <si>
    <t xml:space="preserve">Students' own books are fine. Plan A melting groups (up to 2) need no rigs; the quantity covers 6 strength groups.</t>
  </si>
  <si>
    <t xml:space="preserve">bags (2 per group)</t>
  </si>
  <si>
    <t xml:space="preserve">Keep the top books dry under the ice strips</t>
  </si>
  <si>
    <t xml:space="preserve">The Plan B kit card leaves these out, but the shared rig diagram and Slide 5 show the top books covered; decide whether Plan B needs 12 too.</t>
  </si>
  <si>
    <t xml:space="preserve">Small carrier bags or freezer bags with handles</t>
  </si>
  <si>
    <t xml:space="preserve">bags (2 per group plus 1 for the demo rig)</t>
  </si>
  <si>
    <t xml:space="preserve">The bag that hangs from the strip and takes the water load</t>
  </si>
  <si>
    <t xml:space="preserve">Buckets or deep washing-up bowls (catch trays)</t>
  </si>
  <si>
    <t xml:space="preserve">buckets (2 per group plus 1 for the demo rig)</t>
  </si>
  <si>
    <t xml:space="preserve">Catch tray under every hanging bag</t>
  </si>
  <si>
    <t xml:space="preserve">Plastic cups (to make the pour cups)</t>
  </si>
  <si>
    <t xml:space="preserve">cups (2 per group)</t>
  </si>
  <si>
    <t xml:space="preserve">Marked at 25 ml for pouring the load</t>
  </si>
  <si>
    <t xml:space="preserve">jugs (1 per group)</t>
  </si>
  <si>
    <t xml:space="preserve">Water supply for the pours; water from the bags goes back into it, then the sink</t>
  </si>
  <si>
    <t xml:space="preserve">Waste bowl</t>
  </si>
  <si>
    <t xml:space="preserve">bowls (1 per group)</t>
  </si>
  <si>
    <t xml:space="preserve">Broken strips (and melted samples) go here, then the bin, not the sink</t>
  </si>
  <si>
    <t xml:space="preserve">rulers (1 per group plus 1 for the teacher's demo rig)</t>
  </si>
  <si>
    <t xml:space="preserve">Check the 10 cm span every time</t>
  </si>
  <si>
    <t xml:space="preserve">The requisition lists 6; the 7th is for the demo rig (Slide 5 notes), and any classroom ruler will do. The lesson file says only 'ruler'.</t>
  </si>
  <si>
    <t xml:space="preserve">Measuring cylinder, 25 ml</t>
  </si>
  <si>
    <t xml:space="preserve">Mark the 25 ml line on the 12 pour cups</t>
  </si>
  <si>
    <t xml:space="preserve">The lesson file says only 'a measuring cylinder'; the 25 ml size comes from the requisition (Week 7 groups used 25 ml cylinders).</t>
  </si>
  <si>
    <t xml:space="preserve">Measuring cylinder, 10 ml</t>
  </si>
  <si>
    <t xml:space="preserve">cylinders (1 per melting group, up to 2)</t>
  </si>
  <si>
    <t xml:space="preserve">Read each lid's meltwater to the nearest 0.5 ml</t>
  </si>
  <si>
    <t xml:space="preserve">Identical plastic lids or saucers</t>
  </si>
  <si>
    <t xml:space="preserve">lids (10 per melting group, up to 2)</t>
  </si>
  <si>
    <t xml:space="preserve">One strip melts on each lid for 15 minutes</t>
  </si>
  <si>
    <t xml:space="preserve">Stopwatch</t>
  </si>
  <si>
    <t xml:space="preserve">stopwatches (1 per melting group, up to 2)</t>
  </si>
  <si>
    <t xml:space="preserve">Time the 15-minute melting test</t>
  </si>
  <si>
    <t xml:space="preserve">The requisition tags it 'both'; only Plan A melting groups need it.</t>
  </si>
  <si>
    <t xml:space="preserve">Towels (cloth)</t>
  </si>
  <si>
    <t xml:space="preserve">towels (2 per group plus 1 for the teacher)</t>
  </si>
  <si>
    <t xml:space="preserve">Towels on every table; the teacher circulates with one in the Do phase</t>
  </si>
  <si>
    <t xml:space="preserve">Near the door; mop spills at once (a wet floor is the biggest risk today)</t>
  </si>
  <si>
    <t xml:space="preserve">Tap water</t>
  </si>
  <si>
    <t xml:space="preserve">litres (about 2 litres per group jug)</t>
  </si>
  <si>
    <t xml:space="preserve">The load poured into the bags, 25 ml at a time</t>
  </si>
  <si>
    <t xml:space="preserve">Disposable gloves</t>
  </si>
  <si>
    <t xml:space="preserve">pairs (3 per group)</t>
  </si>
  <si>
    <t xml:space="preserve">Peeling foil off the strips and holding ice for more than a minute</t>
  </si>
  <si>
    <t xml:space="preserve">not stated (kit card says 'plus paper towels'); the requisition lists 1 roll; rolls</t>
  </si>
  <si>
    <t xml:space="preserve">Mopping small spills alongside the cloth towels</t>
  </si>
  <si>
    <t xml:space="preserve">No amount given in the lesson file.</t>
  </si>
  <si>
    <t xml:space="preserve">Pre-tied hanger strings</t>
  </si>
  <si>
    <t xml:space="preserve">strings (2 per group plus 1 for the demo rig)</t>
  </si>
  <si>
    <t xml:space="preserve">Loop over the strip with a tail tied to both bag handles</t>
  </si>
  <si>
    <t xml:space="preserve">Test the length on one pair of classroom desks so the bag hangs about 5 cm above the bucket bottom.</t>
  </si>
  <si>
    <t xml:space="preserve">Pour cups marked at 25 ml</t>
  </si>
  <si>
    <t xml:space="preserve">Fill to the line for each 25 ml pour</t>
  </si>
  <si>
    <t xml:space="preserve">Made from the 12 plastic cups above, marked with the measuring cylinder and the marker.</t>
  </si>
  <si>
    <t xml:space="preserve">Spare strips for the Hook (from the trial batch)</t>
  </si>
  <si>
    <t xml:space="preserve">Held up in the Hook: which will hold more water, and how will each break?</t>
  </si>
  <si>
    <t xml:space="preserve">From the strip trial batch (Plan A: frozen in Week 5 or 6; Plan B: made in Week 5 and dried); reuse</t>
  </si>
  <si>
    <t xml:space="preserve">The kit card and requisition say 2 plain strips, but Slides 3 and 4 hold up one plain and one fibre strip. The Week 7 trial tests all its plain strips on the rig, so check spares exist.</t>
  </si>
  <si>
    <t xml:space="preserve">Worksheet: Core a) to e), Stretch, Challenge, My thinking, fold-under word bank and exit ticket strip</t>
  </si>
  <si>
    <t xml:space="preserve">copies; 3 A4 pages: pages 1 and 2 double-sided, page 3 single-sided</t>
  </si>
  <si>
    <t xml:space="preserve">Individual record of the group's result: match sentence, suspects ruled in or out, repeats, anomaly, strength; exit ticket cut from the foot of page 3</t>
  </si>
  <si>
    <t xml:space="preserve">One per student; no spares stated. The design is 3 A4 pages (pages 1 and 2 say 'turn over'): print pages 1 and 2 on one sheet and page 3 on its own sheet, because the exit ticket is cut from its foot. 24 x 2 = 48 sheets. Goes into the case file (rubric strand 3 and part of strand 4). Print only from the design rebuilt after the language pass (Teacher Guide prep calendar).</t>
  </si>
  <si>
    <t xml:space="preserve">Group recording sheets: Soil (6.2), Paper (6.3), Ink 2 (6.4), Powder 2 (6.5)</t>
  </si>
  <si>
    <t xml:space="preserve">copies; 2 A4 pages each, double-sided; 1 per group for its own option plus 1 spare of each option</t>
  </si>
  <si>
    <t xml:space="preserve">The group's full results, recorded straight away by the Recorder; Paper and Ink 2 groups stick dry strips in the strip box on page 2</t>
  </si>
  <si>
    <t xml:space="preserve">Lesson file: 1 per group doing the option plus 1 spare. With six groups, every option at least once and no more than two per option (Week 7 allocation rule), the split is always 2, 2, 1, 1, so 3, 3, 2 and 2 copies (10 sheets). If printing before the options are allocated, print 3 of each (12). Page 1 of each says 'turn over'. Goes into the case file (main rubric evidence for strand 3).</t>
  </si>
  <si>
    <t xml:space="preserve">Kit cards: Soil, Paper, Ink 2, Powder 2 (half-A4)</t>
  </si>
  <si>
    <t xml:space="preserve">copies; A5, single-sided (or 2 per A4 sheet); 1 per group for its own option plus 1 of each option for the teacher's file</t>
  </si>
  <si>
    <t xml:space="preserve">Safety Officer reads the kit list and hazards aloud in the Do Now; group checks its tray; clean-up steps</t>
  </si>
  <si>
    <r>
      <rPr>
        <sz val="10"/>
        <color rgb="FF00235F"/>
        <rFont val="Arial"/>
        <family val="0"/>
        <charset val="1"/>
      </rPr>
      <t xml:space="preserve">Lesson file: print each card for every group doing that option, plus one for the teacher's file (6 + 4 = 10). The designed cards are marked 'Teacher copy </t>
    </r>
    <r>
      <rPr>
        <sz val="10"/>
        <color rgb="FF00235F"/>
        <rFont val="WenQuanYi Zen Hei"/>
        <family val="2"/>
      </rPr>
      <t xml:space="preserve">教师用</t>
    </r>
    <r>
      <rPr>
        <sz val="10"/>
        <color rgb="FF00235F"/>
        <rFont val="Arial"/>
        <family val="0"/>
        <charset val="1"/>
      </rPr>
      <t xml:space="preserve">', which does not suit the group copies. Cards are not written on, so they can serve later classes.</t>
    </r>
  </si>
  <si>
    <t xml:space="preserve">Lab day run sheet (6.1), A4 landscape, teacher copy</t>
  </si>
  <si>
    <t xml:space="preserve">Teacher's clipboard: whole-lesson clock and the Do phase minute by minute for each option, with checkpoints at Do minutes 6, 12, 18 and 21</t>
  </si>
  <si>
    <t xml:space="preserve">One copy can serve every class.</t>
  </si>
  <si>
    <t xml:space="preserve">Lab day run sheet (6.1), enlarged A3 copy for the wall</t>
  </si>
  <si>
    <t xml:space="preserve">copy; 1 A3 page, single-sided</t>
  </si>
  <si>
    <t xml:space="preserve">On the wall so groups can follow the checkpoints</t>
  </si>
  <si>
    <t xml:space="preserve">The requisition lists it as 1 A3 sheet ('A3 printing'). One copy can stay up for every class.</t>
  </si>
  <si>
    <t xml:space="preserve">Backup lab report cards (6.6): Soil, Paper, Ink 2, Powder 2 (4 A6 cards on one A4 sheet, cut lines)</t>
  </si>
  <si>
    <t xml:space="preserve">sheet; 1 A4 page, single-sided, cut into 4 cards</t>
  </si>
  <si>
    <t xml:space="preserve">Teacher only: handed to a group only if its own test failed, as a second source</t>
  </si>
  <si>
    <t xml:space="preserve">Kept in the teacher's folder. Attach the dried Ink 2 pre-test strips to the Ink 2 card (teacher note, not printed). An unused card can be kept for the next class; a card given to a group goes into its case file, so reprint it.</t>
  </si>
  <si>
    <t xml:space="preserve">Soil pots (5 per Soil group) and soil collection bags (5); Paper samples (5 per Paper group); Ink 2 cups Water, Salt water, Vinegar (6 per Ink 2 group); Powder 2 pots (5) and vinegar cup (1) per Powder 2 group</t>
  </si>
  <si>
    <t xml:space="preserve">The requisition lists 49, which counts every option at 2 groups. A class of 6 groups splits 2, 2, 1, 1, so the most any class needs is 34 plus the 5 soil bags (39). The soil bag labels are needed once, not per class. Label text for X is only 'Mystery mixture X'.</t>
  </si>
  <si>
    <t xml:space="preserve">Paper groups tape strips to pencils (1 roll per group); Ink 2 groups hang strips; dry strips stuck onto the recording sheets</t>
  </si>
  <si>
    <t xml:space="preserve">Bought for Week 2 (6 rolls) and reused in Weeks 3 and 4; reuse</t>
  </si>
  <si>
    <t xml:space="preserve">Paper: 1 roll per group (up to 2). Ink 2 kit card says 'sticky tape' without a number; 1 roll per group assumed (up to 2). The requisition lists 4 rolls; the Week 2 rolls cover it if enough tape is left, so no new order unless stock is low.</t>
  </si>
  <si>
    <t xml:space="preserve">Pencils for hanging strips</t>
  </si>
  <si>
    <t xml:space="preserve">Paper: 4 per group to hang strips; Ink 2: 6 per group to hang strips</t>
  </si>
  <si>
    <t xml:space="preserve">Bought for Week 3 (30 pencils, 5 per group, for baselines and hanging strips); reuse</t>
  </si>
  <si>
    <t xml:space="preserve">Up to 2 Paper groups (8) and 2 Ink 2 groups (12), a split a class can have. These are extra to the students' writing pencils. The requisition lists 20; the Week 3 pencils cover it, so no new order.</t>
  </si>
  <si>
    <t xml:space="preserve">Permanent markers</t>
  </si>
  <si>
    <t xml:space="preserve">markers</t>
  </si>
  <si>
    <t xml:space="preserve">Soil: labelling bottles with sample and group number (bottles stay on the windowsill until Week 9)</t>
  </si>
  <si>
    <t xml:space="preserve">1 per Soil group, up to 2 groups.</t>
  </si>
  <si>
    <t xml:space="preserve">Plain white paper, A4</t>
  </si>
  <si>
    <t xml:space="preserve">Soil: looking at the colour of a pinch of each soil</t>
  </si>
  <si>
    <t xml:space="preserve">2 sheets per Soil group, up to 2 groups.</t>
  </si>
  <si>
    <t xml:space="preserve">Powder 2: background for looking at the five samples under the magnifier</t>
  </si>
  <si>
    <t xml:space="preserve">Bought for Week 4 (6 pieces); reuse</t>
  </si>
  <si>
    <t xml:space="preserve">1 per Powder 2 group, up to 2 groups. The requisition lists 2 again; the Week 4 pieces cover it, so no new order.</t>
  </si>
  <si>
    <t xml:space="preserve">Case files (A4 folder per student, with the evidence log and suspect tracker)</t>
  </si>
  <si>
    <t xml:space="preserve">Evidence log row 8 (and other groups' results under the table); suspect tracker for Core e); recording sheet and worksheet filed here</t>
  </si>
  <si>
    <t xml:space="preserve">Week 7 plan sheets, returned with the teacher's comments</t>
  </si>
  <si>
    <t xml:space="preserve">plan sheets</t>
  </si>
  <si>
    <t xml:space="preserve">Groups follow their own plan; Lead Scientist circles the repeat number in the Hook; Core a) copies the question; the kit request on the back tells the teacher what each tray needs</t>
  </si>
  <si>
    <t xml:space="preserve">Completed in Week 7; returned in the Do Now</t>
  </si>
  <si>
    <t xml:space="preserve">Read and commented on after the Week 7 lesson; groups fix anything marked before starting.</t>
  </si>
  <si>
    <t xml:space="preserve">Week 7 option cards (Soil, Paper, Ink 2, Powder 2; paired picture method steps)</t>
  </si>
  <si>
    <t xml:space="preserve">Stays on the table beside the plan sheet as the bilingual step-by-step method, especially for Band 1 students</t>
  </si>
  <si>
    <t xml:space="preserve">Printed (laminated if possible) for Week 7; reuse</t>
  </si>
  <si>
    <t xml:space="preserve">1 per group for its own option.</t>
  </si>
  <si>
    <t xml:space="preserve">Roles confirmed in the Do Now: Safety Officer reads the kit card, Recorder keeps the group sheet, Measurer, Lead Scientist, Reporter; buddy and Band 1 student in the same pair</t>
  </si>
  <si>
    <t xml:space="preserve">One line under 'What I found' if time allows (otherwise evidence log row 8 counts)</t>
  </si>
  <si>
    <t xml:space="preserve">Not named in the Week 8 lesson file; the Teacher Guide says the dictionary is open in every lesson.</t>
  </si>
  <si>
    <t xml:space="preserve">Recording sheet, worksheet, evidence log and exit ticket</t>
  </si>
  <si>
    <t xml:space="preserve">Black washable felt-tip pens A to D (masking tape labels)</t>
  </si>
  <si>
    <t xml:space="preserve">sets (pens A and B essential, C and D if available)</t>
  </si>
  <si>
    <t xml:space="preserve">Ink 2: reference pens dotted on strips beside the note ink strips N; teacher's pre-test and N strips</t>
  </si>
  <si>
    <t xml:space="preserve">Bought and pre-tested before Week 1; used in Week 3</t>
  </si>
  <si>
    <t xml:space="preserve">1 set per Ink 2 group, up to 2 groups. The requisition lists 8 pens, but these are the pens bought before Week 1 (two of each brand), so no new order. If only those 8 exist, two Ink 2 groups use both sets and no spare is left: check every pen still writes. Pen B goes on a student table only as a labelled reference pen (Case Bible Section 11).</t>
  </si>
  <si>
    <t xml:space="preserve">strips, plus spares (number not stated)</t>
  </si>
  <si>
    <t xml:space="preserve">Ink 2: 16 per group (32); note ink strips N, 6 per group plus 2 for the pre-test (14); teacher's pre-test strips for pens A and B in salt water and vinegar (4)</t>
  </si>
  <si>
    <t xml:space="preserve">Cut from the coffee filters ordered before Week 1; check enough remain. The kit card adds 'plus spares' for both the strips and the N strips without a number.</t>
  </si>
  <si>
    <t xml:space="preserve">Clear plastic bottles or jars with screw lids, about 300 ml, all identical (no glass)</t>
  </si>
  <si>
    <t xml:space="preserve">bottles</t>
  </si>
  <si>
    <t xml:space="preserve">Soil: settling bottles, 10 per group (5 samples, two pairs)</t>
  </si>
  <si>
    <t xml:space="preserve">Up to 2 Soil groups. Bottles stay labelled on the windowsill until Week 9, so every class with Soil groups needs its own set. Collected from staff and students since before Week 1; plastic only.</t>
  </si>
  <si>
    <t xml:space="preserve">Soil: 5 per group (A to D, Evidence 6); Powder 2: 5 per group (Baking soda, K1, K2, X, Evidence 3); 3 for the teacher to mix K1, K2 and X</t>
  </si>
  <si>
    <t xml:space="preserve">Bought for Week 4 (30 pots); reuse</t>
  </si>
  <si>
    <t xml:space="preserve">Up to 2 Soil and 2 Powder 2 groups (a split a class can have) plus 3. The requisition lists 23 again; the Week 4 pots cover it if washed and kept, so no new order.</t>
  </si>
  <si>
    <t xml:space="preserve">4 per group for Soil (shaking bottles), Ink 2 (vinegar) and Powder 2 (vinegar, iodine); not needed for Paper</t>
  </si>
  <si>
    <t xml:space="preserve">Class set of 24 used in Weeks 4 and 5; reuse</t>
  </si>
  <si>
    <t xml:space="preserve">The requisition lists 24, which counts every option at 2 groups. At least one group does Paper, so at most 5 groups need goggles (20). The class set covers it.</t>
  </si>
  <si>
    <t xml:space="preserve">Soil (bits in the soil), Paper (pressed pattern) and Powder 2 (crystals), 1 per group; teacher checks X and the scene powder the day before</t>
  </si>
  <si>
    <t xml:space="preserve">Used in Weeks 2 (12) and 4 (6); reuse</t>
  </si>
  <si>
    <t xml:space="preserve">The requisition lists 6. At least one group does Ink 2, which needs none, so at most 5 groups need one.</t>
  </si>
  <si>
    <t xml:space="preserve">Timers (stopwatches)</t>
  </si>
  <si>
    <t xml:space="preserve">timers</t>
  </si>
  <si>
    <t xml:space="preserve">Soil (settling times), Paper (60 s dips) and Ink 2 (7 minutes), 1 per group</t>
  </si>
  <si>
    <t xml:space="preserve">The requisition lists 6. At least one group does Powder 2, which needs none, so at most 5.</t>
  </si>
  <si>
    <t xml:space="preserve">Soil 1 per group (layer heights), Paper 2 per group (strip heights), Ink 2 1 per group (band spread)</t>
  </si>
  <si>
    <t xml:space="preserve">Used in Weeks 3 (6) and 6 (12); reuse</t>
  </si>
  <si>
    <t xml:space="preserve">The requisition lists 8 (every option at 2 groups). The most any 2, 2, 1, 1 split needs is 7 (2 Paper groups, 2 Soil or Ink 2 groups, 1 of the other).</t>
  </si>
  <si>
    <t xml:space="preserve">1 kit tray per group, on the tables before students arrive; plus a tray to stand bottles in for each Soil group (up to 2)</t>
  </si>
  <si>
    <t xml:space="preserve">6 used every week since Week 1; reuse (2 more needed for the Soil bottles)</t>
  </si>
  <si>
    <t xml:space="preserve">The kit card lists 'tray to stand bottles in' for Soil; a separate tray lets the bottles go to the windowsill until Week 9. Only the 2 extra trays may need finding.</t>
  </si>
  <si>
    <t xml:space="preserve">Paper 4 per group; Ink 2 6 per group (Water, Salt water, Vinegar, 2 each); Powder 2 10 water cups plus 1 vinegar cup per group; teacher's pre-test, one strip per cup (6)</t>
  </si>
  <si>
    <t xml:space="preserve">The requisition lists 48 (every option at 2 groups plus 6). The most a class of 6 groups needs is 38 (2 Powder 2 groups, 2 Ink 2 groups, 1 Paper group) plus 6 for the pre-test earlier in the week; the pre-test cups can be rinsed and reused in the lesson. Cups bought for Weeks 3 to 5 can be used if washed.</t>
  </si>
  <si>
    <t xml:space="preserve">Spotting tiles, 12 wells (or white plastic lids)</t>
  </si>
  <si>
    <t xml:space="preserve">Powder 2: vinegar and iodine tests, 2 per group</t>
  </si>
  <si>
    <t xml:space="preserve">Used in Week 4 (6); reuse</t>
  </si>
  <si>
    <t xml:space="preserve">Up to 2 Powder 2 groups. The Week 4 tiles cover it, so no new order.</t>
  </si>
  <si>
    <t xml:space="preserve">Powder 2: 5 drops of vinegar per well, 1 per group</t>
  </si>
  <si>
    <t xml:space="preserve">Used in Weeks 4 and 5; reuse</t>
  </si>
  <si>
    <t xml:space="preserve">Up to 2 Powder 2 groups.</t>
  </si>
  <si>
    <t xml:space="preserve">spoons</t>
  </si>
  <si>
    <t xml:space="preserve">Powder 2: one clean spoon per sample, 5 per group</t>
  </si>
  <si>
    <t xml:space="preserve">Used in Week 4 (36); reuse</t>
  </si>
  <si>
    <t xml:space="preserve">Up to 2 Powder 2 groups. A dirty spoon is the most likely cause of contamination: wash and dry them well.</t>
  </si>
  <si>
    <t xml:space="preserve">Powder 2: 10 per group for the water test; Ink 2: 1 per group for salt water</t>
  </si>
  <si>
    <t xml:space="preserve">Up to 2 Powder 2 and 2 Ink 2 groups (a split a class can have). Use any left from Week 4 first.</t>
  </si>
  <si>
    <t xml:space="preserve">Ink 2: 1 per group to make salt water (1 level teaspoon in 100 ml); teacher's measuring spoon for K1, K2, X and the pre-test salt water</t>
  </si>
  <si>
    <t xml:space="preserve">Tablespoons</t>
  </si>
  <si>
    <t xml:space="preserve">tablespoons</t>
  </si>
  <si>
    <t xml:space="preserve">Soil: one per sample, 5 per group (1 level tablespoon of soil per bottle)</t>
  </si>
  <si>
    <t xml:space="preserve">Up to 2 Soil groups. Also used by the teacher to fill the pots.</t>
  </si>
  <si>
    <t xml:space="preserve">Flat sticks for levelling spoonfuls</t>
  </si>
  <si>
    <t xml:space="preserve">Soil: levelling each tablespoon, 1 per group</t>
  </si>
  <si>
    <t xml:space="preserve">Up to 2 Soil groups.</t>
  </si>
  <si>
    <t xml:space="preserve">Jugs for water</t>
  </si>
  <si>
    <t xml:space="preserve">Soil: about 1.6 litres of water per group; Paper: about 300 ml of coloured water per group</t>
  </si>
  <si>
    <t xml:space="preserve">Up to 2 Soil and 2 Paper groups (a split a class can have).</t>
  </si>
  <si>
    <t xml:space="preserve">Measuring jugs or measuring cylinders, 150 ml or more</t>
  </si>
  <si>
    <t xml:space="preserve">jugs or cylinders</t>
  </si>
  <si>
    <t xml:space="preserve">Soil: 150 ml water per bottle; Ink 2: measuring water for salt water</t>
  </si>
  <si>
    <t xml:space="preserve">1 per Soil and Ink 2 group, up to 2 each.</t>
  </si>
  <si>
    <t xml:space="preserve">Small bottle for each Ink 2 group's white vinegar (about 60 ml)</t>
  </si>
  <si>
    <t xml:space="preserve">not stated (1 per Ink 2 group would be up to 2); bottles</t>
  </si>
  <si>
    <t xml:space="preserve">Ink 2: vinegar for the two vinegar cups</t>
  </si>
  <si>
    <t xml:space="preserve">The kit card says only 'fill the vinegar bottle'. The requisition assumes 1 per Ink 2 group (2).</t>
  </si>
  <si>
    <t xml:space="preserve">Paper: cutting 3 strips of each paper along the arrows, 2 per group</t>
  </si>
  <si>
    <t xml:space="preserve">Up to 2 Paper groups. Counted back in at clean-up.</t>
  </si>
  <si>
    <t xml:space="preserve">Iodine solution in a dropper bottle</t>
  </si>
  <si>
    <t xml:space="preserve">Powder 2: starch test, 1 drop, Safety Officer only</t>
  </si>
  <si>
    <t xml:space="preserve">Optional (skip it if time is short and use the water test for starch). 1 per Powder 2 group, up to 2; returned to the teacher at clean-up. Use the Week 4 bottles if they were bought.</t>
  </si>
  <si>
    <t xml:space="preserve">not stated; gloves (shared box)</t>
  </si>
  <si>
    <t xml:space="preserve">Soil: for anyone with cuts or skin problems</t>
  </si>
  <si>
    <t xml:space="preserve">The requisition lists 1 shared box.</t>
  </si>
  <si>
    <t xml:space="preserve">Wipe spills at once; wipe tables at clean-up (every option)</t>
  </si>
  <si>
    <t xml:space="preserve">The requisition lists 6 (1 per group).</t>
  </si>
  <si>
    <t xml:space="preserve">Bucket</t>
  </si>
  <si>
    <t xml:space="preserve">Soil waste after Week 9: soil and water go onto a flowerbed or into a bucket, never down the sink</t>
  </si>
  <si>
    <t xml:space="preserve">Newspaper</t>
  </si>
  <si>
    <t xml:space="preserve">not stated; sheets</t>
  </si>
  <si>
    <t xml:space="preserve">Drying very wet soil overnight before it goes into pots</t>
  </si>
  <si>
    <t xml:space="preserve">Only if the soil is very wet. The requisition lists 4 sheets.</t>
  </si>
  <si>
    <t xml:space="preserve">Bags for collecting soil, labelled</t>
  </si>
  <si>
    <t xml:space="preserve">About 2 cups from each of the four locations, plus a separate bag 'Evidence 6: soil from footprint tread'</t>
  </si>
  <si>
    <t xml:space="preserve">Collected once; enough soil for several classes.</t>
  </si>
  <si>
    <t xml:space="preserve">Camera or tablet</t>
  </si>
  <si>
    <t xml:space="preserve">device</t>
  </si>
  <si>
    <t xml:space="preserve">Photograph every group's results (bottles, strips, tiles) at Do minutes 18 to 21 for the Week 9 evidence board and Week 10 talks</t>
  </si>
  <si>
    <t xml:space="preserve">Also photograph the soil bottles again before Week 9.</t>
  </si>
  <si>
    <t xml:space="preserve">Hand soap at the sink</t>
  </si>
  <si>
    <t xml:space="preserve">not stated (room supply); dispenser</t>
  </si>
  <si>
    <t xml:space="preserve">Everyone washes hands with soap after soil; hands washed after Ink 2 and Powder 2</t>
  </si>
  <si>
    <t xml:space="preserve">Water (tap or bottled)</t>
  </si>
  <si>
    <t xml:space="preserve">not stated in total: about 1.6 litres per Soil group and about 300 ml per Paper group; Ink 2 (water and salt water cups) and Powder 2 (10 cups a third full) amounts not stated; litres</t>
  </si>
  <si>
    <t xml:space="preserve">Soil settling bottles (150 ml each); Paper coloured water; Ink 2 water solvent and salt water ('bottled or tap water' on the kit card); Powder 2 water test</t>
  </si>
  <si>
    <t xml:space="preserve">Lab tap water is fine; the Ink 2 kit card allows bottled or tap water.</t>
  </si>
  <si>
    <t xml:space="preserve">Paper towels (the lab's own, from the sink dispenser) for drying strips, spills and hands</t>
  </si>
  <si>
    <t xml:space="preserve">Every option's kit card lists paper towels; Paper and Ink 2 strips dry flat on them</t>
  </si>
  <si>
    <t xml:space="preserve">The requisition lists 26 (3 per group assumed, plus 2 for P1).</t>
  </si>
  <si>
    <t xml:space="preserve">Lab paper towels for reference P1 (the lab's own roll)</t>
  </si>
  <si>
    <t xml:space="preserve">Paper: reference P1, enough for 3 strips 2 cm by 12 cm, 1 sheet per group</t>
  </si>
  <si>
    <t xml:space="preserve">Must be the same roll as Evidence 7. Counted inside the requisition's paper towel line.</t>
  </si>
  <si>
    <t xml:space="preserve">Tissues</t>
  </si>
  <si>
    <t xml:space="preserve">tissues</t>
  </si>
  <si>
    <t xml:space="preserve">Paper: reference P3, enough for 3 strips 2 cm by 12 cm per group</t>
  </si>
  <si>
    <t xml:space="preserve">Up to 2 Paper groups.</t>
  </si>
  <si>
    <t xml:space="preserve">Kitchen roll (shop-bought)</t>
  </si>
  <si>
    <t xml:space="preserve">Paper: reference P4, 1 sheet per group</t>
  </si>
  <si>
    <t xml:space="preserve">Kitchen roll ordered before Week 1; use the existing roll</t>
  </si>
  <si>
    <t xml:space="preserve">Up to 2 Paper groups. The requisition lists 2 sheets; take them from the existing roll, so no new order.</t>
  </si>
  <si>
    <t xml:space="preserve">Canteen napkins</t>
  </si>
  <si>
    <t xml:space="preserve">napkins</t>
  </si>
  <si>
    <t xml:space="preserve">Paper: reference P2, 1 per group</t>
  </si>
  <si>
    <t xml:space="preserve">Ask the canteen.</t>
  </si>
  <si>
    <t xml:space="preserve">Food colouring</t>
  </si>
  <si>
    <t xml:space="preserve">drops</t>
  </si>
  <si>
    <t xml:space="preserve">Paper: 1 drop per 100 ml in about 300 ml of water per group</t>
  </si>
  <si>
    <t xml:space="preserve">Up to 2 Paper groups. Stains skin and clothes.</t>
  </si>
  <si>
    <t xml:space="preserve">ml, plus a little for the pre-test</t>
  </si>
  <si>
    <t xml:space="preserve">Ink 2: about 60 ml per group (solvent); Powder 2: about 30 ml per group (fizz test); teacher's Ink 2 pre-test</t>
  </si>
  <si>
    <t xml:space="preserve">Up to 2 Ink 2 and 2 Powder 2 groups (120 + 60). The pre-test amount is not stated.</t>
  </si>
  <si>
    <t xml:space="preserve">level teaspoons</t>
  </si>
  <si>
    <t xml:space="preserve">Ink 2: salt water, 1 level teaspoon per 100 ml per group (2) and for the pre-test (1); Powder 2: 1 teaspoon each for K2 and X per group (4)</t>
  </si>
  <si>
    <t xml:space="preserve">The Ink 2 figure assumes each group makes 100 ml of salt water; the kit card gives only the recipe.</t>
  </si>
  <si>
    <t xml:space="preserve">Powder 2 per group: pure baking soda pot 2, K1 1, X 1, Evidence 3 scene powder 2</t>
  </si>
  <si>
    <t xml:space="preserve">Up to 2 Powder 2 groups. Use any baking soda left from Week 4.</t>
  </si>
  <si>
    <t xml:space="preserve">Powder 2: K1 (baking soda + cornflour), 1 per group</t>
  </si>
  <si>
    <t xml:space="preserve">Allergy check (corn).</t>
  </si>
  <si>
    <t xml:space="preserve">Powder 2: K2 (salt + flour), 1 per group</t>
  </si>
  <si>
    <t xml:space="preserve">Allergy check (wheat).</t>
  </si>
  <si>
    <t xml:space="preserve">Pen pre-test strips: pens A and B and an N strip, each in salt water and in white vinegar (Case Bible Section 11)</t>
  </si>
  <si>
    <t xml:space="preserve">Answer key for Ink 2 and the attachment for the Ink 2 backup lab report card</t>
  </si>
  <si>
    <t xml:space="preserve">Made once, earlier in the week (kit card: about 30 minutes). Check that N and B give the same pattern in each solvent. The 2 N strips here are the 2 pre-test N strips in the line below.</t>
  </si>
  <si>
    <t xml:space="preserve">Note ink strips N (pen B dotted 3 times on a pencil line 2 cm from the bottom, 'N' in pencil at the top)</t>
  </si>
  <si>
    <t xml:space="preserve">Ink 2: 6 per group (water, salt water and vinegar, both pairs); 2 for the teacher's pre-test</t>
  </si>
  <si>
    <t xml:space="preserve">12 for up to 2 Ink 2 groups plus 2 for the pre-test. Kit card: 10 minutes per class with the filter strips.</t>
  </si>
  <si>
    <t xml:space="preserve">Reference soils A to D (A flowerbed by the science block entrance, B sports field edge, C sandpit, D tree bed by the main gate)</t>
  </si>
  <si>
    <t xml:space="preserve">cups collected (about 2 cups per location)</t>
  </si>
  <si>
    <t xml:space="preserve">Soil: about 4 level tablespoons in each labelled pot, 4 pots per Soil group</t>
  </si>
  <si>
    <t xml:space="preserve">Remove stones bigger than a pea, glass, litter and anything sharp; do not collect where animals may have fouled. Collected once; refill the pots for each class.</t>
  </si>
  <si>
    <t xml:space="preserve">Evidence 6: scene soil in a labelled pot (about 4 level tablespoons)</t>
  </si>
  <si>
    <t xml:space="preserve">Soil: the scene sample, tested last and exactly like the references</t>
  </si>
  <si>
    <t xml:space="preserve">1 per Soil group, up to 2. Must be taken from the same flowerbed as reference A, at the same time, and bagged separately as 'Evidence 6: soil from footprint tread'.</t>
  </si>
  <si>
    <t xml:space="preserve">Paper reference sample sets P1 to P4 (P1 lab paper towel, P2 canteen napkin, P3 tissue, P4 kitchen roll), labelled, each enough for 3 strips 2 cm by 12 cm, pencil arrow along the roll</t>
  </si>
  <si>
    <t xml:space="preserve">Paper: reference samples for layers, pattern and absorbency</t>
  </si>
  <si>
    <t xml:space="preserve">1 set per Paper group, up to 2. Draw every arrow in the same direction. Optional: pre-cut the strips (add 10 minutes).</t>
  </si>
  <si>
    <t xml:space="preserve">Evidence 7: scene paper towel (from the lab's own roll, pencil arrow, crumpled then smoothed flat)</t>
  </si>
  <si>
    <t xml:space="preserve">Paper: the scene sample; must look as if it came from the bin</t>
  </si>
  <si>
    <t xml:space="preserve">1 per Paper group, up to 2. Same roll as P1. Each sheet is cut into strips, so it is used up; make new ones for every class. The Week 7 sealed Evidence 7 bags may serve if they come from the same roll and get the pencil arrow.</t>
  </si>
  <si>
    <t xml:space="preserve">Coloured water (1 drop of food colouring per 100 ml) in a jug</t>
  </si>
  <si>
    <t xml:space="preserve">Paper: absorbency strips, about 300 ml per group</t>
  </si>
  <si>
    <t xml:space="preserve">Powder 2 reference pots, about 2 teaspoons each: Baking soda (pure); K1 baking soda + cornflour; K2 salt + flour; X baking soda + salt, labelled only 'Mystery mixture X'</t>
  </si>
  <si>
    <t xml:space="preserve">sets of 4 pots</t>
  </si>
  <si>
    <t xml:space="preserve">Powder 2: known samples to compare with the scene powder</t>
  </si>
  <si>
    <t xml:space="preserve">1 set per Powder 2 group, up to 2. Made the day before with equal level teaspoons of each powder, shaken well in a lidded pot. You must see salt cubes in X under the magnifier. The requisition lists K1, K2 and X as sets of 3; the pure baking soda pot is covered by its baking soda and pot lines.</t>
  </si>
  <si>
    <t xml:space="preserve">Evidence 3: scene powder (baking soda) in a labelled pot (about 2 teaspoons)</t>
  </si>
  <si>
    <t xml:space="preserve">Powder 2: the scene sample</t>
  </si>
  <si>
    <t xml:space="preserve">1 per Powder 2 group, up to 2. Check under the magnifier that it shows no salt cubes. An unopened Week 7 Evidence 3 bag (baking soda) can be tipped into the pot.</t>
  </si>
  <si>
    <t xml:space="preserve">Worksheet: What does it mean? (Do Now box, Core A to C, Stretch, Challenge, My thinking, fold-under word bank, exit ticket strip)</t>
  </si>
  <si>
    <t xml:space="preserve">Each student's own work: Do Now means, Core A and B in Learn, Core C, Stretch and Challenge in Do, then the panel card; exit ticket strip on page 4; collected as evidence of who wrote what</t>
  </si>
  <si>
    <t xml:space="preserve">48 A4 sheets per class. No spares stated. Pages 1 to 3 say 'turn over', so print double-sided. Cutting off the exit ticket strip (page 4) also cuts a strip out of page 3 (Challenge b), so collect the whole worksheet. Print only from the design rebuilt after the language pass.</t>
  </si>
  <si>
    <t xml:space="preserve">Class data pooling sheet (Section 6a)</t>
  </si>
  <si>
    <t xml:space="preserve">copies; A4 landscape, 2 sides (side 1 strength, side 2 melting), double-sided; 1 per group</t>
  </si>
  <si>
    <t xml:space="preserve">Each group writes every group's mean for each sample, adds and divides to check the class means for its question (Core A)</t>
  </si>
  <si>
    <t xml:space="preserve">Side 2 (Table 2, melting) is for Plan A melting groups only; Plan B classes could print side 1 only. No spares stated.</t>
  </si>
  <si>
    <t xml:space="preserve">Class data pooling sheet enlarged to A3 for the board (side 1, strength)</t>
  </si>
  <si>
    <t xml:space="preserve">The teacher writes the class results table on it before the lesson, so the board table has the same bilingual headings and sample rows as the groups' sheets (Band 1 students find their rows by the Chinese labels)</t>
  </si>
  <si>
    <t xml:space="preserve">Covered by the requisition's A3 paper line (8 sheets: 7 posters plus this enlargement). The file asks for 1 A3 enlargement, but the melting table is on side 2: Plan A classes with melting-test groups need it on the board too (on the back, or on a second A3 sheet that is not in the requisition). See open questions.</t>
  </si>
  <si>
    <t xml:space="preserve">Investigation poster template (Section 6b), seven numbered panels</t>
  </si>
  <si>
    <t xml:space="preserve">copies; A3 portrait, single-sided; 6 groups plus 1 spare</t>
  </si>
  <si>
    <t xml:space="preserve">Each group glues its seven panel cards onto it; main evidence for Rubric strands 1 to 5 and the display for the Week 10 Expo</t>
  </si>
  <si>
    <t xml:space="preserve">Covered by the requisition's A3 paper line. Posters are stored flat in the group folders: check the folders take A3.</t>
  </si>
  <si>
    <t xml:space="preserve">Poster panel cards, Panels 1 to 7 (Section 6b), with 'Cut here' lines</t>
  </si>
  <si>
    <t xml:space="preserve">sets; 4 A4 sheets per set, single-sided, cut out by students; 6 groups plus 1 spare set</t>
  </si>
  <si>
    <t xml:space="preserve">Students write their own panel at the same time, cut it out and glue it onto the A3 poster</t>
  </si>
  <si>
    <t xml:space="preserve">28 A4 sheets per class. The cards are designed the same size as the poster panels, so print at 100% (no fit to page); this also keeps the Panel 4 graph grid at 1 cm squares.</t>
  </si>
  <si>
    <t xml:space="preserve">Sample class data card, Plan A ice strips (Section 6c): side 1 strength, side 2 melting</t>
  </si>
  <si>
    <t xml:space="preserve">copies; A4 portrait, 2 sides, double-sided, laminated</t>
  </si>
  <si>
    <t xml:space="preserve">Made-up class data kept on the teacher desk, given only to groups whose own data is missing or unusable</t>
  </si>
  <si>
    <t xml:space="preserve">Print spec says 3 of each plan per class; only the set matching your plan is given out. Laminated and kept on the teacher desk, so the same cards can serve other classes; Week 10 stores them with the reusable kit.</t>
  </si>
  <si>
    <t xml:space="preserve">Sample class data card, Plan B dough strips (Section 6c)</t>
  </si>
  <si>
    <t xml:space="preserve">copies; A4 portrait, single-sided, laminated</t>
  </si>
  <si>
    <t xml:space="preserve">Sample class data: teacher answers (group means and class means)</t>
  </si>
  <si>
    <t xml:space="preserve">copy; A4 portrait, single-sided, teacher copy</t>
  </si>
  <si>
    <t xml:space="preserve">Teacher reference for checking the means of groups using the sample data and the class means on posters</t>
  </si>
  <si>
    <t xml:space="preserve">No print spec; the designed page is marked Teacher copy. The same answers are in Sections 4 and 6c of the lesson file.</t>
  </si>
  <si>
    <t xml:space="preserve">Self-assessment slip (assessment/Rubric_and_Reporting.md, Section 7)</t>
  </si>
  <si>
    <t xml:space="preserve">slips; A5 portrait, 2 per A4 sheet, single-sided, cut in half (12 A4 sheets)</t>
  </si>
  <si>
    <t xml:space="preserve">Think and Reflect (about 4 minutes): each student rates themselves on the six rubric strands before the teacher decides levels</t>
  </si>
  <si>
    <t xml:space="preserve">The Teacher Guide prep calendar puts this print job in Week 8. Collected separately from the posters.</t>
  </si>
  <si>
    <t xml:space="preserve">Talk frame card: Our 2-minute Expo talk (Week 10 file, Section 6b)</t>
  </si>
  <si>
    <t xml:space="preserve">copies; folded A4 (A5 when folded), 4 panels, double-sided</t>
  </si>
  <si>
    <t xml:space="preserve">Groups split the 2-minute Expo talk in Think and Reflect; kept in the group folder for Week 10</t>
  </si>
  <si>
    <t xml:space="preserve">Designed with the Week 10 printables as a folded A4 card (the spec allows this when the five parts do not fit on one A5 side). The bilingual version must be the one printed now, in Week 9.</t>
  </si>
  <si>
    <t xml:space="preserve">Kit card (half-A4, teacher copy, one card for Plan A and Plan B)</t>
  </si>
  <si>
    <t xml:space="preserve">Teacher's kit list, prep steps, hazards and clean-up</t>
  </si>
  <si>
    <t xml:space="preserve">Laminate the sample class data cards (3 Plan A, 3 Plan B)</t>
  </si>
  <si>
    <t xml:space="preserve">Only 3 are needed if you print only your plan's cards.</t>
  </si>
  <si>
    <t xml:space="preserve">Glue sticks</t>
  </si>
  <si>
    <t xml:space="preserve">glue sticks</t>
  </si>
  <si>
    <t xml:space="preserve">2 per group to glue the panel cards onto the A3 poster</t>
  </si>
  <si>
    <t xml:space="preserve">Black felt-tip pens, thick</t>
  </si>
  <si>
    <t xml:space="preserve">2 per group for poster titles and headings, readable from 2 metres</t>
  </si>
  <si>
    <t xml:space="preserve">Black felt-tip pens, thin</t>
  </si>
  <si>
    <t xml:space="preserve">2 per group for writing the panel cards</t>
  </si>
  <si>
    <t xml:space="preserve">Group folders, holding the Week 7 planning frame and the Week 8 results sheets</t>
  </si>
  <si>
    <t xml:space="preserve">Returned in the Do Now (results sheets for finishing means; Box 1 of the planning frame for 'Our question'); posters stored flat in them at clean-up; talk frame cards kept in them for Week 10</t>
  </si>
  <si>
    <t xml:space="preserve">Issued with the planning frame in Week 6; reuse</t>
  </si>
  <si>
    <t xml:space="preserve">The current requisition lists 6 group folders again this week; they already exist, so no new order is needed. Check they take an A3 poster flat.</t>
  </si>
  <si>
    <t xml:space="preserve">Poster panels are assigned by role; the language buddy card marks the buddy who sits beside a Band 1 student</t>
  </si>
  <si>
    <t xml:space="preserve">Week 9 frames (One problem was ___. Next time we would ___.; We are confident / fairly confident / not confident because ___.; If I did it again, I would ___.) for Stretch, Challenge and Panels 6 and 7</t>
  </si>
  <si>
    <t xml:space="preserve">Open in every lesson for key words with Chinese</t>
  </si>
  <si>
    <t xml:space="preserve">Weekly logbook line, if time allows; supporting rubric evidence for Week 10</t>
  </si>
  <si>
    <t xml:space="preserve">This lesson's Think and Reflect has no logbook line (self-assessment slip, talk planning and exit ticket instead).</t>
  </si>
  <si>
    <t xml:space="preserve">Worksheet and plotting the graph on the Results panel</t>
  </si>
  <si>
    <t xml:space="preserve">Not on the Week 9 kit card.</t>
  </si>
  <si>
    <t xml:space="preserve">1 per group to cut out the panel cards</t>
  </si>
  <si>
    <t xml:space="preserve">Bought for Week 3 (12 pairs, 2 per group); reuse</t>
  </si>
  <si>
    <t xml:space="preserve">The current requisition lists 6 pairs again this week; the Week 3 scissors already exist, so no new order is needed.</t>
  </si>
  <si>
    <t xml:space="preserve">2 per group for graph axes, bars and poster lines</t>
  </si>
  <si>
    <t xml:space="preserve">Bought for Week 5 (24 rulers, 1 per student); reuse</t>
  </si>
  <si>
    <t xml:space="preserve">The current requisition lists 12 rulers again this week; the Week 5 rulers already exist, so no new order is needed.</t>
  </si>
  <si>
    <t xml:space="preserve">Only needed if logbooks are used this lesson.</t>
  </si>
  <si>
    <t xml:space="preserve">Class results table, written on the A3 enlargement of the pooling sheet: every group's mean for every sample and the class mean for each sample type</t>
  </si>
  <si>
    <t xml:space="preserve">table</t>
  </si>
  <si>
    <t xml:space="preserve">Displayed from the Do Now; groups check their means against it and copy the class means for their question in Core A</t>
  </si>
  <si>
    <t xml:space="preserve">Made from the photo of the Week 8 class project board on the A3 enlargement listed under Printing, so no extra paper; the kit card also allows it on a slide. Plan A classes with melting groups need the melting rows too.</t>
  </si>
  <si>
    <t xml:space="preserve">Worksheet: Build the case (Core a ranking table on page 1; Core b to d and Stretch a on page 2; Stretch b and Challenge on page 3; My thinking, fold-under word bank and exit ticket strip on page 4)</t>
  </si>
  <si>
    <t xml:space="preserve">Ranking table, cleaning log sentence, re-count and each student's own CER conclusion with a confidence level; exit ticket at the foot of page 4</t>
  </si>
  <si>
    <t xml:space="preserve">Kit card: 4 per group (24); no spares stated. Lesson file Section 3 says two sides, but the designed worksheet is 4 A4 pages (pages 1 to 3 say 'turn over'), so 24 x 2 = 48 sheets. The exit ticket strip sits below a cut line at the foot of page 4, so cutting it off a double-sided copy also cuts the foot of page 3 (Challenge c). Worksheets go into the case file. Print only from the design rebuilt after the language pass.</t>
  </si>
  <si>
    <t xml:space="preserve">Evidence board, A3 landscape (STRONG, SUPPORTING and WEAK columns, COMBINATION strip, empty right margin for the SET ASIDE label)</t>
  </si>
  <si>
    <t xml:space="preserve">copies; A3 landscape, single-sided</t>
  </si>
  <si>
    <t xml:space="preserve">Each group places its evidence cards by strength, then moves card 4 to the margin after the twist; main rubric evidence (photographed) and filed in the case file</t>
  </si>
  <si>
    <t xml:space="preserve">Requisition 'A3 printing' (13 sheets) covers these 6, the teacher's model and 6 A3 statement frames. A new board is needed for every class.</t>
  </si>
  <si>
    <t xml:space="preserve">Evidence board, enlarged teacher's model</t>
  </si>
  <si>
    <t xml:space="preserve">copy; enlarged (size not stated), single-sided</t>
  </si>
  <si>
    <t xml:space="preserve">Teacher's model board for showing how cards are placed</t>
  </si>
  <si>
    <t xml:space="preserve">Print spec says '1 enlarged for the teacher's model' but gives no size. The requisition counts it as a 7th A3 sheet and notes it may need a larger sheet: A3 is the board's own size, so 'enlarged' suggests A2 or A1 (poster printer). No card pack is listed for the model.</t>
  </si>
  <si>
    <r>
      <rPr>
        <sz val="10"/>
        <color rgb="FF00235F"/>
        <rFont val="Arial"/>
        <family val="0"/>
        <charset val="1"/>
      </rPr>
      <t xml:space="preserve">Cleaning log card (the twist): NEW EVIDENCE stamp, Snowfield School Cleaning Log entry, </t>
    </r>
    <r>
      <rPr>
        <sz val="10"/>
        <color rgb="FF00235F"/>
        <rFont val="WenQuanYi Zen Hei"/>
        <family val="2"/>
      </rPr>
      <t xml:space="preserve">概要 </t>
    </r>
    <r>
      <rPr>
        <sz val="10"/>
        <color rgb="FF00235F"/>
        <rFont val="Arial"/>
        <family val="0"/>
        <charset val="1"/>
      </rPr>
      <t xml:space="preserve">gist line, cut-off strip 'SET ASIDE: contaminated evidence'</t>
    </r>
  </si>
  <si>
    <t xml:space="preserve">copies; A5 portrait, single-sided</t>
  </si>
  <si>
    <t xml:space="preserve">Handed to each group at minute 7 of the Do phase so groups find that the puddle was mop water and set Evidence 4 aside</t>
  </si>
  <si>
    <t xml:space="preserve">Keep hidden in the envelope until minute 7 of the Do phase, after every group has a first board; never show it before Week 9 (Case Bible Section 14). Can be printed 2 per A4 sheet and cut (3 A4 sheets). Paper or card is not stated. The SET ASIDE strip is below a cut line: decide whether to cut it off beforehand or let groups cut it (no scissors on the kit card).</t>
  </si>
  <si>
    <t xml:space="preserve">Expert witness statement frame, A3 portrait (tick box for the group's evidence, four speaker boxes, jury question practice box)</t>
  </si>
  <si>
    <t xml:space="preserve">copies; A3 portrait, single-sided</t>
  </si>
  <si>
    <t xml:space="preserve">Each student writes one of the four parts of the group's 2-minute Court of Science statement; returned to groups in the case file for Week 10</t>
  </si>
  <si>
    <t xml:space="preserve">Print spec: 1 A3 per group, or 1 A4 per student (see the A4 row); print one option, not both. Kit card says 1 (A3) or 4 (A4) per group. Week 10 has no rehearsal time, so students finish their part today.</t>
  </si>
  <si>
    <t xml:space="preserve">Expert witness statement frame, A4 alternative</t>
  </si>
  <si>
    <t xml:space="preserve">Alternative to the A3 frame: one copy per student</t>
  </si>
  <si>
    <t xml:space="preserve">Only if you choose A4 instead of the 6 A3 frames. The design is A3; check it stays readable when scaled to A4.</t>
  </si>
  <si>
    <t xml:space="preserve">Self-assessment slip 'How am I doing?' (six strands, four tick boxes each, two writing prompts; Rubric_and_Reporting.md Section 7)</t>
  </si>
  <si>
    <t xml:space="preserve">slips; A5 portrait, 2 per A4 landscape sheet, single-sided, cut on the dashed line</t>
  </si>
  <si>
    <t xml:space="preserve">Students rate themselves (about 4 minutes in Think and Reflect) before the teacher drafts rubric levels</t>
  </si>
  <si>
    <t xml:space="preserve">Print spec: 12 A4 sheets for 24 students; no spares stated. The design is in the Rubric and Reporting printables (Self-assessment slips, 2 x A5 per A4; one version for all years), not in this lesson's printables. Teacher Guide prep calendar says print in Week 8.</t>
  </si>
  <si>
    <t xml:space="preserve">Expert witness role badges (Fingerprint, Ink, Powder, Liquid, Footprint, Soil and paper)</t>
  </si>
  <si>
    <t xml:space="preserve">sheet; A4 portrait, single-sided, cut into 6 badges (about 9 cm by 6 cm)</t>
  </si>
  <si>
    <t xml:space="preserve">Given out with each group's expert role in Week 9 and worn at the Court of Science in Week 10</t>
  </si>
  <si>
    <t xml:space="preserve">Print spec: 1 sheet per class (1 badge per group), but the Week 10 kit card lists 4 badges per group 'from Week 9' (24 badges, 4 sheets). Paper or card is not stated, and nothing says how badges are worn. Keep in the class box for Week 10.</t>
  </si>
  <si>
    <t xml:space="preserve">Kit card: Week 9 (teacher copy)</t>
  </si>
  <si>
    <t xml:space="preserve">copy; A5 (half-A4), single-sided</t>
  </si>
  <si>
    <t xml:space="preserve">Per-group kit list, teacher prep, hazards and clean-up</t>
  </si>
  <si>
    <t xml:space="preserve">Concept cartoon: Who thinks like a scientist? (tunnel vision)</t>
  </si>
  <si>
    <t xml:space="preserve">copy; A4 landscape, single-sided</t>
  </si>
  <si>
    <t xml:space="preserve">Display copy for the tunnel vision discussion</t>
  </si>
  <si>
    <t xml:space="preserve">Optional print; the same content is on slide 11. One display copy serves every class taught in the room.</t>
  </si>
  <si>
    <t xml:space="preserve">Photo print: this class's Week 5 Ideas Parking Board</t>
  </si>
  <si>
    <t xml:space="preserve">print; size not stated</t>
  </si>
  <si>
    <t xml:space="preserve">Hook: students find their own sticky note; Think and Reflect: sort the parked ideas</t>
  </si>
  <si>
    <t xml:space="preserve">Teacher Guide prep calendar (Week 8) says print it; the kit card puts the photo on slide 4, so the print is optional, especially if the board is still up. Each class has its own board photo.</t>
  </si>
  <si>
    <t xml:space="preserve">Evidence card pack: 9 cards per sheet (Evidence 1 to 7, T sign-in sheet and alibis, ? blank 'Our extra evidence')</t>
  </si>
  <si>
    <t xml:space="preserve">sets; 1 A4 sheet each, single-sided, cut into 9 cards (about 6.5 cm by 9 cm)</t>
  </si>
  <si>
    <t xml:space="preserve">Groups write who each clue matches and its strength, then place the cards on the A3 board</t>
  </si>
  <si>
    <t xml:space="preserve">Print spec: 1 sheet per group, on card if possible (requisition: 6 sheets of A4 white card). No strengths or matches are printed. Students write on the cards and fix them to the board, so a new set is needed for every class. How to keep each group's 9 cards together (clip or envelope) is not stated.</t>
  </si>
  <si>
    <t xml:space="preserve">Blu Tack or glue sticks</t>
  </si>
  <si>
    <t xml:space="preserve">packs or sticks</t>
  </si>
  <si>
    <t xml:space="preserve">Fix the evidence cards and the SET ASIDE strip to the A3 board</t>
  </si>
  <si>
    <t xml:space="preserve">Card 4 must move off the board after the twist, so Blu Tack (or glue only after the re-count) works better than gluing at once; glued cards stay put when boards go into the case files.</t>
  </si>
  <si>
    <t xml:space="preserve">Envelope</t>
  </si>
  <si>
    <t xml:space="preserve">envelope</t>
  </si>
  <si>
    <t xml:space="preserve">Keeps the 6 cleaning log cards out of sight until minute 7 of the Do phase</t>
  </si>
  <si>
    <t xml:space="preserve">Case files with evidence logs (suspect tracker, scene map, sign-in sheet; A4 folder per student)</t>
  </si>
  <si>
    <t xml:space="preserve">Do Now tick count; scene map and sign-in sheet checked after the cleaning log; evidence log row 9; boards, worksheets and statement frames filed inside</t>
  </si>
  <si>
    <t xml:space="preserve">Collect every case file at the end of this lesson: the teacher keeps them to draft rubric levels before Week 10.</t>
  </si>
  <si>
    <t xml:space="preserve">Worksheet, evidence cards, board and statement frame</t>
  </si>
  <si>
    <t xml:space="preserve">Week 1 class pencils (1 per student); reuse</t>
  </si>
  <si>
    <t xml:space="preserve">Not named on the Week 9 kit card (the Week 1 and Week 10 kit cards list 1 pencil per student).</t>
  </si>
  <si>
    <t xml:space="preserve">Lead Scientist places cards, Recorder writes matches, Reporter checks with the evidence log (slide 7); Band 1 students sit with their language buddy</t>
  </si>
  <si>
    <t xml:space="preserve">Week 9 frames ('One problem with this evidence is ___', confidence frames) for board talk and the CER</t>
  </si>
  <si>
    <t xml:space="preserve">Not named in the Week 9 lesson file; the language support pack gives 6 card sets per class, including the Week 9 frames.</t>
  </si>
  <si>
    <t xml:space="preserve">Key words (strong, supporting and weak evidence, contamination, tunnel vision, confidence)</t>
  </si>
  <si>
    <t xml:space="preserve">Not named in the Week 9 lesson file; the Teacher Guide says the dictionary is open in every lesson.</t>
  </si>
  <si>
    <t xml:space="preserve">Case files stay with the teacher; badges kept for Week 10</t>
  </si>
  <si>
    <t xml:space="preserve">Week 5 Ideas Parking Board with its sticky notes (if still up)</t>
  </si>
  <si>
    <t xml:space="preserve">Hook (find your own note) and the tunnel vision sort: checked and supported, checked and not supported, cannot check yet</t>
  </si>
  <si>
    <t xml:space="preserve">Made in Week 5; keep up or keep the notes</t>
  </si>
  <si>
    <t xml:space="preserve">Kit card: the photo goes on slide 4, 'and the board itself if it is still up'.</t>
  </si>
  <si>
    <t xml:space="preserve">Photos of Week 8 results (each group's bottles, strips or tiles)</t>
  </si>
  <si>
    <t xml:space="preserve">not stated; photos</t>
  </si>
  <si>
    <t xml:space="preserve">Groups use last week's results when matching Evidence 6 and 7 and the Ink 2 and Powder 2 clues</t>
  </si>
  <si>
    <t xml:space="preserve">Taken by the teacher in Week 8 (minutes 18 to 21 of the Do)</t>
  </si>
  <si>
    <t xml:space="preserve">Kit card lists them per class, but does not say how many or whether they are printed or shown on screen.</t>
  </si>
  <si>
    <t xml:space="preserve">Week 8 Reporter round board notes (each group's result under the four option headings)</t>
  </si>
  <si>
    <t xml:space="preserve">set of notes (photo or copy)</t>
  </si>
  <si>
    <t xml:space="preserve">Every group needs the other groups' Week 8 results for its board</t>
  </si>
  <si>
    <t xml:space="preserve">Written on the board in Week 8 (students also copied them under evidence log row 8); keep a photo or copy</t>
  </si>
  <si>
    <t xml:space="preserve">If the board was wiped without a photo, use the results students copied into their evidence logs or the Week 8 recording sheets.</t>
  </si>
  <si>
    <t xml:space="preserve">Soil settling bottles from Week 8 (Soil groups), sealed on the windowsill</t>
  </si>
  <si>
    <t xml:space="preserve">not stated for Week 9 (Week 8: 10 bottles per Soil group, no more than 2 Soil groups); bottles</t>
  </si>
  <si>
    <t xml:space="preserve">Soil groups look at their settled layers again: look only, do not open</t>
  </si>
  <si>
    <t xml:space="preserve">Made by Soil groups in Week 8; already on the windowsill</t>
  </si>
  <si>
    <t xml:space="preserve">No new items. Week 8 says pour the contents onto a flowerbed or into a bucket afterwards, never down the sink.</t>
  </si>
  <si>
    <t xml:space="preserve">Photograph every evidence board (rubric evidence for strands 4 and 5; Week 10 final case file checklist item 11)</t>
  </si>
  <si>
    <t xml:space="preserve">Use a school device and follow school rules on photographs.</t>
  </si>
  <si>
    <t xml:space="preserve">Final skills check paper, Year 7 (assessment/Skills_Check_Y7.md, Section 1): the same paper as Week 1, fresh copies</t>
  </si>
  <si>
    <t xml:space="preserve">copies; 2 A4 pages (two sides of A4), double-sided</t>
  </si>
  <si>
    <t xml:space="preserve">Do Now: 15-minute final skills check, face down on desks before students arrive, 'Week 10' box ticked; total into tracker column S for growth</t>
  </si>
  <si>
    <t xml:space="preserve">Print from the same master as Week 1 (or use spare copies printed with Week 1) and do not alter it, not even the Chinese. Check the 'Week 10' tick box is on the paper. Print in class order. Kit card: 1 per student; no spares stated.</t>
  </si>
  <si>
    <t xml:space="preserve">Interest survey (assessment/Interest_Survey.md, Section 1), fresh copies</t>
  </si>
  <si>
    <t xml:space="preserve">copies; half-A4, 2 per A4 sheet with a cut line, single-sided (12 sheets)</t>
  </si>
  <si>
    <t xml:space="preserve">Survey phase: six statements on a five-face scale, each read aloud once (3 minutes), 'Week 10' box ticked; tracker columns U to Z</t>
  </si>
  <si>
    <t xml:space="preserve">Fresh copies, not the Week 1 ones. Print in class order and cut in half. Collected separately from everything else. Kit card: 1 per student; no spares stated.</t>
  </si>
  <si>
    <t xml:space="preserve">Expo notes worksheet: Core notes table, Stretch, Challenge, My thinking, fold-under word bank, exit ticket strip</t>
  </si>
  <si>
    <t xml:space="preserve">copies; 3 A4 pages, double-sided (pages 1 and 2 back to back, page 3 on its own sheet)</t>
  </si>
  <si>
    <t xml:space="preserve">Do: Expo notes for each other group's talk (Core), the question asked and whether the answer used evidence (Stretch), comparing two groups' conclusions (Challenge); Think and Reflect: My thinking box and exit ticket strip</t>
  </si>
  <si>
    <t xml:space="preserve">Kit card: 1 per student; no spares stated. The design is 3 A4 pages (pages 1 and 2 say 'turn over'); lesson file Section 3 does not say how many sides. Printed this way, 24 x 2 = 48 sheets, and cutting off the exit ticket at the foot of page 3 loses nothing on the back. Collected with the exit tickets; strong My thinking answers go into the programme summary.</t>
  </si>
  <si>
    <t xml:space="preserve">Peer feedback slip, 'Two stars and a wish' (assessment/Rubric_and_Reporting.md, Section 6)</t>
  </si>
  <si>
    <t xml:space="preserve">slips; A6, 4 per A4 sheet with dashed cut lines, single-sided (6 sheets)</t>
  </si>
  <si>
    <t xml:space="preserve">Do: each student writes one slip for the group they ask; collected in Think and Reflect, given to each group and stuck on the back of its poster (can support strand 5)</t>
  </si>
  <si>
    <t xml:space="preserve">Print spec: 6 sheets per class 'plus spares', but the number of spares is not given. Before the lesson, write on each slip's 'For' line the group that student will write for (the group they ask).</t>
  </si>
  <si>
    <t xml:space="preserve">Expo run sheet (6a), teacher copy</t>
  </si>
  <si>
    <t xml:space="preserve">Teacher's clipboard: clock times for each phase and talk, who asks each question, teacher checks and the timing rule</t>
  </si>
  <si>
    <t xml:space="preserve">Strand 6 talk record (6d), teacher copy</t>
  </si>
  <si>
    <t xml:space="preserve">copy; 2 A4 landscape pages (talks 1 to 3, talks 4 to 6), single-sided</t>
  </si>
  <si>
    <t xml:space="preserve">Do: the teacher records part spoken, key words used, question with evidence and a B, D, S or E level for each student; strand 6 for tracker columns AC to AH</t>
  </si>
  <si>
    <t xml:space="preserve">Lesson file: 1 per class. The design splits the 24 rows (six blocks of four) over two A4 landscape sheets. Fill in the student names in talk order before the lesson.</t>
  </si>
  <si>
    <t xml:space="preserve">Gallery walk sign (6e)</t>
  </si>
  <si>
    <t xml:space="preserve">copies; 1 A4 portrait page, single-sided</t>
  </si>
  <si>
    <t xml:space="preserve">Gallery walk at break or a later session: one by the door and one by the posters, each with a pad of sticky notes and a pencil on a string</t>
  </si>
  <si>
    <t xml:space="preserve">Kit card: Ice Engineers Expo (half-A4, teacher copy, one card for Plan A and Plan B)</t>
  </si>
  <si>
    <t xml:space="preserve">copy; A5, double-sided (side 1: kit, hazards and clean-up; side 2: teacher prep)</t>
  </si>
  <si>
    <t xml:space="preserve">Per-group, per-student and teacher kit, teacher prep (about 40 minutes), hazards and controls, clean-up</t>
  </si>
  <si>
    <t xml:space="preserve">Skills report, Ice Engineers version (assessment/Rubric_and_Reporting.md, Section 5)</t>
  </si>
  <si>
    <r>
      <rPr>
        <sz val="10"/>
        <color rgb="FF00235F"/>
        <rFont val="Arial"/>
        <family val="0"/>
        <charset val="1"/>
      </rPr>
      <t xml:space="preserve">After the lesson: one-page bilingual report per student (strand levels, Week 1 and Week 10 skills check scores, Week 5 checkpoint, growth, award, teacher comment); final product 'Investigation poster and Expo talk </t>
    </r>
    <r>
      <rPr>
        <sz val="10"/>
        <color rgb="FF00235F"/>
        <rFont val="WenQuanYi Zen Hei"/>
        <family val="2"/>
      </rPr>
      <t xml:space="preserve">调查海报与成果展演讲</t>
    </r>
    <r>
      <rPr>
        <sz val="10"/>
        <color rgb="FF00235F"/>
        <rFont val="Arial"/>
        <family val="0"/>
        <charset val="1"/>
      </rPr>
      <t xml:space="preserve">'</t>
    </r>
  </si>
  <si>
    <t xml:space="preserve">Not used in the lesson itself: printed after marking and rubric levels (close-out step 4), filled in by hand or by mail merge from the tracker. One page per student (Teacher Guide Section 5).</t>
  </si>
  <si>
    <t xml:space="preserve">Skills check mark scheme (assessment/Skills_Check_Y7.md, Section 2), teacher copy</t>
  </si>
  <si>
    <t xml:space="preserve">copy; A4 portrait, page count not stated</t>
  </si>
  <si>
    <t xml:space="preserve">After the lesson: marking the 24 Week 10 skills checks (close-out step 1)</t>
  </si>
  <si>
    <t xml:space="preserve">Same mark scheme as Week 1; reuse the Week 1 marking copy if kept</t>
  </si>
  <si>
    <t xml:space="preserve">Page count not stated. Print a teacher copy only if the Week 1 copy was not kept; it can also be read on screen.</t>
  </si>
  <si>
    <t xml:space="preserve">Expo question cards (6c): 12 questions per A4 sheet, cut into 24 cards</t>
  </si>
  <si>
    <t xml:space="preserve">set of 24 cards; 2 A4 sheets, single-sided, on card if possible</t>
  </si>
  <si>
    <t xml:space="preserve">Do: each student holds one card; after each talk the asking group reads a question aloud; Stretch a) copies it onto the worksheet</t>
  </si>
  <si>
    <t xml:space="preserve">Print spec: 2 sheets per class (24 cards, one per student), on card if possible. If the 12-per-sheet layout were not readable, the fallback is 6 per sheet (4 sheets per class); the designed sheet uses 12. The requisition's 27 sheets of white card cover these 2 sheets and the 25 certificates. Cards are not written on and Section 7 stores them with the reusable kit, so one set could serve every class.</t>
  </si>
  <si>
    <r>
      <rPr>
        <sz val="10"/>
        <color rgb="FF00235F"/>
        <rFont val="Arial"/>
        <family val="0"/>
        <charset val="1"/>
      </rPr>
      <t xml:space="preserve">Certificates, Ice Engineers version (assessment/Rubric_and_Reporting.md, Section 4): Gold, Silver, Bronze, Participation and Most Improved Scientist, with the optional line 'Ice Engineers Expo </t>
    </r>
    <r>
      <rPr>
        <sz val="10"/>
        <color rgb="FF00235F"/>
        <rFont val="WenQuanYi Zen Hei"/>
        <family val="2"/>
      </rPr>
      <t xml:space="preserve">冰雪工程师成果展</t>
    </r>
    <r>
      <rPr>
        <sz val="10"/>
        <color rgb="FF00235F"/>
        <rFont val="Arial"/>
        <family val="0"/>
        <charset val="1"/>
      </rPr>
      <t xml:space="preserve">'</t>
    </r>
  </si>
  <si>
    <t xml:space="preserve">certificates; 1 A4 landscape page each, single-sided, on card if available (24 award certificates + 1 Most Improved Scientist)</t>
  </si>
  <si>
    <t xml:space="preserve">Survey and certificates phase, or a short ceremony within a week: one award certificate per student plus one Most Improved Scientist per class</t>
  </si>
  <si>
    <t xml:space="preserve">Award levels need strand 6 (judged today) and Most Improved needs today's skills check marked, so the recommended option is to present them within a week (Section 7); mark tracker column AL when printed. If they must be given today, print only the awards already fixed from the Week 9 draft levels and hand-complete the rest after the lesson. If Most Improved is still tied after tie-break 1, both students receive it (one extra sheet). Plain A4 paper if no card.</t>
  </si>
  <si>
    <t xml:space="preserve">Talk frame card, 'Our 2-minute Expo talk' (6b), bilingual, folded A4</t>
  </si>
  <si>
    <t xml:space="preserve">Do: each speaker follows the frame for their part; answer frames and tips on the back; for Band 1 the buddy reads the Chinese frame before Talk 1</t>
  </si>
  <si>
    <t xml:space="preserve">Printed in Week 9 (1 per student) and kept in the group folder; reuse</t>
  </si>
  <si>
    <t xml:space="preserve">Must be the bilingual version printed in Week 9. Stored with the reusable kit in the labelled Ice Engineers box afterwards (Section 7).</t>
  </si>
  <si>
    <t xml:space="preserve">Finished A3 investigation posters (one per group)</t>
  </si>
  <si>
    <t xml:space="preserve">Do: each group presents at its poster; main evidence for strands 1 to 5; stays up for the gallery walk</t>
  </si>
  <si>
    <t xml:space="preserve">Made by the groups in Week 9; collected flat in the group folders; reuse</t>
  </si>
  <si>
    <t xml:space="preserve">Put up in talk order at a height students can point to, with space in front of each. Afterwards photographed and stored flat with the feedback slips on the back.</t>
  </si>
  <si>
    <t xml:space="preserve">Group folders (planning frame and Week 8 results sheet)</t>
  </si>
  <si>
    <t xml:space="preserve">On group tables: planning frame and Week 8 results sheet to help answer questions; talk frame cards kept here</t>
  </si>
  <si>
    <t xml:space="preserve">Issued in Week 6; reuse</t>
  </si>
  <si>
    <t xml:space="preserve">The requisition lists 6 group folders again for Week 10 (and for Weeks 6 to 9); they are the same folders, so no new order is needed.</t>
  </si>
  <si>
    <t xml:space="preserve">Skills check, survey, Expo notes, feedback slip and exit ticket</t>
  </si>
  <si>
    <t xml:space="preserve">The requisition lists 26 pencils for Week 10 (24 students + 2 for the gallery walk signs), marked reusable; the 24 student pencils are the Week 1 set.</t>
  </si>
  <si>
    <t xml:space="preserve">Pencils for the gallery walk signs (tied on a string)</t>
  </si>
  <si>
    <t xml:space="preserve">One beside each gallery walk sign, for visitors' sticky notes</t>
  </si>
  <si>
    <t xml:space="preserve">Counted in the requisition's 26 pencils. They stay by the signs, so do not take them from the student set.</t>
  </si>
  <si>
    <t xml:space="preserve">lengths</t>
  </si>
  <si>
    <t xml:space="preserve">Tying a pencil beside each gallery walk sign</t>
  </si>
  <si>
    <t xml:space="preserve">Length not stated.</t>
  </si>
  <si>
    <t xml:space="preserve">pads</t>
  </si>
  <si>
    <t xml:space="preserve">A pad beside each gallery walk sign, so visitors can leave one thing they learned and one question on a poster</t>
  </si>
  <si>
    <t xml:space="preserve">Sticky notes are on the Before Week 1 buy list and in the Teacher Guide prep calendar (Week 9 row, for W10); use that stock if any is left.</t>
  </si>
  <si>
    <t xml:space="preserve">Clipboard</t>
  </si>
  <si>
    <t xml:space="preserve">clipboard</t>
  </si>
  <si>
    <t xml:space="preserve">Teacher: Expo run sheet and strand 6 talk record during the talks</t>
  </si>
  <si>
    <t xml:space="preserve">Wall fixings for the posters (masking tape, adhesive putty or drawing pins)</t>
  </si>
  <si>
    <t xml:space="preserve">not stated; fixings</t>
  </si>
  <si>
    <t xml:space="preserve">Putting the six A3 posters up on the wall or a display board before the lesson</t>
  </si>
  <si>
    <t xml:space="preserve">Not on the kit card. Masking tape has been in stock since Week 2. Use whatever suits the wall or board.</t>
  </si>
  <si>
    <t xml:space="preserve">Glue sticks or tape for the feedback slips</t>
  </si>
  <si>
    <t xml:space="preserve">not stated; glue sticks or rolls of tape</t>
  </si>
  <si>
    <t xml:space="preserve">Groups stick their peer feedback slips on the back of their poster</t>
  </si>
  <si>
    <t xml:space="preserve">Week 9 glue sticks (2 per group); reuse</t>
  </si>
  <si>
    <t xml:space="preserve">Not on the kit card; the clean-up line says the slips are stuck on the back of each poster.</t>
  </si>
  <si>
    <t xml:space="preserve">After the lesson: supports the teacher's judgement of strands 1 to 5 for each student; a few pages photographed for the programme summary; returned to students or filed at series close-out</t>
  </si>
  <si>
    <t xml:space="preserve">No logbook line is planned in this lesson's timeline.</t>
  </si>
  <si>
    <t xml:space="preserve">Self-assessment slips completed in Week 9</t>
  </si>
  <si>
    <t xml:space="preserve">slips</t>
  </si>
  <si>
    <t xml:space="preserve">After the lesson: compared with the final rubric levels (close-out step 3); a gap of two levels or more is worth a 1-minute conversation</t>
  </si>
  <si>
    <t xml:space="preserve">Completed in Week 9; kept by the teacher</t>
  </si>
  <si>
    <t xml:space="preserve">Week 1 skills check papers (filed, not returned)</t>
  </si>
  <si>
    <t xml:space="preserve">papers</t>
  </si>
  <si>
    <t xml:space="preserve">After the lesson: may be returned or discussed with the Week 10 paper once marking and tracker entry are done (close-out step 5)</t>
  </si>
  <si>
    <t xml:space="preserve">Sat in Week 1; filed in the class assessment folder</t>
  </si>
  <si>
    <t xml:space="preserve">Only if the school wants papers returned, and never before the Week 10 papers are marked and entered.</t>
  </si>
  <si>
    <t xml:space="preserve">Band 1 students sit beside their language buddy, who reads them the Chinese frame for their part and the Chinese line of their question card before Talk 1</t>
  </si>
  <si>
    <t xml:space="preserve">Not named in the Week 10 lesson file; the Band 1 support relies on the language buddy.</t>
  </si>
  <si>
    <t xml:space="preserve">Key word meanings in English and Chinese during the talks and Expo notes</t>
  </si>
  <si>
    <t xml:space="preserve">Not named in the Week 10 lesson file. The Teacher Guide says the dictionary is open in every lesson but closed for the skills check, so give it out after the skills check papers are collected.</t>
  </si>
  <si>
    <t xml:space="preserve">Logbooks and collected work in and out</t>
  </si>
  <si>
    <t xml:space="preserve">Storage box, labelled 'Ice Engineers', for reusable kit</t>
  </si>
  <si>
    <t xml:space="preserve">Series close-out: rig diagrams, sample data cards, question cards, voting cards and talk frames stored for next year</t>
  </si>
  <si>
    <t xml:space="preserve">Separate from the class box used for logbooks. Label it before storing the kit.</t>
  </si>
  <si>
    <t xml:space="preserve">Guillotine or scissors (teacher)</t>
  </si>
  <si>
    <t xml:space="preserve">guillotine or pair of scissors</t>
  </si>
  <si>
    <t xml:space="preserve">Cutting the question card sheets, survey sheets and peer feedback slip sheets before the lesson</t>
  </si>
  <si>
    <t xml:space="preserve">Not on the kit card; needed for the 'Print and cut question cards' prep. Scissors have been in stock since Week 3.</t>
  </si>
  <si>
    <t xml:space="preserve">Photographing every poster and a few logbook pages for the programme summary</t>
  </si>
  <si>
    <t xml:space="preserve">Use a school device and follow the school's rules for photographing student work.</t>
  </si>
  <si>
    <t xml:space="preserve">Final skills check paper, Year 8 ('Case: The Missing Trophy'), the same paper as Week 1</t>
  </si>
  <si>
    <t xml:space="preserve">Do Now: final skills check, 15 minutes, worked alone; growth is measured against Week 1 (tracker column S)</t>
  </si>
  <si>
    <t xml:space="preserve">Fresh copies from the same master as Week 1, unaltered (not even to correct a gloss). Skills_Check_Y8.md says 'two sides of A4', but the designed paper (Week 1 printables) is 5 A4 pages ('Page 1 of 5' to 'Page 5 of 5'), so 24 x 3 = 72 sheets. Print it exactly as Week 1 was printed. No spares stated.</t>
  </si>
  <si>
    <t xml:space="preserve">Interest survey ('How do you feel about science?'), same survey as Week 1</t>
  </si>
  <si>
    <t xml:space="preserve">copies; half A4, 2 per A4 sheet, single-sided, cut in half (12 sheets)</t>
  </si>
  <si>
    <t xml:space="preserve">Think and Reflect: final interest survey, 3 minutes, before certificates (tracker W10 S1 to S6, columns U to Z)</t>
  </si>
  <si>
    <t xml:space="preserve">Fresh copies; students tick the 'Week 10' box. No spares stated.</t>
  </si>
  <si>
    <t xml:space="preserve">Jury notes sheet (worksheet): Today I can, key words, Core jury notes table, Stretch, Challenge, My thinking, fold-under word bank and verdict exit ticket</t>
  </si>
  <si>
    <t xml:space="preserve">copies; 2 A4 pages, double-sided (1 sheet each)</t>
  </si>
  <si>
    <t xml:space="preserve">Do: jury notes for each of the six experts; Think and Reflect: own verdict and confidence on the exit ticket before the vote; filed in the case file</t>
  </si>
  <si>
    <t xml:space="preserve">Designed as 2 pages ('Page 1 of 2, turn over'). The exit ticket sits below a 'CUT HERE' line at the foot of page 2, so on a double-sided sheet cutting it off also cuts the foot of page 1 (the Stretch box). The final case file checklist files 'Jury notes and verdict' together, so the sheet can be collected uncut, or printed single-sided (2 sheets per copy, 48 sheets). Print only from the design rebuilt after the language pass. No spares stated.</t>
  </si>
  <si>
    <t xml:space="preserve">Peer feedback slips: two stars and a wish (Rubric_and_Reporting.md, Section 6)</t>
  </si>
  <si>
    <t xml:space="preserve">slips; 4 A6 slips per A4 sheet, single-sided, cut (6 sheets)</t>
  </si>
  <si>
    <t xml:space="preserve">Do: each student writes one slip for the group named on it; slips go into that group's case files</t>
  </si>
  <si>
    <t xml:space="preserve">Print spec: 6 sheets for a class of 24, plus spares (number not stated). Each slip is pre-labelled with the group it is for. Not marked; can support strand 5 evidence.</t>
  </si>
  <si>
    <t xml:space="preserve">Final case file checklist (15 items, Student and Teacher tick columns)</t>
  </si>
  <si>
    <t xml:space="preserve">Stapled inside the front cover of each case file; the teacher uses it to judge rubric strands 1 to 5 after the lesson</t>
  </si>
  <si>
    <t xml:space="preserve">1 per student. Can be printed 2 per A4 sheet and cut (12 A4 sheets). The lesson plan gives no time for students to tick their column.</t>
  </si>
  <si>
    <r>
      <rPr>
        <sz val="10"/>
        <color rgb="FF00235F"/>
        <rFont val="Arial"/>
        <family val="0"/>
        <charset val="1"/>
      </rPr>
      <t xml:space="preserve">Reveal card: 'What really happened' (true ending, read aloud, with four </t>
    </r>
    <r>
      <rPr>
        <sz val="10"/>
        <color rgb="FF00235F"/>
        <rFont val="WenQuanYi Zen Hei"/>
        <family val="2"/>
      </rPr>
      <t xml:space="preserve">概要 </t>
    </r>
    <r>
      <rPr>
        <sz val="10"/>
        <color rgb="FF00235F"/>
        <rFont val="Arial"/>
        <family val="0"/>
        <charset val="1"/>
      </rPr>
      <t xml:space="preserve">gist lines)</t>
    </r>
  </si>
  <si>
    <r>
      <rPr>
        <sz val="10"/>
        <color rgb="FF00235F"/>
        <rFont val="Arial"/>
        <family val="0"/>
        <charset val="1"/>
      </rPr>
      <t xml:space="preserve">Think and Reflect: the teacher reads the true ending aloud exactly as written, then a confident Chinese reader reads the </t>
    </r>
    <r>
      <rPr>
        <sz val="10"/>
        <color rgb="FF00235F"/>
        <rFont val="WenQuanYi Zen Hei"/>
        <family val="2"/>
      </rPr>
      <t xml:space="preserve">概要 </t>
    </r>
    <r>
      <rPr>
        <sz val="10"/>
        <color rgb="FF00235F"/>
        <rFont val="Arial"/>
        <family val="0"/>
        <charset val="1"/>
      </rPr>
      <t xml:space="preserve">lines; afterwards 1 copy goes into each group's case files</t>
    </r>
  </si>
  <si>
    <t xml:space="preserve">1 for the teacher plus 1 per group (6). English text exactly as Case Bible Section 10. Keep the teacher copy on the clipboard, out of sight, until after the vote.</t>
  </si>
  <si>
    <t xml:space="preserve">Court of Science run sheet (teacher)</t>
  </si>
  <si>
    <t xml:space="preserve">Teacher's clipboard: clock times, order of witnesses, who asks each question, timing rule</t>
  </si>
  <si>
    <t xml:space="preserve">Strand 6 talk record (teacher)</t>
  </si>
  <si>
    <t xml:space="preserve">copy; 2 A4 landscape pages (witnesses 1 to 3, witnesses 4 to 6), single-sided</t>
  </si>
  <si>
    <t xml:space="preserve">Do: the teacher records part spoken, key words used, question answered or asked with evidence, and level B, D, S or E for all 24 students</t>
  </si>
  <si>
    <t xml:space="preserve">1 per class. The lesson file describes one landscape sheet of 24 rows; the design splits it over 2 pages. Double-sided would use 1 sheet.</t>
  </si>
  <si>
    <t xml:space="preserve">Kit card: Week 10 (half A4, teacher copy)</t>
  </si>
  <si>
    <t xml:space="preserve">Per-student, per-group and per-class kit, teacher prep (about 30 minutes), hazards and controls, clean-up</t>
  </si>
  <si>
    <t xml:space="preserve">The design is marked 'Teacher copy'; no print count is stated.</t>
  </si>
  <si>
    <t xml:space="preserve">Jury question cards (18 bilingual cards: 12 general, 6 evidence cards)</t>
  </si>
  <si>
    <t xml:space="preserve">sets; 2 A4 sheets per set (cards 1 to 12; cards 13 to 18), single-sided, on card, cut</t>
  </si>
  <si>
    <t xml:space="preserve">Do: after each talk the next group chooses one card and asks the jury question (about 30 seconds)</t>
  </si>
  <si>
    <t xml:space="preserve">Lesson file: 1 sheet per group, on card if possible, or two sheets if 18 bilingual cards will not fit; the design uses 2 sheets, so 6 x 2 = 12 A4 card sheets. The requisition's 'White card, A4' line (31) counts 6 sheets for these cards ('12 if the cards need two sheets') plus 25 for certificates, so the white card total should be 37. The cards go back in the class box and are not written on.</t>
  </si>
  <si>
    <t xml:space="preserve">Certificates, Science Detectives designs (Gold, Silver, Bronze, Participation, Most Improved Scientist)</t>
  </si>
  <si>
    <t xml:space="preserve">certificates; A4 landscape, single-sided, on card</t>
  </si>
  <si>
    <t xml:space="preserve">One award certificate per student plus 1 Most Improved Scientist per class; given today only if ready, otherwise at a short ceremony within a week</t>
  </si>
  <si>
    <t xml:space="preserve">Print spec: one per student plus one Most Improved per class, on card if available. Final awards need strand 6 (judged today) and the marked skills check, so most classes cannot receive them in this lesson (Section 7: recommended ceremony in the next form period or assembly). If Most Improved is still tied after tie-break 1, both students receive one.</t>
  </si>
  <si>
    <t xml:space="preserve">One-page skills report, Science Detectives version (Rubric_and_Reporting.md, Section 5)</t>
  </si>
  <si>
    <t xml:space="preserve">After the lesson: bilingual report per student with strand levels, Week 1, 5 and 10 scores, growth, award and teacher comment</t>
  </si>
  <si>
    <t xml:space="preserve">Close-out step 4; printed after marking, not used in the lesson. Fill from the tracker by hand or mail merge.</t>
  </si>
  <si>
    <t xml:space="preserve">Expert witness badge sheet, extra copies (6 badges per sheet)</t>
  </si>
  <si>
    <t xml:space="preserve">copies; 1 A4 sheet of 6 badges, single-sided, cut</t>
  </si>
  <si>
    <t xml:space="preserve">Only if every expert wears a badge: tops the 6 Week 9 badges up to 4 per group (24)</t>
  </si>
  <si>
    <t xml:space="preserve">The kit card says 4 badges per group 'from Week 9', but the Week 9 badge sheet is printed '1 sheet per class' (one badge per group). 3 more sheets give 4 of each evidence type.</t>
  </si>
  <si>
    <t xml:space="preserve">Skills check mark scheme, Year 8 (teacher copy)</t>
  </si>
  <si>
    <t xml:space="preserve">copy; 2 A4 pages</t>
  </si>
  <si>
    <t xml:space="preserve">After the lesson: marking the skills checks (Answer, Accept, Do not accept, Marks)</t>
  </si>
  <si>
    <t xml:space="preserve">Printed for Week 1 marking; reuse</t>
  </si>
  <si>
    <t xml:space="preserve">Six-strand rubric (A4 landscape) and Year 8 'What Secure looks like' (A4) (teacher copy)</t>
  </si>
  <si>
    <t xml:space="preserve">Judging strand 6 during the talks; finalising strands 1 to 5 and 6 after the lesson</t>
  </si>
  <si>
    <t xml:space="preserve">Used in Week 9 to draft strand 1 to 5 levels; reuse</t>
  </si>
  <si>
    <t xml:space="preserve">No print count is stated for a teacher copy. If none was printed for Week 9, print the rubric and the Year 8 'What Secure looks like' page (2 A4 sheets).</t>
  </si>
  <si>
    <t xml:space="preserve">Skills check, jury notes, peer feedback slip, exit ticket and survey</t>
  </si>
  <si>
    <t xml:space="preserve">Week 1 pencils (1 per student); reuse</t>
  </si>
  <si>
    <t xml:space="preserve">The Week 10 requisition lists 24 pencils again; they are the Week 1 pencils, so no new order is needed.</t>
  </si>
  <si>
    <t xml:space="preserve">Case files (A4 folder per student, with evidence log, Week 9 evidence board, CER conclusion, self-assessment slip and expert witness statement)</t>
  </si>
  <si>
    <t xml:space="preserve">Returned to group tables before the lesson; the expert witness statement is inside; jury notes, peer feedback slips and the reveal card are filed in them; strands 1 to 5 are judged from them</t>
  </si>
  <si>
    <t xml:space="preserve">Made in Week 1; collected at the end of Week 9 for draft marking</t>
  </si>
  <si>
    <t xml:space="preserve">The kit card lists 'case file with expert witness statement frame, 1' per group, but case files are 1 per student.</t>
  </si>
  <si>
    <t xml:space="preserve">Expert witness statement frames, completed in Week 9</t>
  </si>
  <si>
    <t xml:space="preserve">frames</t>
  </si>
  <si>
    <t xml:space="preserve">On the stand: each speaker may glance at or read their part; the Chinese frame sits beneath each English frame for Band 1 students</t>
  </si>
  <si>
    <t xml:space="preserve">Written in Week 9; filed in the case files</t>
  </si>
  <si>
    <r>
      <rPr>
        <sz val="10"/>
        <color rgb="FF00235F"/>
        <rFont val="Arial"/>
        <family val="0"/>
        <charset val="1"/>
      </rPr>
      <t xml:space="preserve">Expert witness badges ('EXPERT WITNESS </t>
    </r>
    <r>
      <rPr>
        <sz val="10"/>
        <color rgb="FF00235F"/>
        <rFont val="WenQuanYi Zen Hei"/>
        <family val="2"/>
      </rPr>
      <t xml:space="preserve">专家证人</t>
    </r>
    <r>
      <rPr>
        <sz val="10"/>
        <color rgb="FF00235F"/>
        <rFont val="Arial"/>
        <family val="0"/>
        <charset val="1"/>
      </rPr>
      <t xml:space="preserve">', evidence title and icon, 'Group ____')</t>
    </r>
  </si>
  <si>
    <t xml:space="preserve">badges</t>
  </si>
  <si>
    <t xml:space="preserve">Hook: experts put on badges; worn during the talks</t>
  </si>
  <si>
    <t xml:space="preserve">Week 9 badge sheet (1 sheet of 6 per class); only 6 exist unless more are printed</t>
  </si>
  <si>
    <t xml:space="preserve">Kit card: 4 per group (24) from Week 9, but the Week 9 sheet gives only 6 (one per group). Print 3 more sheets (optional printing line) or let only the speaker wear the group badge. How badges are worn is not stated.</t>
  </si>
  <si>
    <t xml:space="preserve">Language buddy card for each Band 3 student paired with a Band 1 student (reads the Chinese lines, never writes the answer)</t>
  </si>
  <si>
    <t xml:space="preserve">Sentence frame card sets, Science Detectives (A6 cards)</t>
  </si>
  <si>
    <t xml:space="preserve">Week 10 frame on group tables: 'Our verdict is ___ because ___.'</t>
  </si>
  <si>
    <t xml:space="preserve">Not named in the Week 10 lesson file, whose verdict frame is 'My verdict is ___ because ___.'</t>
  </si>
  <si>
    <t xml:space="preserve">Routine phrases and how to ask for help; may stay out during the skills check</t>
  </si>
  <si>
    <t xml:space="preserve">Not named in the Week 10 lesson file; Skills_Check_Y8.md allows the card during the skills check.</t>
  </si>
  <si>
    <t xml:space="preserve">Language wall posters: Instruction words (A3), Classroom language side B (A3), Sentence frames Science Detectives (A4), Think in any language (A3)</t>
  </si>
  <si>
    <t xml:space="preserve">On the wall since before Week 1; reuse</t>
  </si>
  <si>
    <t xml:space="preserve">Skills_Check_Y8.md says the Instruction words poster may stay up during the skills check; keep the wall as it was for the Week 1 skills check.</t>
  </si>
  <si>
    <t xml:space="preserve">Key word meanings in English and Chinese (Week 10 pages) for the Court and the verdict</t>
  </si>
  <si>
    <t xml:space="preserve">Not named in the Week 10 lesson file. My_Science_Dictionary_Y8.md: closed and put away during the Week 10 skills check.</t>
  </si>
  <si>
    <t xml:space="preserve">Not written in this lesson (the evidence log row counts for Year 8); supporting evidence when finalising strands 1 to 5 and any award 'Check'</t>
  </si>
  <si>
    <t xml:space="preserve">Holds the run sheet, reveal card and strand 6 talk record</t>
  </si>
  <si>
    <t xml:space="preserve">Stapler and staples</t>
  </si>
  <si>
    <t xml:space="preserve">stapler</t>
  </si>
  <si>
    <t xml:space="preserve">Stapling a final case file checklist inside the front cover of each case file</t>
  </si>
  <si>
    <t xml:space="preserve">Not on the kit card; the checklist design says 'Staple inside the front cover'.</t>
  </si>
  <si>
    <t xml:space="preserve">Timer visible to the class</t>
  </si>
  <si>
    <t xml:space="preserve">15-minute skills check, 90-second talks, 30-second questions, 30-second verdict and 3-minute survey</t>
  </si>
  <si>
    <t xml:space="preserve">The requisition line is 'Timers (stopwatches)'; a stopwatch is not visible to the class, so an on-screen timer also works.</t>
  </si>
  <si>
    <t xml:space="preserve">Badges and question cards go back in it at the end</t>
  </si>
  <si>
    <t xml:space="preserve">Notebook prop (an old notebook)</t>
  </si>
  <si>
    <t xml:space="preserve">notebook</t>
  </si>
  <si>
    <t xml:space="preserve">Brought out frosty after the reveal</t>
  </si>
  <si>
    <t xml:space="preserve">Staff freezer space (fridge freezer compartment), overnight</t>
  </si>
  <si>
    <t xml:space="preserve">space overnight</t>
  </si>
  <si>
    <t xml:space="preserve">Freezing the notebook prop the day before</t>
  </si>
  <si>
    <t xml:space="preserve">Freezer bag</t>
  </si>
  <si>
    <t xml:space="preserve">Holds the notebook prop in the freezer and while it is passed round</t>
  </si>
  <si>
    <t xml:space="preserve">Frozen notebook prop (notebook in a freezer bag, frozen overnight)</t>
  </si>
  <si>
    <t xml:space="preserve">prop</t>
  </si>
  <si>
    <t xml:space="preserve">Think and Reflect: brought out frosty after the true ending</t>
  </si>
  <si>
    <t xml:space="preserve">Cold and wet: the safety line and kit card say pass it round in its bag, not out of it, but Slide 9 notes say 'bring it out of its freezer bag now'.</t>
  </si>
  <si>
    <t xml:space="preserve">'15 seconds' card (hand-written)</t>
  </si>
  <si>
    <t xml:space="preserve">card</t>
  </si>
  <si>
    <t xml:space="preserve">Held up near the end of each 90-second talk (Slide 5 speaker notes)</t>
  </si>
  <si>
    <t xml:space="preserve">Any card and a marker; not on the kit card.</t>
  </si>
  <si>
    <t xml:space="preserve">Prep by week: how much time each lesson takes to get ready</t>
  </si>
  <si>
    <t xml:space="preserve">Minutes come from the kit cards where they give them; the rest are estimates (marked). "After" is marking, the tracker and putting kit away. "Could be done by someone else" means a technician, assistant, reprographics or the students. Uses the classes and freezer plan on the All weeks sheet: until a Year 7 freezer plan is chosen, Weeks 5 to 8 count the prep for both plans.</t>
  </si>
  <si>
    <t xml:space="preserve">Year 7: before the lesson (min)</t>
  </si>
  <si>
    <t xml:space="preserve">Year 7: after (marking, admin)</t>
  </si>
  <si>
    <t xml:space="preserve">Year 7: could be done by someone else</t>
  </si>
  <si>
    <t xml:space="preserve">Year 8: before the lesson (min)</t>
  </si>
  <si>
    <t xml:space="preserve">Year 8: after (marking, admin)</t>
  </si>
  <si>
    <t xml:space="preserve">Year 8: could be done by someone else</t>
  </si>
  <si>
    <t xml:space="preserve">Both years, before and after (hours)</t>
  </si>
  <si>
    <t xml:space="preserve">Optional extras (min, not counted)</t>
  </si>
  <si>
    <t xml:space="preserve">Total</t>
  </si>
  <si>
    <t xml:space="preserve">All prep tasks</t>
  </si>
  <si>
    <t xml:space="preserve">When</t>
  </si>
  <si>
    <t xml:space="preserve">Task</t>
  </si>
  <si>
    <t xml:space="preserve">Minutes (one class)</t>
  </si>
  <si>
    <t xml:space="preserve">Minutes from</t>
  </si>
  <si>
    <t xml:space="preserve">Who could do it</t>
  </si>
  <si>
    <t xml:space="preserve">Once for all classes?</t>
  </si>
  <si>
    <t xml:space="preserve">Reused later</t>
  </si>
  <si>
    <t xml:space="preserve">Minutes for your classes</t>
  </si>
  <si>
    <t xml:space="preserve">2 or more weeks before</t>
  </si>
  <si>
    <t xml:space="preserve">Order the Week 1 kit from the requisition: A4 card, A4 (C4) envelopes, A4 and A5 laminating pouches, A3 paper, name cards, HB pencils and the class box.</t>
  </si>
  <si>
    <t xml:space="preserve">estimate</t>
  </si>
  <si>
    <t xml:space="preserve">Technician or assistant</t>
  </si>
  <si>
    <t xml:space="preserve">No</t>
  </si>
  <si>
    <t xml:space="preserve">Send the booklet jobs to reprographics: Scientist's Logbook (24 per class) and My Science Dictionary (28 per class, A5 saddle-stitched, 24 or 28 pages, 90 gsm).</t>
  </si>
  <si>
    <t xml:space="preserve">Teacher</t>
  </si>
  <si>
    <t xml:space="preserve">Weeks 2 to 10</t>
  </si>
  <si>
    <t xml:space="preserve">The week before</t>
  </si>
  <si>
    <t xml:space="preserve">Print the group role cards (6 A4 sheets), laminate them (6 A4 pouches), cut into 36 cards and sort into 6 sets of 6.</t>
  </si>
  <si>
    <t xml:space="preserve">Print the classroom language cards double-sided (30 A5, or 15 A4 sheets cut in half) and laminate them (30 A5 pouches).</t>
  </si>
  <si>
    <t xml:space="preserve">Print the footprint puzzle cards on A4 card: 6 sets of Stage 1, 2 and 3 (18 sheets), with the teacher note on the back of each Card 3.</t>
  </si>
  <si>
    <t xml:space="preserve">Only if not using card: print the 18 puzzle cards on paper and laminate them (18 A4 pouches).</t>
  </si>
  <si>
    <t xml:space="preserve">Print the worksheets: 24 copies, 4 pages double-sided (48 sheets), from the design rebuilt after the language pass (discard any earlier copies). First check the exit ticket cut line against the My thinking box on the back.</t>
  </si>
  <si>
    <t xml:space="preserve">Reprographics</t>
  </si>
  <si>
    <t xml:space="preserve">Print and sort the skills check papers (3 sheets each, double-sided) and survey papers (2 per A4, cut in half) in class order.</t>
  </si>
  <si>
    <t xml:space="preserve">kit card</t>
  </si>
  <si>
    <t xml:space="preserve">Print the teacher copies: skills check mark scheme (2 pages) and the Week 1 kit card.</t>
  </si>
  <si>
    <t xml:space="preserve">Print the three A3 posters (Instruction words, Classroom language side B, Think in any language) and the A4 sentence frame poster; put them up on the wall.</t>
  </si>
  <si>
    <t xml:space="preserve">Print and cut the sentence frame bank cards: 24 A4 sheets into 6 sets of 16 A6 cards.</t>
  </si>
  <si>
    <t xml:space="preserve">Write the group seating plan: six groups of 3 or 4, each Band 1 student beside a Band 3 language buddy, with a starting role for each student.</t>
  </si>
  <si>
    <t xml:space="preserve">Weeks 2 to 5</t>
  </si>
  <si>
    <t xml:space="preserve">Set up the class tab in the tracker: columns A to E (number, names, group, starting role) from the class list and seating plan.</t>
  </si>
  <si>
    <t xml:space="preserve">Make 24 name cards from the class list and seating plan.</t>
  </si>
  <si>
    <t xml:space="preserve">The day before</t>
  </si>
  <si>
    <t xml:space="preserve">Label 18 envelopes Stage 1, Stage 2, Stage 3 (3 per group) and put one puzzle card in each; keep the Stage 2 and 3 envelopes for the teacher desk.</t>
  </si>
  <si>
    <t xml:space="preserve">On the day, before the lesson</t>
  </si>
  <si>
    <t xml:space="preserve">Set out name cards by the group seating plan and one set of role cards per table.</t>
  </si>
  <si>
    <t xml:space="preserve">Put out pencils (1 per student, spares on the teacher desk); place the sorted skills checks and surveys, logbooks, dictionaries and the 18 envelopes on the teacher desk.</t>
  </si>
  <si>
    <t xml:space="preserve">Set-up by students in the lesson</t>
  </si>
  <si>
    <t xml:space="preserve">Clean-up led by the Safety Officer: puzzle cards back into their envelopes in stage order and returned to the teacher; logbooks collected into the class box.</t>
  </si>
  <si>
    <t xml:space="preserve">Students (roles)</t>
  </si>
  <si>
    <t xml:space="preserve">After the lesson</t>
  </si>
  <si>
    <t xml:space="preserve">Check the six envelope sets are complete and in stage order; put the class box of logbooks away.</t>
  </si>
  <si>
    <t xml:space="preserve">Read the exit tickets before Week 2; note who needs the Do Now recap and who is ready for Stretch.</t>
  </si>
  <si>
    <t xml:space="preserve">Mark the skills checks out of 20 with the mark scheme within the week (no half marks; accept Chinese).</t>
  </si>
  <si>
    <t xml:space="preserve">Enter skills check totals and the six survey scores per student in the tracker (columns I to O) and any access arrangements (column H); file the papers in the class assessment folder and do not return them.</t>
  </si>
  <si>
    <t xml:space="preserve">Enter question-by-question skills check marks on the tracker's Question_analysis tab.</t>
  </si>
  <si>
    <t xml:space="preserve">Order the kit: 8 black washable felt-tip pens (four brands, two of each), coffee filters, masking tape, 24 A4 folders, 49 sheets of white A4 card, A3 paper, laminating pouches (6 A4, 30 A5), 24 pencils and a class box; plain bar soap and baking soda if using the scene table.</t>
  </si>
  <si>
    <t xml:space="preserve">Pens: Week 3; folders and class box: Weeks 2 to 10</t>
  </si>
  <si>
    <t xml:space="preserve">Book reprographics printing for Weeks 1 to 5 and print only from the designs rebuilt after the language pass (discard any copies printed earlier).</t>
  </si>
  <si>
    <t xml:space="preserve">Check the Skills Check master is final (native-speaker fixes made) before the print run, then freeze it unchanged until Week 10.</t>
  </si>
  <si>
    <t xml:space="preserve">Week 10 (same master)</t>
  </si>
  <si>
    <t xml:space="preserve">Print, fold and staple My Science Dictionary, Year 8 (28 per class: 24 plus 4 spares, 7 A4 sheets each, double-sided, 90 gsm) and the Scientist's Logbooks (24).</t>
  </si>
  <si>
    <t xml:space="preserve">Ask the school nurse or form tutors for the allergy list (needed for the Week 4 powders).</t>
  </si>
  <si>
    <t xml:space="preserve">Weeks 4 and 5</t>
  </si>
  <si>
    <t xml:space="preserve">Print the language support pack: 3 A3 posters (Instruction words, Classroom language side B, Think in any language), the A4 Science Detectives frame poster, 6 sets of frame cards (24 A4 sheets), 6 role card sheets and 30 two-sided classroom language cards.</t>
  </si>
  <si>
    <t xml:space="preserve">All term</t>
  </si>
  <si>
    <t xml:space="preserve">Laminate and cut the role cards (6 A4 sheets into 36 cards) and the 30 classroom language cards; cut the 6 sets of frame cards.</t>
  </si>
  <si>
    <t xml:space="preserve">Print the worksheets: 24 copies, pages 1 and 2 back to back and page 3 on its own sheet (48 A4 sheets).</t>
  </si>
  <si>
    <t xml:space="preserve">Run the pen pre-test (Case Bible Section 11): cut 4 coffee-filter strips 2 cm by 10 cm, pencil line 2 cm up, one dot per pen, stand in cups of water 1 cm deep for 6 to 8 minutes; check four clearly different patterns; choose pen B; cover brand names with masking tape and label A to D; record on the Teacher Pre-test Record; keep the dried strips. The Teacher Guide puts this in the Week 1 week; do it before the lesson if the pen-B note is wanted for the scene table or a slide photo.</t>
  </si>
  <si>
    <t xml:space="preserve">teacher guide</t>
  </si>
  <si>
    <t xml:space="preserve">Week 3 (pens, answer key)</t>
  </si>
  <si>
    <t xml:space="preserve">Write the display note with pen B on plain white card (exact text, snowflake doodle after 'Sorry!'); photograph it for Slide 5 if wanted.</t>
  </si>
  <si>
    <t xml:space="preserve">Week 3 Hook</t>
  </si>
  <si>
    <t xml:space="preserve">Print teacher copies: kit card (A5), Skills Check mark scheme (2 pages) and Teacher Pre-test Record.</t>
  </si>
  <si>
    <t xml:space="preserve">Plan 6 fixed groups of 4, seating each Band 1 student beside a Band 3 language buddy, and make the name cards.</t>
  </si>
  <si>
    <t xml:space="preserve">Weeks 2 to 5 (fixed groups)</t>
  </si>
  <si>
    <t xml:space="preserve">Label the class box with a section for each group.</t>
  </si>
  <si>
    <t xml:space="preserve">Print the optional scene table sign (A5) and the true-size footprint at 100% scale; check the footprint measures 24 cm with a ruler.</t>
  </si>
  <si>
    <t xml:space="preserve">Kit card prep: print and collate the case files, one per student (24), in order: cover, briefing with sign-in sheet, scene map, suspect cards, evidence log, in A4 folders with a dictionary tucked inside; print the skills checks and surveys in class order (cut the survey sheets in half); set out groups of 4 with name cards.</t>
  </si>
  <si>
    <t xml:space="preserve">Case files: Weeks 2 to 10</t>
  </si>
  <si>
    <t xml:space="preserve">Put up the three A3 language posters, the A4 frame poster and the A3 scene map; put a frame card set and a role card set on each group table.</t>
  </si>
  <si>
    <t xml:space="preserve">Make the optional scene liquid: grate about 1 teaspoon of plain bar soap into 200 ml warm water and stir until cloudy; make the baking soda solution; mix equal amounts and pour a little into the saucer.</t>
  </si>
  <si>
    <t xml:space="preserve">Set up the optional scene table at the front: glass, pen-B note, teaspoon of baking soda on a dark tray, saucer of scene liquid, 24 cm paper footprint and the do-not-touch sign.</t>
  </si>
  <si>
    <t xml:space="preserve">Clear the scene table: pour away the scene liquid, wash the glass, saucer and tray; keep the note and pens A to D for Week 3 (pen B never left on a student table).</t>
  </si>
  <si>
    <t xml:space="preserve">Note and pens: Week 3</t>
  </si>
  <si>
    <t xml:space="preserve">Check the case files and logbooks are in the class box, filed by group, and that every file has its suspect cards for the Week 2 Do Now.</t>
  </si>
  <si>
    <t xml:space="preserve">Mark the skills checks with the mark scheme within the week (no half marks; accept Chinese; ignore spelling if the science is clear).</t>
  </si>
  <si>
    <t xml:space="preserve">Enter the tracker Week 1 columns (A to E, H, I skills check, J to O survey) and file the papers in the class assessment folder, noting where for the handover note; do not return or go through them.</t>
  </si>
  <si>
    <t xml:space="preserve">Week 10 comparison</t>
  </si>
  <si>
    <t xml:space="preserve">Read the exit tickets to plan the Week 2 Do Now recap and who is ready for Stretch.</t>
  </si>
  <si>
    <t xml:space="preserve">Order or gather the mystery cup contents and 24 opaque paper cups: 3 marbles, cotton ball, coin, paper clip, teaspoon of dry rice, eraser, dice, small bell, bottle cap, small wooden block; masking tape and a marker</t>
  </si>
  <si>
    <t xml:space="preserve">Book the print job with reprographics: worksheets (24 per class, 4 A4 pages double-sided = 48 sheets, collated), A3 Galileo storyboard poster, kit card (teacher copy, A5); optional 6 A4 storyboard copies. Print only from the Year 7 designs rebuilt after the language pass and discard any copies printed earlier</t>
  </si>
  <si>
    <t xml:space="preserve">Make 12 mystery cups: one object in each opaque cup, second cup upside down on top (rim to rim), tape all round with masking tape, label A to L underneath; keep the key on the teacher desk</t>
  </si>
  <si>
    <t xml:space="preserve">Kept in the teacher box for future years</t>
  </si>
  <si>
    <t xml:space="preserve">Print the question sort cards on A4 white card: 6 sets x 2 sheets = 12 sheets, single-sided</t>
  </si>
  <si>
    <t xml:space="preserve">Cut out the question sort cards: 6 sets x 14 cards = 84 business-card-size cards (stack the sheets on a guillotine)</t>
  </si>
  <si>
    <t xml:space="preserve">Put each set (12 question cards + 2 header cards) in an envelope, one per group</t>
  </si>
  <si>
    <t xml:space="preserve">Find a hardback book (about A4) and practise the paper-on-top drop once, with a sheet smaller than the cover</t>
  </si>
  <si>
    <t xml:space="preserve">Put up the A3 Galileo storyboard poster</t>
  </si>
  <si>
    <t xml:space="preserve">Set out before students arrive: 2 mystery cups per table (different cups for neighbouring groups), role cards, frame cards and pencils; sort card envelopes, worksheets, book, 3 demo sheets and the kit card with the cup key on the teacher desk</t>
  </si>
  <si>
    <t xml:space="preserve">Clean-up (Safety Officer leads): count each sort card set back to 12 cards plus 2 headers into its envelope; return mystery cups to the teacher box; logbooks into the class box</t>
  </si>
  <si>
    <t xml:space="preserve">Check every mystery cup's tape is intact and re-tape any loose cup before the next class</t>
  </si>
  <si>
    <t xml:space="preserve">Read the exit tickets before the next lesson: note who needs the Do Now recap and who is ready for Stretch; note the groups that made three or more sort errors (checked in class)</t>
  </si>
  <si>
    <t xml:space="preserve">Record a language band (1, 2 or 3) for each student in tracker column G, now that two lessons have been taught</t>
  </si>
  <si>
    <t xml:space="preserve">Order the kit on the outline's Buy list (Teacher Guide prep calendar, before Week 1): soft pencils 2B to 4B (24), clear sticky tape (6 rolls), A4 white card (12 sheets per class for the record cards)</t>
  </si>
  <si>
    <t xml:space="preserve">Tape rolls reused in Week 3</t>
  </si>
  <si>
    <t xml:space="preserve">Send the print job to reprographics (printing for Weeks 1 to 5 is booked before Week 1): worksheets, 24 per class (3 A4 pages, pages 1 and 2 back to back and page 3 on its own sheet = 48 sheets); kit card, 1 A5 teacher copy. Use only the designs rebuilt after the language pass</t>
  </si>
  <si>
    <t xml:space="preserve">Gather from the prep room: 12 magnifying glasses, 6 trays, cloths for wiping tables (number not stated), 24 sheets of scrap paper per class (one-side-used is fine), paper towels or wet wipes; check the visualiser works and the room has a sink with soap for hand washing</t>
  </si>
  <si>
    <t xml:space="preserve">Kit card teacher prep, printing (Teacher Guide prep calendar, Week 1 row): print the fingerprint record cards on A4 white card, 2 per sheet (A5 landscape, single-sided), and cut in half: 12 sheets = 24 cards per class; print the Fingerprint File, 7 A4 single-sided copies per class (6 groups + 1 display). Check the scene print is clearly a loop but smudged at the centre and no pattern names are on the sheet (Case Bible Section 12: 10 minutes)</t>
  </si>
  <si>
    <t xml:space="preserve">lesson file</t>
  </si>
  <si>
    <t xml:space="preserve">Record cards stay in the case files</t>
  </si>
  <si>
    <t xml:space="preserve">Check every case file has its suspect cards (the Do Now uses them) and its evidence log (Week 1 lesson file note)</t>
  </si>
  <si>
    <t xml:space="preserve">Practise one pencil-and-tape print (lots of graphite, gentle press, no sliding) before demonstrating it under the visualiser</t>
  </si>
  <si>
    <t xml:space="preserve">Plan the seating so each Band 1 student sits beside a Band 3 language buddy, who holds the Language buddy card</t>
  </si>
  <si>
    <t xml:space="preserve">Optional display (kit card; Case Bible Section 12): cut the scene print from a printed Fingerprint File and tape it onto a real drinking glass</t>
  </si>
  <si>
    <r>
      <rPr>
        <sz val="10"/>
        <color rgb="FF00235F"/>
        <rFont val="Arial"/>
        <family val="0"/>
        <charset val="1"/>
      </rPr>
      <t xml:space="preserve">Kit card teacher prep, before students arrive (the kit card gives about 15 minutes for all teacher prep, including the printing above): draw the tally table on the board with rows labelled as on Slide 9 (Loop </t>
    </r>
    <r>
      <rPr>
        <sz val="10"/>
        <color rgb="FF00235F"/>
        <rFont val="WenQuanYi Zen Hei"/>
        <family val="2"/>
      </rPr>
      <t xml:space="preserve">箕形纹 </t>
    </r>
    <r>
      <rPr>
        <sz val="10"/>
        <color rgb="FF00235F"/>
        <rFont val="Arial"/>
        <family val="0"/>
        <charset val="1"/>
      </rPr>
      <t xml:space="preserve">/ Whorl </t>
    </r>
    <r>
      <rPr>
        <sz val="10"/>
        <color rgb="FF00235F"/>
        <rFont val="WenQuanYi Zen Hei"/>
        <family val="2"/>
      </rPr>
      <t xml:space="preserve">斗形纹 </t>
    </r>
    <r>
      <rPr>
        <sz val="10"/>
        <color rgb="FF00235F"/>
        <rFont val="Arial"/>
        <family val="0"/>
        <charset val="1"/>
      </rPr>
      <t xml:space="preserve">/ Arch </t>
    </r>
    <r>
      <rPr>
        <sz val="10"/>
        <color rgb="FF00235F"/>
        <rFont val="WenQuanYi Zen Hei"/>
        <family val="2"/>
      </rPr>
      <t xml:space="preserve">弓形纹 </t>
    </r>
    <r>
      <rPr>
        <sz val="10"/>
        <color rgb="FF00235F"/>
        <rFont val="Arial"/>
        <family val="0"/>
        <charset val="1"/>
      </rPr>
      <t xml:space="preserve">/ Total </t>
    </r>
    <r>
      <rPr>
        <sz val="10"/>
        <color rgb="FF00235F"/>
        <rFont val="WenQuanYi Zen Hei"/>
        <family val="2"/>
      </rPr>
      <t xml:space="preserve">总数</t>
    </r>
    <r>
      <rPr>
        <sz val="10"/>
        <color rgb="FF00235F"/>
        <rFont val="Arial"/>
        <family val="0"/>
        <charset val="1"/>
      </rPr>
      <t xml:space="preserve">); set out 6 trays, each with 4 soft pencils, 1 roll of clear tape, 4 sheets of scrap paper, 4 record cards, 2 magnifying glasses and a few paper towels or wet wipes; case files, role cards and frame cards on the tables; worksheets and Fingerprint Files on the teacher desk (the Fingerprint Files go out at minute 14 of the Do phase); visualiser on</t>
    </r>
  </si>
  <si>
    <t xml:space="preserve">Clean-up (kit card; Safety Officer leads): record cards into case files; tape and pencils back in the tray; wipe tables; everyone washes hands; Fingerprint Files collected</t>
  </si>
  <si>
    <t xml:space="preserve">Between classes: count pencils and tape back; refill each tray with 4 sheets of scrap paper and 4 record cards; replace any Fingerprint File that has been written on</t>
  </si>
  <si>
    <t xml:space="preserve">Read the exit tickets (common vs rare as evidence) and check a sample of record cards for correct classification; note who needs the next Do Now recap; case files and logbooks into the class box</t>
  </si>
  <si>
    <t xml:space="preserve">After the last class: return the magnifying glasses, trays and cloths to the prep room; keep the 6 tape rolls for Week 3</t>
  </si>
  <si>
    <t xml:space="preserve">Print the spinner template on A4 thin card (160 gsm) at 100% scale, not 'fit to page': 9 sheets per class (1 per group plus 3 spares); check the 1 cm square measures 1 cm</t>
  </si>
  <si>
    <t xml:space="preserve">Week 4</t>
  </si>
  <si>
    <t xml:space="preserve">Send the worksheet to reprographics: 24 copies per class, 5 A4 pages double-sided (72 sheets), black and white; use only the designs rebuilt after the language pass</t>
  </si>
  <si>
    <t xml:space="preserve">Print the odd-one-out group sheet (6 A4 landscape sheets, single-sided) and cut each into four A6 cards A to D; keep each set of four together</t>
  </si>
  <si>
    <t xml:space="preserve">Print one copy of the kit card (A5) for the teacher</t>
  </si>
  <si>
    <t xml:space="preserve">Measure and mark 2.0 m and 1.8 m above the floor at six stations with a metre stick and masking tape; label the lower strip '1.8 m'; choose walls away from windows, fans and air-conditioning vents</t>
  </si>
  <si>
    <t xml:space="preserve">Make one S (4 cm) and one L (8 cm) spinner, each with one paper clip, for the Hook demo and test them once from the 2 m mark</t>
  </si>
  <si>
    <t xml:space="preserve">Label six A5 envelopes with the group names</t>
  </si>
  <si>
    <t xml:space="preserve">Set out one kit tray per group (1 template sheet, 2 scissors, 4 paper clips, 1 stopwatch, 1 metre stick, labelled envelope); put the 3 spare sheets, demo spinners, worksheets and odd-one-out card sets on the teacher desk; check the wall marks are stuck and the floor below is clear</t>
  </si>
  <si>
    <t xml:space="preserve">Collect the six envelopes, check each holds the S, M and L spinners, and store them with the logbooks in the class box for Week 4</t>
  </si>
  <si>
    <t xml:space="preserve">Check 12 scissors and 6 stopwatches are back in the tray, collect the odd-one-out card sets, return kit and metre sticks to the prep room and clear paper scraps to recycling</t>
  </si>
  <si>
    <t xml:space="preserve">Read the exit tickets (IV, DV and one control variable) to plan the Week 4 Do Now recap and spot who is ready for Stretch</t>
  </si>
  <si>
    <t xml:space="preserve">Buy the group pens: 24 black washable felt-tip pens (6 sets of A to D) in the same four brands as the pre-test pens; check there are enough white coffee filters for 44 strips per class (filters are on the before-Week 1 buy list)</t>
  </si>
  <si>
    <t xml:space="preserve">Weeks 7 to 8 (Ink 2)</t>
  </si>
  <si>
    <t xml:space="preserve">Print the Teacher Pre-test Record (1 copy, A4 portrait, single-sided) ready for the pen pre-test</t>
  </si>
  <si>
    <t xml:space="preserve">Run the pen pre-test (Case Bible Section 11; prep calendar Week 1): dot each pen on a strip with a pencil baseline 2 cm up, 1 cm water, wait 6 to 8 minutes; check four clearly different patterns; choose the most striking as pen B; cover brand names with masking tape and label A to D; fill in the Pre-test Record (the Core b answer key); keep the dried strips; write the display note on white card with pen B and photograph it</t>
  </si>
  <si>
    <t xml:space="preserve">Spare pens kept for Weeks 7 to 8 (Ink 2)</t>
  </si>
  <si>
    <t xml:space="preserve">Label the 24 group pens: masking tape over each brand name, letter A to D written on to match the pre-test letters; make up 6 sets of four</t>
  </si>
  <si>
    <t xml:space="preserve">Send the print job to reprographics: worksheets (24 per class, 4 A4 pages double-sided = 48 sheets) and the kit card (A5); use only the designs rebuilt after the language pass</t>
  </si>
  <si>
    <t xml:space="preserve">Print and laminate 6 chromatography lab cards (A5 landscape, single-sided) in A5 pouches</t>
  </si>
  <si>
    <t xml:space="preserve">Cut 44 coffee-filter strips (2 cm by 10 cm) and make 8 note ink strips N with pen B: pencil line 2 cm up, 'N' in pencil at the top, small dot of pen B dried and re-dotted three times on the same spot; check against the pre-test that N matches B</t>
  </si>
  <si>
    <t xml:space="preserve">Week 7 (the 2 spare N strips can serve the Ink 2 groups)</t>
  </si>
  <si>
    <t xml:space="preserve">Only if there is just one set of pens: pre-dot strips A to D for every group (24 strips, baseline and letter in pencil)</t>
  </si>
  <si>
    <t xml:space="preserve">Set out 6 kit trays before students arrive: 6 filter strips, 1 N strip, pens A to D, 5 cups, 5 pencils, tape or clips, 30 cm ruler, jug of tap water, 2 paper towels; lab card, role cards and frame cards on every table; display note, one dried pre-test strip and the Pre-test Record on the teacher desk</t>
  </si>
  <si>
    <t xml:space="preserve">Group set-up in the Do phase: Measurer draws pencil baselines, Lead Scientist dots pens A to D, Safety Officer pours water to 1 cm, Recorder labels the cups; all five strips go in together</t>
  </si>
  <si>
    <t xml:space="preserve">Clean-up: pour water into the sink; dry strips flat on paper towels labelled with the group number; count pens back in (4 per tray); wipe tables; wash hands; case files and logbooks into the class box</t>
  </si>
  <si>
    <t xml:space="preserve">Check all 24 pens are back with caps on; rinse and dry cups and jugs; store the drying strips flat by class and group for the Week 4 Do Now; reset trays with fresh strips and N strips for the next class</t>
  </si>
  <si>
    <t xml:space="preserve">Dried chromatograms handed back in the Week 4 Do Now</t>
  </si>
  <si>
    <t xml:space="preserve">Read the exit tickets (which pen, who is ruled out, why reference samples) and note who needs the Week 4 Do Now recap</t>
  </si>
  <si>
    <t xml:space="preserve">Book the print job with reprographics: worksheets, 24 per class (5 A4 pages double-sided = 3 sheets per copy, 72 sheets), collated in page order; kit card (A5, teacher copy). Use only the designs rebuilt after the language pass</t>
  </si>
  <si>
    <t xml:space="preserve">Print the spare spinner template sheets on 160 gsm A4 white card at 100% scale (3 per class for the teacher desk; the Week 3 spec keeps 9 in reserve), unless they were printed with the Week 3 batch</t>
  </si>
  <si>
    <t xml:space="preserve">Print 6 sample data cards (A5 landscape, single-sided)</t>
  </si>
  <si>
    <t xml:space="preserve">Week 5</t>
  </si>
  <si>
    <t xml:space="preserve">Laminate the 6 sample data cards in A5 pouches</t>
  </si>
  <si>
    <t xml:space="preserve">Check every group envelope: three spinners, wings not torn, one paper clip each; rebuild any damaged spinner from a spare template sheet</t>
  </si>
  <si>
    <t xml:space="preserve">Re-press any wall marks that have peeled off at the 6 stations; check 2.0 m with a metre stick</t>
  </si>
  <si>
    <t xml:space="preserve">Collect from the prep room: 7 stopwatches and the tray, 6 pairs of scissors, 12 spare paper clips and a metre stick; check the stopwatches work and are reset</t>
  </si>
  <si>
    <t xml:space="preserve">Check the Week 3 demo L spinner with one test drop from the 2 m mark; rebuild it from a spare sheet if bent</t>
  </si>
  <si>
    <t xml:space="preserve">Plan this week's roles (rotate so each group has a new Measurer, plus a Dropper) and check each Band 1 student sits beside a Band 3 language buddy who holds the buddy card</t>
  </si>
  <si>
    <t xml:space="preserve">Set out before students arrive: scissors, 2 spare paper clips and a stopwatch per group, role cards and frame cards on tables; spinner envelopes, 3 spare template sheets, 6 sample data cards, the extra stopwatch, the demo L spinner and worksheets on the teacher desk; floor under the drop marks clear of bags</t>
  </si>
  <si>
    <t xml:space="preserve">Clean-up: spinners and the group results table back in the group envelope; stopwatches reset and counted back into the tray, scissors counted back; exit tickets collected; logbooks into the class box</t>
  </si>
  <si>
    <t xml:space="preserve">Week 5 (envelopes and results tables)</t>
  </si>
  <si>
    <t xml:space="preserve">Collect and store the 6 group envelopes; check each holds its results table; note groups whose data is unusable (they use the sample data card in Week 5) in the tracker notes; keep the 6 sample data cards for Week 5</t>
  </si>
  <si>
    <t xml:space="preserve">Read the exit tickets: anomaly circled, mean divides by 2 not 3, unit given; note who needs a recap before the Week 5 checkpoint</t>
  </si>
  <si>
    <t xml:space="preserve">Book the print job with reprographics: worksheets (24 per class; 3 A4 pages, pages 1 and 2 back to back and page 3 on its own sheet, so 48 sheets), 1 kit card (A5 landscape, teacher copy), 6 powder testing lab cards (A5 landscape) and 1 identification key poster (A3 portrait). Print only from the designs rebuilt after the language pass</t>
  </si>
  <si>
    <t xml:space="preserve">Week 5 (key poster on the wall; unfinished Stretch keys done as the Do Now); Weeks 7 and 8 (results grid in the case file)</t>
  </si>
  <si>
    <t xml:space="preserve">Get the food materials from the canteen or buy them (per class: about 12 teaspoons each of salt, sugar, cornflour and plain flour, about 30 teaspoons of baking soda, about 180 ml of white vinegar) and order 30 small lidded pots, 6 zip bags, 36 stirring sticks, 6 pieces of black card and 42 sticky labels per class</t>
  </si>
  <si>
    <t xml:space="preserve">Week 5 (baking soda and vinegar); Weeks 7 and 8 (Powder 2: powders, pots, black card)</t>
  </si>
  <si>
    <t xml:space="preserve">Ask the prep room for the class kit: 24 goggles, 6 magnifying glasses, 6 spotting tiles (12 wells), 42 small clear plastic cups, 6 droppers, 36 small spoons or lolly sticks, 6 trays, cloths and, if iodine will be used, 6 dropper bottles of dilute iodine solution</t>
  </si>
  <si>
    <t xml:space="preserve">Week 8 (Powder 2 uses the same kit)</t>
  </si>
  <si>
    <t xml:space="preserve">Kit card teacher prep (about 15 minutes): check the allergy list (wheat flour, corn) and give anyone affected the Recorder role; fill and label 6 sets of 5 known powder pots (about 2 teaspoons each) and 6 Evidence 3 bags (about 3 teaspoons of baking soda, labelled 'Evidence 3: white powder, floor by desk (F4)'); test one portion of the scene powder with vinegar (it must fizz strongly); decide whether iodine will be used (if not, show Slide 10). The kit card's 15 minutes also covers pouring the vinegar, done on the day</t>
  </si>
  <si>
    <t xml:space="preserve">Weeks 7 and 8 (an unopened Evidence 3 bag can serve a Powder 2 group)</t>
  </si>
  <si>
    <t xml:space="preserve">Laminate the 6 powder testing lab cards in A5 pouches and trim</t>
  </si>
  <si>
    <t xml:space="preserve">Find each group's dried Week 3 chromatograms (strips A to D and N, labelled with the group number) and the Week 3 worksheets, ready to hand back in the Do Now</t>
  </si>
  <si>
    <t xml:space="preserve">Plan this week's roles and seating: anyone with a wheat or corn allergy is the Recorder; each Band 1 student sits beside a Band 3 language buddy (buddy card) and starts as Measurer on the water cups</t>
  </si>
  <si>
    <t xml:space="preserve">Set out before students arrive: pour about 30 ml of white vinegar into each of 6 labelled cups with a dropper; fill 36 small clear cups a third full of water; on each of 6 trays put 4 goggles, 5 labelled powder pots, the Evidence 3 bag, 6 spoons or lolly sticks, 6 water cups, 6 stirring sticks, a spotting tile, the vinegar cup, a magnifier with black card, paper towels and the lab card; iodine bottles on the teacher's desk; worksheets, role cards, frame cards, tape and each group's chromatograms on tables; case files and logbooks from the class box</t>
  </si>
  <si>
    <t xml:space="preserve">Student clean-up: pour cup contents down the sink with plenty of water; rinse the spotting tile; wipe tables with a damp cloth; goggles back in the box; iodine back to the teacher; everyone washes hands; exit tickets collected, case files and logbooks into the class box</t>
  </si>
  <si>
    <t xml:space="preserve">Wash and dry spoons, spotting tiles, droppers and cups; bin used lolly sticks and stirring sticks; check iodine bottles are capped and stored; refill or top up the powder pots, Evidence 3 bags and vinegar for the next class (discard any pot that looks contaminated)</t>
  </si>
  <si>
    <t xml:space="preserve">Read the exit tickets and glance at the results grids and evidence log row 4: note who needs the Week 5 Do Now recap and who has not finished the Stretch key</t>
  </si>
  <si>
    <t xml:space="preserve">Week 5 (Do Now recap; Stretch key can be finished as the Do Now)</t>
  </si>
  <si>
    <t xml:space="preserve">Put up the A3 identification key poster on the classroom wall once every class has done Week 4, ready for Week 5</t>
  </si>
  <si>
    <t xml:space="preserve">Week 5 onwards (wall display)</t>
  </si>
  <si>
    <t xml:space="preserve">Keep any unopened Evidence 3 bags, the labelled pots and the black card for the Powder 2 groups</t>
  </si>
  <si>
    <t xml:space="preserve">Weeks 7 and 8 (Powder 2)</t>
  </si>
  <si>
    <t xml:space="preserve">Send the worksheet print job: 24 copies per class, 4 A4 pages double-sided (48 sheets); check one copy prints the graph grid at 100% (the 1 cm squares measure 1 cm). Use only the design rebuilt after the language pass</t>
  </si>
  <si>
    <t xml:space="preserve">Print the checkpoint papers in class order: 25 per class (24 students + 1 for the incoming teacher), 2 A4 pages double-sided on one sheet</t>
  </si>
  <si>
    <t xml:space="preserve">Print and cut the BAR | LINE voting cards: 3 A4 card sheets double-sided, 24 cards of 10 x 7 cm (print one test sheet first to check the back lines up), or reuse a set from another class</t>
  </si>
  <si>
    <t xml:space="preserve">Reusable by every class</t>
  </si>
  <si>
    <t xml:space="preserve">Print the Bar or line? cards A to D (1 set of 4 A5 landscape cards) for the teacher to hold up, or reuse an existing set</t>
  </si>
  <si>
    <t xml:space="preserve">Print the teacher copies: kit card (A5), checkpoint mark scheme, the Section 1 lesson plan for the incoming teacher, and one handover note form per class (Tracker_Spec Section 6)</t>
  </si>
  <si>
    <t xml:space="preserve">Check the group envelopes (spinners and Week 4 results tables); note which groups will need the sample data card</t>
  </si>
  <si>
    <t xml:space="preserve">Sharpen 24 pencils plus spares; put the spares and a sharpener on the teacher desk</t>
  </si>
  <si>
    <t xml:space="preserve">Prepare a seat at the back for the incoming teacher, with a copy of the lesson plan and the checkpoint</t>
  </si>
  <si>
    <t xml:space="preserve">Set out before students arrive: a ruler, sharp pencil, logbook and voting card per student; role cards, frame cards and dictionaries on the tables; group envelopes, checkpoint papers in class order, worksheets, the 6 sample data cards and the Bar or line? cards on the teacher desk</t>
  </si>
  <si>
    <t xml:space="preserve">Clean-up: collect checkpoint papers first, counted against the register; collect worksheets and exit tickets; count voting cards back; logbooks into the class box; keep two sets of S, M and L spinners as the demo for the incoming teacher; recycle the other spinners and the envelopes</t>
  </si>
  <si>
    <t xml:space="preserve">Demo spinners kept for the incoming teacher</t>
  </si>
  <si>
    <t xml:space="preserve">Mark the checkpoints out of 12 with the mark scheme (no half marks; Chinese answers accepted)</t>
  </si>
  <si>
    <t xml:space="preserve">Answers can be gone through in Week 6</t>
  </si>
  <si>
    <t xml:space="preserve">Enter the checkpoint scores in tracker column Q (W5 checkpoint), before the handover note is written</t>
  </si>
  <si>
    <t xml:space="preserve">Read the graphs, conclusions and exit tickets: note students who struggled with axes and plotting (Week 9 depends on it) and groups that used sample data</t>
  </si>
  <si>
    <t xml:space="preserve">Complete one handover note per class: checkpoint summary, Week 1 papers location, language support (including any access arrangement used in the checkpoint), challenge, groups and roles, freezer decision and anything in storage (demo spinners, logbooks, trial strips), kit status, safety</t>
  </si>
  <si>
    <t xml:space="preserve">Book the 30-minute Week 6 walkthrough with the incoming teacher</t>
  </si>
  <si>
    <t xml:space="preserve">Strip trial for Weeks 7 to 8: make the trough template block, 12 cm long and 2 cm wide (a wood offcut, or rulers taped together)</t>
  </si>
  <si>
    <t xml:space="preserve">Week 7 (folding 60 class troughs); keep for next year</t>
  </si>
  <si>
    <t xml:space="preserve">Strip trial: fold 5 foil troughs round the template block (foil about 20 x 10 cm, folded double, ends pinched up, 3 cm tab)</t>
  </si>
  <si>
    <t xml:space="preserve">Strip trial (Plan B): check the allergy list, mix a small batch of salt dough and weigh 5 balls of 18 g</t>
  </si>
  <si>
    <t xml:space="preserve">Strip trial (Plan A): measure 12 ml of water into each of the 5 troughs and freeze flat and level for at least 24 hours; then test 3 strips on the rig with 25 ml pours (aim: snap at about 150 to 500 ml); over about 800 ml, use 8 ml strips (3 to 4 mm); under 75 ml, narrow the Week 8 span to 8 cm. Record the decision (Week 7 kit card: on the class project board; also on the handover note if decided before the handover); keep 2 spare strips frozen and labelled for the Week 8 Hook</t>
  </si>
  <si>
    <t xml:space="preserve">Weeks 7 and 8 (strip thickness and span decision; 2 spare strips for the Week 8 Hook)</t>
  </si>
  <si>
    <t xml:space="preserve">Strip trial (Plan B): press each 18 g ball along a trough and dry the 5 strips on a dry shelf for a week (made in Week 5 so they can dry); then test 3 on the rig with 25 ml pours (aim: snap at about 150 to 500 ml); over about 800 ml, use 12 g balls; under 75 ml, narrow the span to 8 cm; if a strip bends without snapping, dry longer. Record the decision; keep 2 spare strips for the Week 8 Hook</t>
  </si>
  <si>
    <t xml:space="preserve">Strip trial: build one test rig as in Week 8 Section 6a: two desks 10 cm apart (check with a ruler), two equal stacks of three books (top books in plastic bags for Plan A), pre-tie a hanger string and test its length, mark the 25 ml line on a plastic cup with the measuring cylinder, bucket under the bag, jug of water</t>
  </si>
  <si>
    <t xml:space="preserve">Same rig method in Week 8</t>
  </si>
  <si>
    <t xml:space="preserve">Strip trial: clear away the rig: water down the sink, broken strips in the bin, books dried and returned, bucket emptied</t>
  </si>
  <si>
    <t xml:space="preserve">Order or buy red cabbage (a quarter head per class), lemon juice, plain bar soap and bottled or purified water (Teacher Guide prep calendar, Week 3); check stock of white vinegar, baking soda, goggles (24), small clear cups (74 per class), droppers (36), trays (6), sticky notes and sticky labels</t>
  </si>
  <si>
    <t xml:space="preserve">Check the allergy list for lemon juice (a food material) and plan for any student affected</t>
  </si>
  <si>
    <t xml:space="preserve">Send the print job to reprographics (printing booked in Week 2; printed in Week 4): checkpoint papers (25 per class, 2 A4 pages double-sided = 25 sheets), worksheets (24 per class, 3 A4 pages double-sided = 48 sheets), mark scheme (1), kit card (1, A5 double-sided), Ideas Parking Board header (1, A4 landscape), lesson plan for the incoming teacher (1) and the handover note form (1 per class). Use only the designs rebuilt after the language pass</t>
  </si>
  <si>
    <t xml:space="preserve">Print the pH colour chart in colour: 6 A5 landscape copies plus 1 enlarged A3 copy for the wall</t>
  </si>
  <si>
    <t xml:space="preserve">Laminate and trim the 6 A5 pH colour charts (they can serve every class)</t>
  </si>
  <si>
    <t xml:space="preserve">Optional: label the cups in advance to take labelling out of the kit card's 15 minutes on the day: 36 indicator cups, 30 reference cups (lemon juice, white vinegar, water, soap solution, baking soda solution, 6 of each) and 6 'Evidence 4: liquid, floor by sink (I2)' cups; labels stay on if cups are rinsed and reused</t>
  </si>
  <si>
    <t xml:space="preserve">Make the red cabbage indicator (Case Bible Section 13): chop a quarter of a red cabbage, pour on about 500 ml hot bottled water from the kettle in a heatproof jug, stir, leave 15 minutes, strain through a sieve into a clean bottle, cool, label 'Red cabbage indicator: do not drink' and refrigerate; check it is purple in bottled water. Teacher only (hot water)</t>
  </si>
  <si>
    <t xml:space="preserve">Put up the Ideas Parking Board header on the wall space, the A3 pH colour chart, and the Week 4 white powder identification key poster (the Week 4 file says display it from Week 5)</t>
  </si>
  <si>
    <t xml:space="preserve">Week 6 (Do Now points to the board); Week 9 (board or its photo)</t>
  </si>
  <si>
    <t xml:space="preserve">Make soap solution (about 1 teaspoon grated plain bar soap in 200 ml warm water, stir until cloudy) and baking soda solution; mix equal amounts to make the scene liquid; fill 36 cups with about 10 ml (2 cm) of indicator plus 2 for the Hook demo, 30 reference cups and 6 Evidence 4 cups (about 10 ml each); label all cups; test the scene liquid yourself (it must turn blue-green; add a pinch of baking soda to the soap solution if it only goes blue-purple); put checkpoint papers on desks</t>
  </si>
  <si>
    <t xml:space="preserve">Set out 6 trays (per group: 4 goggles, 6 indicator cups, 5 reference cups, 1 Evidence 4 cup, 6 droppers or 2 plus a rinse cup, 1 sheet of white paper, a laminated pH chart, paper towels); Hook demo on the teacher's desk (2 indicator cups, vinegar, baking soda solution); sticky notes; case files and logbooks from the class box; role and frame cards on tables</t>
  </si>
  <si>
    <t xml:space="preserve">Set a seat for the incoming teacher where groups can be seen, with the one-page lesson plan and a checkpoint paper on it (Teacher Guide Section 10)</t>
  </si>
  <si>
    <t xml:space="preserve">Clean-up by groups (kit card): pour all liquids down the sink with plenty of water, rinse cups if reusing or recycle, goggles back in the box, wipe tables, everyone washes hands; sticky notes on the board; exit tickets collected at the door; case files and logbooks into the class box</t>
  </si>
  <si>
    <t xml:space="preserve">Finish rinsing cups and droppers for the next class, or recycle the cups; label leftover indicator and keep it in the fridge for up to 3 days, then discard</t>
  </si>
  <si>
    <t xml:space="preserve">Photograph the Ideas Parking Board before anything is moved and put the photo in the handover folder</t>
  </si>
  <si>
    <t xml:space="preserve">Week 9 (Hook slide 4 and the tunnel vision sort; photo printed in Week 8)</t>
  </si>
  <si>
    <t xml:space="preserve">Mark the checkpoint out of 12 with the mark scheme (Chinese answers marked on the same rules, Checkpoint_Y8.md Section 0) and enter the scores in tracker column Q before writing the handover note; note any reader or translation app use in the notes column</t>
  </si>
  <si>
    <t xml:space="preserve">Week 6 (answers may be gone through)</t>
  </si>
  <si>
    <t xml:space="preserve">Read the exit tickets and results tables; note students who spotted the mop bucket early and any Excellent-level Challenge answers for the incoming teacher</t>
  </si>
  <si>
    <t xml:space="preserve">Week 6 (incoming teacher)</t>
  </si>
  <si>
    <t xml:space="preserve">Complete one handover note per class (Tracker_Spec Section 6): checkpoint summary and bands, groups and roles, language support, students ready for challenge, storage, kit status, safety notes</t>
  </si>
  <si>
    <t xml:space="preserve">Week 6 (incoming teacher leads)</t>
  </si>
  <si>
    <t xml:space="preserve">Week 6</t>
  </si>
  <si>
    <t xml:space="preserve">Book a freezer drawer for the day before each lesson (or ask the canteen for about 28 same-size cubes per class); check that 2 ice-cube trays of one type and a cool box are free</t>
  </si>
  <si>
    <t xml:space="preserve">Weeks 7 to 8 (freezer space for the samples)</t>
  </si>
  <si>
    <t xml:space="preserve">Count and reserve 7 thermometers (spirit-filled or digital, never mercury), 6 stopwatches, a kettle, a jug of at least 2 litres and a second jug or flask</t>
  </si>
  <si>
    <t xml:space="preserve">Gather the shared kit: 6 trays, plastic cups, elastic bands, paper towels, mop and bucket, scissors and a ruler; foil, cotton wool sheet and bubble wrap from the programme order; collect newspaper and fabric scraps; get 6 group folders</t>
  </si>
  <si>
    <t xml:space="preserve">Weeks 7 to 10 (trays and folders)</t>
  </si>
  <si>
    <t xml:space="preserve">Gather the Plan A extras: 28 small zip-lock sandwich bags and 12 pairs of disposable gloves per class, and 6 measuring cylinders (25 ml or 10 ml)</t>
  </si>
  <si>
    <t xml:space="preserve">Send the print job for your plan only: worksheets (24 per class, 5 A4 pages double-sided = 72 sheets, collated), Week 7 planning frames (8 per class, 5 A4 pages double-sided = 24 sheets), concept cartoon (1 A3 copy) and kit card (1 A5). Use only the designs rebuilt after the language pass</t>
  </si>
  <si>
    <t xml:space="preserve">Planning frames stay in the group folders to Week 10</t>
  </si>
  <si>
    <t xml:space="preserve">Laminate the A3 concept cartoon and put it up by the board</t>
  </si>
  <si>
    <t xml:space="preserve">Label 24 plastic cups A to D (4 per group) with the marker</t>
  </si>
  <si>
    <t xml:space="preserve">Mark the 150 ml line on all 24 cups with a measuring cylinder and the marker</t>
  </si>
  <si>
    <t xml:space="preserve">Check all 7 thermometers in one cup of room-temperature water: they should agree within 1 °C; replace any that do not</t>
  </si>
  <si>
    <t xml:space="preserve">Decide the project groups for Weeks 6 to 10 (keep or re-form) from the handover note, record them in tracker column F, label the 6 group folders, put one planning frame in each and plan the language buddy seating</t>
  </si>
  <si>
    <t xml:space="preserve">Weeks 7 to 10 (groups and folders)</t>
  </si>
  <si>
    <t xml:space="preserve">Freeze two trays of ice cubes (about 28), same tray type, filled to the same level</t>
  </si>
  <si>
    <t xml:space="preserve">Cut the 15 x 15 cm squares (per class: foil 3, newspaper 6, cotton wool sheet 3, fabric 3, bubble wrap 3) and pack the 6 trays by Set A (groups 1, 3, 5) and Set B (groups 2, 4, 6), each with 4 labelled cups, 5 elastic bands, a measuring cylinder, 6 paper towels and 2 pairs of gloves</t>
  </si>
  <si>
    <t xml:space="preserve">Cut the 25 x 10 cm jackets and 10 x 10 cm lid squares with a 1 cm slit (per class: foil 3 + 3, newspaper 6 + 6, cotton wool sheet 3 + 3, fabric 3 + 3, bubble wrap 3 + 3) and pack the 6 trays by Set A and Set B, each with 4 marked cups, 6 elastic bands, a thermometer, a stopwatch and 6 paper towels</t>
  </si>
  <si>
    <t xml:space="preserve">Put each ice cube in its own zip-lock bag, squeeze out the air and seal; keep the 28 bagged cubes in the cool box or freezer until the lesson</t>
  </si>
  <si>
    <t xml:space="preserve">Before students arrive: kit trays on the tables; worksheets, planning frames in the labelled group folders and the kit card on the teacher desk; mop or a roll of paper towels ready. Plan A: cool box at the door and Slide 1 up. Plan B: jug, kettle and spare thermometer on the teacher desk and Slide 2 up</t>
  </si>
  <si>
    <t xml:space="preserve">Boil the kettle just before the lesson; during the Do Now mix kettle water and cold tap water in the jug until the spare thermometer reads about 50 °C (never above 55 °C). About 3.6 litres are needed for 24 cups, so refill or use the second jug</t>
  </si>
  <si>
    <t xml:space="preserve">Clean-up by roles: ice, bags and wet materials in the bin; dry foil and bubble wrap kept; measuring cylinders rinsed and counted back; cups stacked; tables wiped dry; logbooks into the class box</t>
  </si>
  <si>
    <t xml:space="preserve">Collect and count the 7 thermometers first, before anything else is moved</t>
  </si>
  <si>
    <t xml:space="preserve">Clean-up by roles: water into the sink; wet newspaper and cotton wool in the bin; foil, fabric and bubble wrap set aside to dry; cups stacked; tables wiped; logbooks into the class box</t>
  </si>
  <si>
    <t xml:space="preserve">Dry and store the reusable materials (Plan A: dry foil and bubble wrap; Plan B: foil, fabric and bubble wrap); mop the floor if needed; restock the 6 trays (fresh squares or jackets, cups, bands, towels) for the next class</t>
  </si>
  <si>
    <t xml:space="preserve">Week 8 (Plan A: bubble wrap for insulated boxes if cool boxes are short)</t>
  </si>
  <si>
    <t xml:space="preserve">Keep the planning frames (page 1 drafted) in the group folders for Week 7; read the exit tickets; note who leads each group and who needs language support (first lesson for the incoming teacher)</t>
  </si>
  <si>
    <t xml:space="preserve">Week 7 (folders returned in the Do Now)</t>
  </si>
  <si>
    <t xml:space="preserve">Walkthrough meeting with the current teacher (before your first Week 6 lesson): handover notes, tracker, freezer decision, Year 8 case and what must stay secret, kit and prep for Weeks 6 and 7</t>
  </si>
  <si>
    <t xml:space="preserve">Read the Case Bible, Sections 4 to 6 (suspects, scene evidence, who is ruled in or out); students will test you on the suspects' heights and foot lengths</t>
  </si>
  <si>
    <t xml:space="preserve">Send the print job: worksheets (24 per class, 4 A4 pages double-sided = 48 sheets), 7 A5 sample data cards, 2 or 3 A4 height station signs and 1 A5 kit card; print only from the designs rebuilt after the language pass (part of the kit card's 'about 20 minutes')</t>
  </si>
  <si>
    <t xml:space="preserve">Print the scene footprint on A4 at 100% ('actual size', never 'fit to page'): 6 per class plus 1 for the scene table; check each copy measures exactly 24 cm with a ruler (Case Bible prep sheet: 5 minutes; part of the kit card's 'about 20 minutes')</t>
  </si>
  <si>
    <t xml:space="preserve">Laminate the 7 sample data cards in A5 pouches</t>
  </si>
  <si>
    <t xml:space="preserve">Borrow 6 hardback books from the library or staff room</t>
  </si>
  <si>
    <t xml:space="preserve">Collect 12 rulers (30 cm), 7 metre sticks or tape measures (plus up to 3 more if the height stations use upright metre sticks) and 6 trays; check the tape measures retract smoothly; sharpen 24 pencils</t>
  </si>
  <si>
    <t xml:space="preserve">Find the Ideas Parking Board from Week 5, or its photo (location on the handover note), to point to in the Do Now; photograph it now if that was not done in Week 5</t>
  </si>
  <si>
    <t xml:space="preserve">Week 9</t>
  </si>
  <si>
    <t xml:space="preserve">Set up 2 or 3 height stations on clear wall space away from doors: tape up a paper height chart (130 to 190 cm), or fix a metre stick upright with a masking tape strip marked every 1 cm from 100 to 200 cm; check the scale against a metre stick; put a height station sign beside each (part of the kit card's 'about 20 minutes')</t>
  </si>
  <si>
    <t xml:space="preserve">Can stay up if Year 7 or 9 need them</t>
  </si>
  <si>
    <t xml:space="preserve">Check the slide 9 class data table can be typed into while it is projected</t>
  </si>
  <si>
    <t xml:space="preserve">Decide whether this class uses its own data or the sample data (sample data recommended if the class is small or many students are absent) (part of the kit card's 'about 20 minutes')</t>
  </si>
  <si>
    <t xml:space="preserve">Set out one tray per group (scene footprint, 2 rulers, metre stick or tape measure, hardback book, sample data card, 4 sharp pencils); case files, role cards and frame cards on the tables; worksheets, the scene-table footprint and a metre stick at the front for the Hook</t>
  </si>
  <si>
    <t xml:space="preserve">Clean-up: shoes back on before anyone leaves their seat; rulers and metre sticks counted back into the trays; footprints into case files; sample data cards collected; case files and logbooks into the class box</t>
  </si>
  <si>
    <t xml:space="preserve">After the last class: leave the height charts up if Year 7 or 9 need them, otherwise remove the tape; return rulers, metre sticks, books and trays; store the laminated sample data cards</t>
  </si>
  <si>
    <t xml:space="preserve">Read the exit tickets before Week 7: record each student's option choice (Soil, Paper, Ink 2, Powder 2) and give each group one option (group majority, then balance: every option chosen by at least one group, no more than two groups per option); note in the tracker which groups used sample data, and fill column F if project groups differ from the usual groups</t>
  </si>
  <si>
    <t xml:space="preserve">Week 7 groups; Week 8 kit list</t>
  </si>
  <si>
    <t xml:space="preserve">Check the handover note for the Plan A or Plan B decision, then send the print job for that plan: 24 worksheets per class (3 A4 pages double-sided, 48 sheets), 2 A4 sheets of sample labels, 1 A3 class project board and 1 A5 double-sided kit card</t>
  </si>
  <si>
    <t xml:space="preserve">Class project board used to Week 9</t>
  </si>
  <si>
    <t xml:space="preserve">Gather or buy the consumables not already in stock from the pre-Week 1 order: untreated natural wood sawdust or pet-bedding shavings (never MDF), paper tissues, finely shredded paper (office shredder), cotton wool, kitchen foil, small zip-lock bags, small paper cups, masking tape, kitchen roll; Plan B: plain flour and salt</t>
  </si>
  <si>
    <t xml:space="preserve">Book freezer space: one drawer for 54 thin strips on trays, from this lesson to the Week 8 lesson</t>
  </si>
  <si>
    <t xml:space="preserve">Week 8</t>
  </si>
  <si>
    <t xml:space="preserve">Check the school allergy list for wheat or flour allergies; plan a non-dough role (Recorder or label-writing) for those students</t>
  </si>
  <si>
    <t xml:space="preserve">Read each group's Week 6 page 1 (Box 2 samples) in the group folders and list the fibre portions each group needs</t>
  </si>
  <si>
    <t xml:space="preserve">Fold 60 foil troughs round the template block (made for the Week 5 trial): foil about 20 cm x 10 cm folded in half to double thickness, wrapped round the block, both ends pinched up, a 3 cm flat tab at one end</t>
  </si>
  <si>
    <t xml:space="preserve">Laminate the A3 class project board</t>
  </si>
  <si>
    <t xml:space="preserve">Weeks 8 and 9</t>
  </si>
  <si>
    <t xml:space="preserve">Cut the 2 sample label sheets into 64 labels and bundle 10 per group</t>
  </si>
  <si>
    <t xml:space="preserve">Prepare the fibres in bulk: tear tissue into 5 mm pieces, collect finely shredded paper, pull cotton wool apart</t>
  </si>
  <si>
    <t xml:space="preserve">Pre-portion and label the fibres to match each group's plan (up to 36 portions in small cups or paper twists): with a 1 g scale split 6 g into 10 for 0.6 g, 3 g into 10 for 0.3 g, 9 g into 10 for 0.9 g (or weigh each on a 0.1 g scale); dampen the sawdust and seal it; spare fibre in labelled bags</t>
  </si>
  <si>
    <t xml:space="preserve">Pre-portion and label the fibres to match each group's plan (up to 36 portions), as Plan A; spare fibre in labelled bags</t>
  </si>
  <si>
    <t xml:space="preserve">Clear and label one freezer drawer 'Ice Engineers Y7: do not move'; check it is level</t>
  </si>
  <si>
    <t xml:space="preserve">Clear a dry shelf for two shallow trays for one week, away from sinks and very hot radiators</t>
  </si>
  <si>
    <t xml:space="preserve">Put the class project board up on the wall and write the strip trial decision on it (trial run in Week 5 or 6, in the Week 5 prep): strip size and fibre doses, and the Week 8 span (10 cm, or 8 cm if plain strips snapped under 75 ml)</t>
  </si>
  <si>
    <t xml:space="preserve">Make the salt dough: 2 batches (each 2 cups or about 250 g plain flour, 1 cup or about 290 g salt, about 240 ml water), mixed and kneaded until smooth and not sticky; weigh 54 balls of 18 g and seal each in a small zip-lock bag, plus spares</t>
  </si>
  <si>
    <t xml:space="preserve">Set out 6 kit trays: 10 foil troughs, 2 measuring cylinders, 3 mixing cups, 3 teaspoons, the group's labelled fibre portions, a cup of about 200 ml water (filled from the jug), 10 labels, pencils, masking tape, 4 paper towels; group folders on the tables; mop ready</t>
  </si>
  <si>
    <t xml:space="preserve">Set out 6 kit trays: 10 foil troughs, 9 bagged dough balls, the group's labelled fibre portions, 3 teaspoons, 10 labels, pencils, masking tape, 4 paper towels; group folders on the tables</t>
  </si>
  <si>
    <t xml:space="preserve">Tidy in the last 2 minutes of the lesson: spare fibre back in sealed bags, cups and teaspoons rinsed, tables and floor wiped (Plan A); empty bags in the bin, teaspoons rinsed, tables wiped with a damp cloth, hands washed (Plan B); trays to the teacher desk, flat</t>
  </si>
  <si>
    <t xml:space="preserve">Carry the trays flat and level straight to the freezer; freeze for at least 24 hours (only the teacher handles the freezer)</t>
  </si>
  <si>
    <t xml:space="preserve">Strips tested in Week 8</t>
  </si>
  <si>
    <t xml:space="preserve">Carry the trays flat to the drying shelf</t>
  </si>
  <si>
    <t xml:space="preserve">On day 3, peel the foil off the 54 dough strips and turn them so both sides dry</t>
  </si>
  <si>
    <t xml:space="preserve">Dry and put away the rinsed cylinders, cups and teaspoons; store the scale and the spare-fibre bags (sawdust kept damp and sealed)</t>
  </si>
  <si>
    <t xml:space="preserve">Photograph each approved planning frame for the tracker notes and keep the frames in the group folders</t>
  </si>
  <si>
    <t xml:space="preserve">Frames used to Week 10</t>
  </si>
  <si>
    <t xml:space="preserve">Read the exit tickets (a sample code and a control variable with a reason) before Week 8</t>
  </si>
  <si>
    <t xml:space="preserve">Book the print job with reprographics: plan sheets (24 per class, 4 A4 pages double-sided = 48 sheets, collated), plus teacher copies of the kit card (1 A5) and the four Week 8 kit lists (4 A5 pages). Use only the designs rebuilt after the language pass</t>
  </si>
  <si>
    <t xml:space="preserve">Week 8 (plan sheets returned with comments in the Do Now; kit lists for building trays)</t>
  </si>
  <si>
    <t xml:space="preserve">Kit card teacher prep (about 30 minutes): allocate one option to each group from the Week 6 exit tickets (every option at least once, no more than two groups per option, so a 2, 2, 1, 1 split) and note which groups need Evidence 6, Evidence 7, Evidence 3 or an N strip; print the option cards to match (10 A4 single-sided: 1 per group for its option plus 1 spare of each); stage Evidence 6 and Evidence 7 (Case Bible Section 12, about 10 min of this): a little soil from the flowerbed by the science block entrance (same place as reference A) in a sealed bag labelled 'Evidence 6', 1 per Soil group; one sheet from the lab's own paper towel roll per Paper group, pencil arrow along the roll direction, crumpled, sealed in a bag labelled 'Evidence 7'. The kit card also lists collecting the reference soils and papers if possible (separate optional task below)</t>
  </si>
  <si>
    <t xml:space="preserve">Week 8 (groups carry out the option they planned; option cards stay on the tables; the Evidence 7 sheet is smoothed flat and cut into strips)</t>
  </si>
  <si>
    <t xml:space="preserve">Laminate the 10 option cards (A4 pouches), if possible</t>
  </si>
  <si>
    <t xml:space="preserve">Week 8 (option cards stay on the tables beside the plan sheets)</t>
  </si>
  <si>
    <t xml:space="preserve">Evidence 3 bags for the Powder 2 groups: use an unopened Week 4 bag if one is left; otherwise put about 3 teaspoons of baking soda in a zip bag and label it 'Evidence 3: white powder, floor by desk (F4)'</t>
  </si>
  <si>
    <t xml:space="preserve">Note ink strips N for the Ink 2 groups: find the 2 spare Week 3 N strips or make new ones with pen B (Case Bible Section 11); put each in a clear sleeve</t>
  </si>
  <si>
    <t xml:space="preserve">If possible, collect the reference soils (A to D) and papers (P1 to P4) now so groups can see them while planning. The Week 8 kit cards give about 30 min for the soils (take Evidence 6 from flowerbed A at the same time) and about 15 min for the papers (arrows on every sheet); this is the Week 8 task done early, so count it once</t>
  </si>
  <si>
    <t xml:space="preserve">Week 8 (Soil and Paper tests)</t>
  </si>
  <si>
    <t xml:space="preserve">Set out before students arrive: per group, its option card, 4 plan sheets, its sealed evidence item (Evidence 6, 7 or 3 bag, or N strip in a sleeve), 4 mini whiteboards and pens, role cards and frame cards; case files and logbooks from the class box; Evidence 6 and 7 bags on the teacher desk for the Hook</t>
  </si>
  <si>
    <t xml:space="preserve">Clean-up: evidence bags and N strips back to the teacher; option cards kept for Week 8; plan sheets, exit tickets and kit requests collected at the door; whiteboards wiped; case files and logbooks into the class box</t>
  </si>
  <si>
    <t xml:space="preserve">Evidence bags kept for other classes; option cards for Week 8</t>
  </si>
  <si>
    <t xml:space="preserve">Read every plan sheet: check each risk table (sign off checkpoint 2 if not done in class), write one short comment on each plan (rubric strand 2 evidence) and read the exit tickets (IV, DV, a control, a hazard and its control)</t>
  </si>
  <si>
    <t xml:space="preserve">Week 8 (plan sheets returned with comments in the Do Now)</t>
  </si>
  <si>
    <t xml:space="preserve">Turn the six kit requests into a tray list per group, checked against the Week 8 kit lists by option and the Week 8 kit cards</t>
  </si>
  <si>
    <t xml:space="preserve">Week 8 (trays set out before students arrive)</t>
  </si>
  <si>
    <t xml:space="preserve">When the strip trial is run, keep 2 spare strips for the Hook (Plan A: frozen in the freezer drawer; Plan B: dried on the shelf); the Hook slides show one plain and one fibre strip</t>
  </si>
  <si>
    <t xml:space="preserve">Collect the rig kit for 6 groups plus a demo rig: about 78 textbooks (or use students' own), 13 carrier or freezer bags with handles, 13 buckets or deep bowls, 12 plastic cups, 6 jugs (about 2 litres), 6 waste bowls, 7 rulers, 13 towels, paper towels, string, a marker, a measuring cylinder, and the mop and bucket</t>
  </si>
  <si>
    <t xml:space="preserve">Collect the Plan A extras: 6 cool boxes with lids, 12 thin plastic bags for the top books, 18 pairs of disposable gloves; for up to 2 melting groups, 20 identical lids or saucers, 2 measuring cylinders (10 ml) and 2 stopwatches</t>
  </si>
  <si>
    <t xml:space="preserve">If cool boxes are short, wrap boxes with lids in bubble wrap (from Week 6) to make insulated boxes, one per group</t>
  </si>
  <si>
    <t xml:space="preserve">Pre-tie 13 hanger strings (2 per group plus the demo rig): a loop about 20 cm round with a tail so the bag hangs about 5 cm above the bottom of the bucket; test the length on one pair of classroom desks</t>
  </si>
  <si>
    <t xml:space="preserve">Mark the 25 ml line on 12 pour cups with a measuring cylinder and a marker</t>
  </si>
  <si>
    <t xml:space="preserve">Print the Plan A worksheet: 24 copies, 5 A4 pages double-sided (3 sheets each, 72 sheets), stapled</t>
  </si>
  <si>
    <t xml:space="preserve">Week 9 (results sheets return in the folders)</t>
  </si>
  <si>
    <t xml:space="preserve">Print the Plan B worksheet: 24 copies, 4 A4 pages double-sided (2 sheets each, 48 sheets), stapled; check the exit ticket cut first</t>
  </si>
  <si>
    <t xml:space="preserve">Print the rig diagram: 6 A4 landscape copies and 1 A3 copy for the board; laminate the 6 A4 copies (reusable in future years)</t>
  </si>
  <si>
    <t xml:space="preserve">Print 2 melting test station cards on A5 and laminate them</t>
  </si>
  <si>
    <t xml:space="preserve">Print the kit card for the plan you are running (A5, two-sided)</t>
  </si>
  <si>
    <t xml:space="preserve">Check the handover note and class project board: which plan, which groups (at most two, Plan A) run the melting test, and the trial decision (5 mm strips, thinner 3 to 4 mm strips, or an 8 cm span) so every group tests the same way</t>
  </si>
  <si>
    <t xml:space="preserve">Check the dough strips: press a spare strip with a thumbnail; it should feel hard, not soft. If strips are still soft, test the driest groups first and dry the rest for longer</t>
  </si>
  <si>
    <t xml:space="preserve">Check the allergy list: students with a flour allergy pour or record only and do not touch the strips</t>
  </si>
  <si>
    <t xml:space="preserve">Put one worksheet per student into each group folder with the Week 7 planning frame</t>
  </si>
  <si>
    <t xml:space="preserve">Set out a kit tray per group: kit for two rigs (about 12 books, 2 bags, 2 hanger strings, 2 buckets, 2 pour cups, jug filled with about 2 litres of water, waste bowl, ruler), 2 towels, paper towels and the laminated rig diagram; Plan A: 3 pairs of gloves, 2 top-book plastic bags, and the melting kit and station card for the melting groups; mop and bucket by the door</t>
  </si>
  <si>
    <t xml:space="preserve">Set up one demo rig at the front (listed on the Plan A kit card; Plan B also demonstrates a rig in Learn)</t>
  </si>
  <si>
    <t xml:space="preserve">Just before the lesson: move each group's tray of ice strips from the freezer into its insulated box; put the boxes on the teacher desk</t>
  </si>
  <si>
    <t xml:space="preserve">Photograph the class project board (every group's results) before it is wiped, for the Week 9 class results table</t>
  </si>
  <si>
    <t xml:space="preserve">Check every group's results sheet is in its folder, read the exit tickets, and note any group with missing or unusable results (they use the sample class data in Week 9)</t>
  </si>
  <si>
    <t xml:space="preserve">Finish the clean-up: books dried and returned, buckets, jugs and lids emptied and rinsed, wet towels dried, floor mopped, gloves binned, cool boxes and borrowed kit returned (keep the rig kit out if another class tests next)</t>
  </si>
  <si>
    <t xml:space="preserve">Send the first print job to reprographics: worksheet (24 copies, 3 A4 pages, pages 1 and 2 double-sided and page 3 single-sided = 48 sheets), run sheet (1 A4 landscape and 1 A3 enlargement) and backup lab report cards (1 A4 sheet). Use only the designs rebuilt after the language pass</t>
  </si>
  <si>
    <t xml:space="preserve">Buy or request consumables: white vinegar, salt, baking soda, cornflour, plain flour (use what is left from Week 4 first), food colouring, tissues, stirring sticks, flat sticks, soil bags, sticky labels; ask the canteen for napkins; check stock of coffee filters, kitchen roll and tape</t>
  </si>
  <si>
    <t xml:space="preserve">Collect and rinse identical clear plastic bottles or jars with screw lids (about 300 ml, no glass): 20 for each class with Soil groups, because the bottles stay on the windowsill until Week 9</t>
  </si>
  <si>
    <t xml:space="preserve">Week 9 (bottles looked at again)</t>
  </si>
  <si>
    <t xml:space="preserve">Once each class's options are allocated (before the Week 7 lesson), print the group recording sheets (1 per group for its option plus 1 spare of each: 10 copies, 2 A4 pages double-sided = 10 sheets; 12 if printing before allocation) and the kit cards (1 per group for its option plus 1 of each for the teacher's file: 10 A5, or 2 per A4 sheet)</t>
  </si>
  <si>
    <t xml:space="preserve">From each group's approved Week 7 plan and kit request, write a tray list per group and note each class's option split</t>
  </si>
  <si>
    <t xml:space="preserve">Gather the prep-room kit for the approved plans (Teacher Guide prep calendar, Week 7): goggles, magnifiers, timers, rulers, trays, cups, spotting tiles, droppers, spoons, jugs, measuring cylinders, scissors, iodine, gloves, bucket, black card, lidded pots; check that pens A to D still write</t>
  </si>
  <si>
    <t xml:space="preserve">Soil: collect about 2 cups of soil from each of the four locations (A flowerbed by the science block entrance, B sports field edge, C sandpit, D tree bed by the main gate) into labelled bags; remove stones bigger than a pea, glass, litter and anything sharp; avoid places animals may have fouled. Take Evidence 6 from the same flowerbed as A at the same time and bag it separately as 'Evidence 6: soil from footprint tread' (kit card: earlier in the week)</t>
  </si>
  <si>
    <t xml:space="preserve">Soil: if the soil is very wet, spread it on newspaper to dry overnight</t>
  </si>
  <si>
    <t xml:space="preserve">Ink 2 pen pre-test (Case Bible Section 11): cut 6 filter strips and make 2 of them into N strips with pen B; stand pens A and B and an N strip in salt water (1 level teaspoon in 100 ml) and in white vinegar, 1 cm deep, for 6 to 8 minutes; check N matches B in each; dry and keep the strips as the answer key (kit card: earlier in the week)</t>
  </si>
  <si>
    <t xml:space="preserve">Ink 2 backup lab report card; answer key</t>
  </si>
  <si>
    <t xml:space="preserve">Cut the backup lab report sheet into 4 cards, attach the dried pre-test strips to the Ink 2 card and file the cards in the teacher's folder</t>
  </si>
  <si>
    <t xml:space="preserve">Week 10 talks, if a group's test failed</t>
  </si>
  <si>
    <t xml:space="preserve">Powder 2: check the allergy list (wheat flour, corn) and make any allergic student the Recorder; make K1 (baking soda + cornflour), K2 (salt + flour) and X (baking soda + salt) with equal level teaspoons, shaken well in lidded pots; fill and label 5 pots per group (Baking soda, K1, K2, 'Mystery mixture X', Evidence 3); check under the magnifier that X shows salt cubes and the scene powder shows none</t>
  </si>
  <si>
    <t xml:space="preserve">Paper: make Evidence 7 from the lab's own roll (pencil arrow along the roll, crumple, smooth flat); cut and label P1 to P4 reference samples, each enough for 3 strips 2 cm by 12 cm, with arrows in the same direction; colour the water (1 drop per 100 ml, about 300 ml per group)</t>
  </si>
  <si>
    <t xml:space="preserve">Paper: pre-cut the strips (3 per paper per group) if the class is slow with scissors</t>
  </si>
  <si>
    <t xml:space="preserve">Ink 2: make note ink strips N with pen B (6 per group plus spares), cut filter strips 2 cm by 10 cm (16 per group plus spares) and fill the vinegar bottle (about 60 ml per group). Pen B goes on a table only as a labelled reference pen</t>
  </si>
  <si>
    <t xml:space="preserve">Soil: fill and label the pots (A to D and Evidence 6, about 4 level tablespoons each) and set out 10 bottles per Soil group; clear a windowsill for the bottles</t>
  </si>
  <si>
    <t xml:space="preserve">Set out one tray per group before students arrive, checked against its tray list and kit card: label the Ink 2 cups (Water, Salt water, Vinegar, 2 each); fill the Powder 2 water cups a third full (10 per group) and the labelled vinegar cup (about 30 ml, with a dropper); jug of water for Soil; kit card, recording sheet and 4 worksheets per group; plan sheets with comments and option cards; case files and logbooks from the class box; goggles, paper towels, cloths and bucket; keep the iodine, spare kit and backup cards on the teacher desk</t>
  </si>
  <si>
    <t xml:space="preserve">Clean-up in the lesson (Do minutes 21 to 24, led by Safety Officers): Soil bottles labelled with the group number to the windowsill; liquids down the sink with plenty of water; strips dried flat on paper towels, labelled; pens and scissors counted back in; iodine returned; tiles rinsed; goggles in the box; tables wiped; hands washed; recording sheets and worksheets into case files</t>
  </si>
  <si>
    <t xml:space="preserve">Soil bottles and dried strips kept for Week 9</t>
  </si>
  <si>
    <t xml:space="preserve">Wash and dry cups, spotting tiles, spoons, jugs and measuring cylinders; put away goggles, magnifiers, timers and iodine; restock the trays for the next class</t>
  </si>
  <si>
    <t xml:space="preserve">When the Ink 2 strips are dry, stick them into the strip box on page 2 of the group's recording sheet (or keep them labelled for the group)</t>
  </si>
  <si>
    <t xml:space="preserve">Week 9 evidence board</t>
  </si>
  <si>
    <t xml:space="preserve">Save the photographs of each group's results (taken at Do minutes 18 to 21) and copy the board notes from the Reporter round before the board is wiped</t>
  </si>
  <si>
    <t xml:space="preserve">Week 9 evidence board and Week 10 talks</t>
  </si>
  <si>
    <t xml:space="preserve">Look at the soil bottles again before Week 9 (fine clay settles overnight) and photograph them</t>
  </si>
  <si>
    <t xml:space="preserve">Read the group recording sheets, worksheets and exit tickets (main rubric evidence for strand 3 and part of strand 4) and check they are filed in the case files</t>
  </si>
  <si>
    <t xml:space="preserve">Week 9 (case files collected for rubric levels)</t>
  </si>
  <si>
    <t xml:space="preserve">After Week 9: empty the soil bottles onto a flowerbed or into a bucket (never down the sink, soil blocks drains) and rinse the bottles</t>
  </si>
  <si>
    <t xml:space="preserve">Book printing with reprographics for Week 9 (worksheets, A3 posters, panel cards, pooling sheets and the A3 enlargement, sample class data cards, self-assessment slips, talk frame cards), as part of the Teacher Guide's Week 7 booking for Weeks 9 and 10</t>
  </si>
  <si>
    <t xml:space="preserve">Print the kit card list: A3 poster templates (7), panel cards (7 sets x 4 A4 sheets = 28 sheets, at 100%), pooling sheets (6 A4 double-sided, plus 1 A3 enlargement), self-assessment slips (12 A4 sheets, 2 per sheet) and talk frame cards (24 A4 sheets, double-sided)</t>
  </si>
  <si>
    <t xml:space="preserve">Week 10 (posters and talk frame cards)</t>
  </si>
  <si>
    <t xml:space="preserve">Print the worksheets (24 copies, 4 A4 pages double-sided = 48 sheets) and the kit card (1 A5, two-sided); use only the designs rebuilt after the language pass</t>
  </si>
  <si>
    <t xml:space="preserve">Cut the self-assessment slips in half (12 sheets to 24 slips) and fold the 24 talk frame cards</t>
  </si>
  <si>
    <t xml:space="preserve">Week 10 (talk frame cards)</t>
  </si>
  <si>
    <t xml:space="preserve">Print and laminate the sample class data cards (3 Plan A double-sided and 3 Plan B, or only the 3 for your plan) and print 1 teacher answers sheet</t>
  </si>
  <si>
    <t xml:space="preserve">Kept on the teacher desk for every class; stored with the reusable kit after Week 10</t>
  </si>
  <si>
    <t xml:space="preserve">From the photo of the Week 8 class project board, write the class results table on the A3 enlargement of the pooling sheet: every group's mean for every sample and the class mean for each sample type (Plan A classes with melting groups: include the melting rows too)</t>
  </si>
  <si>
    <t xml:space="preserve">Choose a flat, safe place to store the A3 posters overnight</t>
  </si>
  <si>
    <t xml:space="preserve">Week 10 (posters go up in talk order)</t>
  </si>
  <si>
    <t xml:space="preserve">Put any missing Week 8 results sheets back in the group folders; decide which groups need the sample class data</t>
  </si>
  <si>
    <t xml:space="preserve">Set out per group: folder, A3 poster template, panel card set, 2 glue sticks, scissors, 2 thick and 2 thin black felt-tips, 2 rulers, pooling sheet and worksheets; role cards and frame cards on tables; sample class data cards on the teacher desk; display the A3 class results table; self-assessment slips and talk frame cards ready for Think and Reflect</t>
  </si>
  <si>
    <t xml:space="preserve">Clean-up: posters flat in the group folders, collected by the teacher; self-assessment slips collected separately; glue sticks capped and counted; paper scraps in the recycling bin</t>
  </si>
  <si>
    <t xml:space="preserve">Store the posters flat in the chosen place; file the worksheets and self-assessment slips</t>
  </si>
  <si>
    <t xml:space="preserve">Week 10</t>
  </si>
  <si>
    <t xml:space="preserve">Read every poster and pencil in draft levels for Rubric strands 1 to 5 in the tracker, using the worksheets to judge individuals</t>
  </si>
  <si>
    <t xml:space="preserve">Week 10 (confirm levels; judge strand 6 at the talks)</t>
  </si>
  <si>
    <t xml:space="preserve">Compare the self-assessment slips with your own judgement; note gaps of two levels or more for a 1-minute conversation</t>
  </si>
  <si>
    <t xml:space="preserve">Week 10 (conversations; the two writing prompts can be copied into Section F of the skills report)</t>
  </si>
  <si>
    <t xml:space="preserve">Read the exit tickets: check every group member has a talk part in poster order; note students with no part</t>
  </si>
  <si>
    <t xml:space="preserve">Week 10 (talk order)</t>
  </si>
  <si>
    <t xml:space="preserve">Book the Week 9 print job with reprographics (Teacher Guide prep calendar, Week 7). Per class: 24 worksheets (4 A4 pages double-sided = 48 sheets); 6 A3 evidence boards plus 1 enlarged teacher's model; 6 A3 statement frames (or 24 A4); 6 evidence card sheets on A4 card; 12 A4 sheets of self-assessment slips; 1 A4 badge sheet; 1 A5 kit card; optional concept cartoon. Print only from the designs rebuilt after the language pass.</t>
  </si>
  <si>
    <t xml:space="preserve">Read Case Bible Section 9 and the lesson file answer key (model boards before and after the twist, tunnel vision sort, expert role matching) so you can circulate without ever confirming the culprit.</t>
  </si>
  <si>
    <t xml:space="preserve">Check stock: 6 packs of Blu Tack or glue sticks and 1 envelope per class.</t>
  </si>
  <si>
    <t xml:space="preserve">Collect and count the printed worksheets, 7 A3 evidence boards (6 plus the enlarged model), 6 statement frames and 12 sheets of self-assessment slips (kit card: print A3 boards, statement frames and self-assessment slips).</t>
  </si>
  <si>
    <t xml:space="preserve">Print and cut the evidence card packs, one per group: 6 A4 card sheets x 9 cards = 54 cards; keep each group's 9 cards together (kit card).</t>
  </si>
  <si>
    <t xml:space="preserve">Print the 6 cleaning log cards (A5, or 2 per A4 sheet and cut) and seal them in the envelope so no student can see them; decide whether to cut off the SET ASIDE strips now and keep them with the cards (kit card; Case Bible Section 12 also gives 5 minutes).</t>
  </si>
  <si>
    <t xml:space="preserve">Insert this class's Week 5 Ideas Parking Board photo into slide 4; check whether the board itself is still up (kit card). The optional photo print is on the Week 8 prep calendar.</t>
  </si>
  <si>
    <t xml:space="preserve">Decide each group's expert witness role (lesson file Section 4): the Ink 2 group are the ink experts, the Powder 2 group the powder experts, a Soil or Paper group the soil and paper experts; the rest take fingerprint, liquid (including the contamination) and footprint. Write the group number on each badge.</t>
  </si>
  <si>
    <t xml:space="preserve">Week 10 (order of witnesses)</t>
  </si>
  <si>
    <t xml:space="preserve">Cut the 12 A4 sheets of self-assessment slips into 24 A5 slips on the dashed line.</t>
  </si>
  <si>
    <t xml:space="preserve">Cut out the 6 expert witness badges (1 A4 sheet) and keep them in the class box.</t>
  </si>
  <si>
    <t xml:space="preserve">Week 10 (worn at the Court of Science)</t>
  </si>
  <si>
    <t xml:space="preserve">Look at the Week 8 soil bottles again and photograph them (Week 8 notes); gather the Week 8 results photos and a photo or copy of the Reporter round board notes for groups to use.</t>
  </si>
  <si>
    <t xml:space="preserve">Week 10 (talks)</t>
  </si>
  <si>
    <t xml:space="preserve">Optional: print the concept cartoon (A4 landscape) and put it up for display.</t>
  </si>
  <si>
    <t xml:space="preserve">If time is likely to be short: pre-fill the 'Matches' line on each group's evidence cards (6 packs x 8 cards: Evidence 1 to 7 and T), using the answer key.</t>
  </si>
  <si>
    <t xml:space="preserve">Set out before students arrive: case files on tables (Do Now), worksheets, role cards, frame cards, dictionaries and pencils; on the teacher desk in hand-out order: card packs, A3 boards and Blu Tack (Do minute 0), the sealed envelope (minute 7), statement frames and badges, then self-assessment slips.</t>
  </si>
  <si>
    <t xml:space="preserve">Photograph every evidence board (kit card clean-up).</t>
  </si>
  <si>
    <t xml:space="preserve">Week 10 (final case file checklist item 11)</t>
  </si>
  <si>
    <t xml:space="preserve">Clean-up: boards, worksheets and statement frames into case files; collect every case file and self-assessment slip; exit tickets to the teacher; badges into the class box.</t>
  </si>
  <si>
    <t xml:space="preserve">Week 10 (case files and badges returned to groups)</t>
  </si>
  <si>
    <t xml:space="preserve">After the last Week 9 look, empty the Soil groups' settling bottles onto a flowerbed or into a bucket, never down the sink (Week 8 clean-up: 'afterwards').</t>
  </si>
  <si>
    <t xml:space="preserve">Read the exit tickets and case files; draft rubric levels for strands 1 to 5 for every student and compare with the self-assessment slips (a gap of two levels or more means a 1-minute conversation in Week 10). Must be done before Week 10.</t>
  </si>
  <si>
    <t xml:space="preserve">Week 10 (strand 6 added from the talk; awards and reports)</t>
  </si>
  <si>
    <t xml:space="preserve">Book printing for Weeks 9 and 10 with reprographics (Teacher Guide prep calendar, Week 7 row: for Week 10 it names skills checks, surveys and peer feedback slips); add the Expo notes, question cards on card and certificates on card</t>
  </si>
  <si>
    <t xml:space="preserve">Plan the room layout for the Expo and the gallery walk (posters in talk order with space in front, walkways clear) and get the sticky notes ready (Teacher Guide prep calendar, Week 9 row: 'For W10: room layout for gallery walk; sticky notes')</t>
  </si>
  <si>
    <t xml:space="preserve">Print fresh skills checks (same master as Week 1; 24 copies, double-sided) and surveys (24 copies, 2 per A4 sheet = 12 sheets) in class order; check the 'Week 10' boxes are on both. Reprographics can run the copies; the teacher checks the master</t>
  </si>
  <si>
    <t xml:space="preserve">Send the rest of the print job to reprographics: Expo notes worksheet (24 copies, 3 A4 pages double-sided = 48 sheets), peer feedback slips (6 A4 sheets), run sheet (1 A4), talk record (2 A4 landscape sheets), gallery walk signs (2 A4) and kit card (1 A5, double-sided)</t>
  </si>
  <si>
    <t xml:space="preserve">Cut the survey sheets in half and the peer feedback slip sheets into four A6 slips</t>
  </si>
  <si>
    <t xml:space="preserve">Book the gallery walk (a break time or a later session) and the certificate presentation (next form period, assembly or the gallery walk, within a week)</t>
  </si>
  <si>
    <t xml:space="preserve">Fix the order of talks and who asks whom (each group is asked by the group that speaks next; the first group asks the last); type the order of talks onto Slides 3 and 5 and when and where onto Slide 10; fill in the talk record names in talk order</t>
  </si>
  <si>
    <t xml:space="preserve">Print and cut the question cards (2 A4 sheets of card, 24 cards); label one peer feedback slip per student with the group they will write for (the group they ask)</t>
  </si>
  <si>
    <t xml:space="preserve">Question cards stored in the Ice Engineers box for next year</t>
  </si>
  <si>
    <t xml:space="preserve">Only if certificates must be given today: from the Week 9 draft levels, find the students whose award is already fixed whatever their strand 6 level and print those certificates on card; the rest are hand-completed after the lesson</t>
  </si>
  <si>
    <t xml:space="preserve">Put the posters up (before school or at break) in talk order, at a height students can point to, with space in front of each and walkways clear</t>
  </si>
  <si>
    <t xml:space="preserve">Set out before students arrive: skills check papers face down on desks in class order; on group tables, group folders with talk frame cards, Expo notes, question cards and labelled feedback slips; run sheet and talk record on the clipboard; timer slide ready</t>
  </si>
  <si>
    <t xml:space="preserve">Students get their talk frame card, Expo notes, one question card and one peer feedback slip ready during the Hook</t>
  </si>
  <si>
    <t xml:space="preserve">Clean-up: collect the skills checks first and count them against the register; collect surveys separately; collect Expo notes with exit tickets; sort feedback slips by group for groups to stick on the back of their poster; talk frames back in the group folders</t>
  </si>
  <si>
    <t xml:space="preserve">Set up the gallery walk: one sign by the door and one by the posters, each with a pad of sticky notes and a pencil tied on a string; posters stay up</t>
  </si>
  <si>
    <t xml:space="preserve">Mark the 24 skills checks with the mark scheme (Skills_Check_Y7.md, Section 2); enter totals in tracker column S (and question marks in the Question_analysis tab, if used)</t>
  </si>
  <si>
    <t xml:space="preserve">Enter the survey scores (W10 S1 to S6) in tracker columns U to Z (Interest_Survey.md, Section 2)</t>
  </si>
  <si>
    <t xml:space="preserve">Finalise strands 1 to 5 from the posters (confirming the Week 9 draft levels) and strand 6 from the talk record; enter B, D, S, E or N in columns AC to AH; compare with the Week 9 self-assessment slips</t>
  </si>
  <si>
    <t xml:space="preserve">Apply the award and Most Improved Scientist rules (Rubric_and_Reporting.md, Section 3); fill in and print the certificates on card (24 + 1 Most Improved); mark column AL</t>
  </si>
  <si>
    <t xml:space="preserve">Read the Expo notes and exit tickets; write the skills reports (teacher comment of about 50 words per student) and print them (24, A4)</t>
  </si>
  <si>
    <t xml:space="preserve">Present the certificates at the booked ceremony (next form period, assembly or the gallery walk, within a week)</t>
  </si>
  <si>
    <t xml:space="preserve">Return or discuss the Week 1 and Week 10 skills check papers, only after marking and tracker entry, if the school wants them returned</t>
  </si>
  <si>
    <t xml:space="preserve">After the gallery walk: photograph every poster (feedback slips on the back) and a few logbook pages; take the posters down and store them flat</t>
  </si>
  <si>
    <t xml:space="preserve">Programme summary: copy the tracker Summary tab (class means, skills check growth, survey change, award counts) and add poster photos and strong anonymised My thinking answers</t>
  </si>
  <si>
    <t xml:space="preserve">Series close-out, Plan A: clear the freezer shelves of any leftover samples</t>
  </si>
  <si>
    <t xml:space="preserve">Series close-out, Plan B: throw away leftover dough and strips</t>
  </si>
  <si>
    <t xml:space="preserve">Series close-out: return borrowed books, buckets and measuring cylinders; dry and store the reusable kit (rig diagrams, sample data cards, question cards, voting cards, talk frames) in the labelled Ice Engineers box</t>
  </si>
  <si>
    <t xml:space="preserve">Next year's Ice Engineers series</t>
  </si>
  <si>
    <t xml:space="preserve">Series close-out: store leftover untreated sawdust sealed and labelled 'untreated, not MDF'; keep the foil-trough template blocks and any unused folded troughs</t>
  </si>
  <si>
    <t xml:space="preserve">Logbooks: return to students or file, as the school prefers; keep a few (with permission) as examples</t>
  </si>
  <si>
    <t xml:space="preserve">Write three lines for next year's teacher: what worked, what to change (for example the trial result and sample thickness) and anything to buy earlier</t>
  </si>
  <si>
    <t xml:space="preserve">Book printing for Weeks 9 and 10 (skills checks, surveys, peer feedback slips); the Teacher Guide prep calendar does this in Week 7 for both weeks, so count it once</t>
  </si>
  <si>
    <t xml:space="preserve">Agree with the programme lead when and where certificates will be presented (recommended: a short ceremony in the next form period or assembly, within a week)</t>
  </si>
  <si>
    <t xml:space="preserve">Check Week 1 access arrangements (tracker column H and Notes) and book the same reader or support for the Week 10 skills check</t>
  </si>
  <si>
    <t xml:space="preserve">Send the print job (part of the kit card's about 30 minutes): skills checks from the unaltered Week 1 master (24 copies, 5 A4 pages double-sided = 72 sheets); interest surveys (12 A4 sheets, 2 per sheet); peer feedback slips (6 A4 sheets); jury notes (24 copies, double-sided = 24 sheets); final case file checklists (24 A5); reveal cards (7 A4); run sheet (1 A4); strand 6 talk record (2 A4 landscape); kit card (A5); jury question cards on A4 card (12 sheets). Use only the designs rebuilt after the language pass</t>
  </si>
  <si>
    <t xml:space="preserve">Cut the jury question cards: 6 sets of 18 cards (108 cards); keep each set together for its group table and store them in the class box (part of the kit card's about 30 minutes)</t>
  </si>
  <si>
    <t xml:space="preserve">Cut the interest surveys (12 sheets into 24 half-A4 copies) and the peer feedback slips (6 sheets into 24 A6 slips)</t>
  </si>
  <si>
    <t xml:space="preserve">Staple a final case file checklist inside the front cover of each of the 24 case files, while the case files are with the teacher after Week 9</t>
  </si>
  <si>
    <t xml:space="preserve">Make a '15 seconds' card to hold up near the end of each talk</t>
  </si>
  <si>
    <r>
      <rPr>
        <sz val="10"/>
        <color rgb="FF00235F"/>
        <rFont val="Arial"/>
        <family val="0"/>
        <charset val="1"/>
      </rPr>
      <t xml:space="preserve">Label each peer feedback slip with a group number ('For </t>
    </r>
    <r>
      <rPr>
        <sz val="10"/>
        <color rgb="FF00235F"/>
        <rFont val="WenQuanYi Zen Hei"/>
        <family val="2"/>
      </rPr>
      <t xml:space="preserve">给 </t>
    </r>
    <r>
      <rPr>
        <sz val="10"/>
        <color rgb="FF00235F"/>
        <rFont val="Arial"/>
        <family val="0"/>
        <charset val="1"/>
      </rPr>
      <t xml:space="preserve">Group ___') so every group gets slips from several students and nobody writes for their own group (4 slips per group)</t>
    </r>
  </si>
  <si>
    <r>
      <rPr>
        <sz val="10"/>
        <color rgb="FF00235F"/>
        <rFont val="Arial"/>
        <family val="0"/>
        <charset val="1"/>
      </rPr>
      <t xml:space="preserve">Write the students' names into the strand 6 talk record in witness order (blocks of four: Fingerprint, Ink, Powder, Liquid, Footprint, Soil and paper); choose the confident Chinese reader for the </t>
    </r>
    <r>
      <rPr>
        <sz val="10"/>
        <color rgb="FF00235F"/>
        <rFont val="WenQuanYi Zen Hei"/>
        <family val="2"/>
      </rPr>
      <t xml:space="preserve">概要 </t>
    </r>
    <r>
      <rPr>
        <sz val="10"/>
        <color rgb="FF00235F"/>
        <rFont val="Arial"/>
        <family val="0"/>
        <charset val="1"/>
      </rPr>
      <t xml:space="preserve">lines and check each Band 1 student sits beside their language buddy</t>
    </r>
  </si>
  <si>
    <t xml:space="preserve">Optional: seal an old notebook in a freezer bag and put it in the staff fridge freezer overnight (Case Bible Section 12 allows 5 minutes for this together with printing the reveal card)</t>
  </si>
  <si>
    <t xml:space="preserve">Optional, only if certificates must be given today: from the Week 9 draft levels, print certificates only for students whose award is already fixed whatever their strand 6 level; hand-complete the rest after the lesson and announce Most Improved later</t>
  </si>
  <si>
    <t xml:space="preserve">Set out before students arrive (rest of the kit card's about 30 minutes): skills check papers face down on desks, dictionaries closed and put away; case files with the Week 9 statement frames, badges, question card sets, jury notes and labelled peer feedback slips on group tables; a 'witness stand' spot at the front with groups facing it; timer ready; run sheet, reveal card and talk record on the clipboard</t>
  </si>
  <si>
    <t xml:space="preserve">Clean-up: collect skills checks first (separately), then surveys, then case files with jury notes and peer feedback slips inside; badges and question cards back in the class box</t>
  </si>
  <si>
    <t xml:space="preserve">Sort the peer feedback slips into the case files of the group each slip is for, and put one reveal card into each group's case files</t>
  </si>
  <si>
    <t xml:space="preserve">Mark the skills checks out of 20 with the mark scheme (no half marks; Chinese answers accepted)</t>
  </si>
  <si>
    <t xml:space="preserve">Enter skills check totals in tracker column S and survey scores W10 S1 to S6 in columns U to Z</t>
  </si>
  <si>
    <t xml:space="preserve">Enter question-by-question skills check marks on the tracker's Question_analysis tab</t>
  </si>
  <si>
    <t xml:space="preserve">Finalise rubric strands 1 to 5 from the case files (final case file checklist, Year 8 'What Secure looks like') and strand 6 from the talk record; enter B, D, S, E or N in columns AC to AH</t>
  </si>
  <si>
    <t xml:space="preserve">Check the award and Most Improved Scientist results; resolve any 'Check' or tie by hand and note the reason in column AM</t>
  </si>
  <si>
    <t xml:space="preserve">Fill in names, print the certificates on A4 card (24 awards plus 1 Most Improved), sign them and mark tracker column AL</t>
  </si>
  <si>
    <t xml:space="preserve">Write the skills reports (about 50-word teacher comment each) and print 1 A4 page per student</t>
  </si>
  <si>
    <t xml:space="preserve">Photograph a sample of case files and the evidence boards for the programme summary; store the case files as the school requires</t>
  </si>
  <si>
    <t xml:space="preserve">Programme summary for principals: copy the tracker Summary tab (class means, growth, survey change, award counts) and add photos of project work</t>
  </si>
  <si>
    <t xml:space="preserve">Return the Week 1 and Week 10 skills check papers, only after marking and tracker entry, if the school wants them returned</t>
  </si>
  <si>
    <t xml:space="preserve">Cutting the prep</t>
  </si>
  <si>
    <t xml:space="preserve">Where the prep time goes for one class, and the options for reducing it. Minutes link to the Prep by week sheet; the lessons themselves are unchanged.</t>
  </si>
  <si>
    <t xml:space="preserve">1. Do all the printing in one request before Week 1</t>
  </si>
  <si>
    <t xml:space="preserve">Send the whole term's printing to reprographics at once (sheet totals below, from the All weeks sheet). Printing and sorting then stops being a weekly job.</t>
  </si>
  <si>
    <t xml:space="preserve">Printing tasks in the prep list (min, one class)</t>
  </si>
  <si>
    <t xml:space="preserve">A4 paper (sheets, all weeks)</t>
  </si>
  <si>
    <t xml:space="preserve">A3 paper (sheets, all weeks)</t>
  </si>
  <si>
    <t xml:space="preserve">A5 paper (sheets, all weeks)</t>
  </si>
  <si>
    <t xml:space="preserve">A4 card (sheets, all weeks)</t>
  </si>
  <si>
    <t xml:space="preserve">A4 90 gsm (booklet) (sheets, all weeks)</t>
  </si>
  <si>
    <t xml:space="preserve">2. Hand tasks to a technician, an assistant or the students</t>
  </si>
  <si>
    <t xml:space="preserve">Tasks marked as something someone else could do: buying, cutting, counting out kit, setting out trays, clean-up roles.</t>
  </si>
  <si>
    <t xml:space="preserve">Technician or assistant (min, one class)</t>
  </si>
  <si>
    <t xml:space="preserve">Students in the lesson (min, one class)</t>
  </si>
  <si>
    <t xml:space="preserve">Teacher only (min, one class)</t>
  </si>
  <si>
    <t xml:space="preserve">3. Make the reusable sets once, in one session before Week 1</t>
  </si>
  <si>
    <t xml:space="preserve">These are made once and reused in later weeks and by every class. Doing them together saves setting up and packing away each time.</t>
  </si>
  <si>
    <t xml:space="preserve">Minutes</t>
  </si>
  <si>
    <t xml:space="preserve">Reused</t>
  </si>
  <si>
    <t xml:space="preserve">4. Separate the marking and admin from the prep</t>
  </si>
  <si>
    <t xml:space="preserve">Much of the time in Weeks 1, 5 and 10 is marking the skills checks and checkpoints, entering the tracker and putting kit away after the lesson, not getting ready for it.</t>
  </si>
  <si>
    <t xml:space="preserve">After the lesson (min, one class)</t>
  </si>
  <si>
    <t xml:space="preserve">Before the lesson (min, one class)</t>
  </si>
  <si>
    <t xml:space="preserve">5. Drop or simplify the optional extras</t>
  </si>
  <si>
    <t xml:space="preserve">Optional tasks are not counted in the totals; skipping them costs nothing in the lesson plan.</t>
  </si>
  <si>
    <t xml:space="preserve">Optional extras (min, one class)</t>
  </si>
  <si>
    <t xml:space="preserve">6. The heaviest lessons (one class, before and after the lesson, both freezer plans counted)</t>
  </si>
  <si>
    <t xml:space="preserve">Lesson</t>
  </si>
  <si>
    <t xml:space="preserve">Court of Science</t>
  </si>
  <si>
    <t xml:space="preserve">Ice Engineers Expo</t>
  </si>
  <si>
    <t xml:space="preserve">Think like a detective</t>
  </si>
  <si>
    <t xml:space="preserve">What do scientists do?</t>
  </si>
  <si>
    <t xml:space="preserve">Lab day</t>
  </si>
  <si>
    <t xml:space="preserve">The ice ship mission</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</si>
</sst>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00235F"/>
      <name val="Arial"/>
      <family val="0"/>
      <charset val="1"/>
    </font>
    <font>
      <sz val="10"/>
      <color rgb="FF00235F"/>
      <name val="Arial"/>
      <family val="0"/>
      <charset val="1"/>
    </font>
    <font>
      <b val="true"/>
      <sz val="11"/>
      <color rgb="FF00235F"/>
      <name val="Arial"/>
      <family val="0"/>
      <charset val="1"/>
    </font>
    <font>
      <b val="true"/>
      <sz val="10"/>
      <color rgb="FF00235F"/>
      <name val="Arial"/>
      <family val="0"/>
      <charset val="1"/>
    </font>
    <font>
      <sz val="9"/>
      <color rgb="FF00235F"/>
      <name val="Arial"/>
      <family val="0"/>
      <charset val="1"/>
    </font>
    <font>
      <sz val="10"/>
      <color rgb="FF00235F"/>
      <name val="WenQuanYi Zen Hei"/>
      <family val="2"/>
    </font>
    <font>
      <b val="true"/>
      <sz val="12"/>
      <color rgb="FF00235F"/>
      <name val="Arial"/>
      <family val="0"/>
      <charset val="1"/>
    </font>
    <font>
      <i val="true"/>
      <sz val="10"/>
      <color rgb="FF4D658F"/>
      <name val="Arial"/>
      <family val="0"/>
      <charset val="1"/>
    </font>
  </fonts>
  <fills count="6">
    <fill>
      <patternFill patternType="none"/>
    </fill>
    <fill>
      <patternFill patternType="gray125"/>
    </fill>
    <fill>
      <patternFill patternType="solid">
        <fgColor rgb="FFFFF2A8"/>
        <bgColor rgb="FFFDE6E8"/>
      </patternFill>
    </fill>
    <fill>
      <patternFill patternType="solid">
        <fgColor rgb="FFE0EFF8"/>
        <bgColor rgb="FFF6F8FB"/>
      </patternFill>
    </fill>
    <fill>
      <patternFill patternType="solid">
        <fgColor rgb="FFF6F8FB"/>
        <bgColor rgb="FFE0EFF8"/>
      </patternFill>
    </fill>
    <fill>
      <patternFill patternType="solid">
        <fgColor rgb="FFFDE6E8"/>
        <bgColor rgb="FFF6F8FB"/>
      </patternFill>
    </fill>
  </fills>
  <borders count="2">
    <border diagonalUp="false" diagonalDown="false">
      <left/>
      <right/>
      <top/>
      <bottom/>
      <diagonal/>
    </border>
    <border diagonalUp="false" diagonalDown="false">
      <left style="thin">
        <color rgb="FFB7C2D3"/>
      </left>
      <right style="thin">
        <color rgb="FFB7C2D3"/>
      </right>
      <top style="thin">
        <color rgb="FFB7C2D3"/>
      </top>
      <bottom style="thin">
        <color rgb="FFB7C2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false" applyAlignment="true" applyProtection="false">
      <alignment horizontal="left"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10" fillId="0" borderId="0" xfId="0" applyFont="true" applyBorder="false" applyAlignment="true" applyProtection="false">
      <alignment horizontal="left" vertical="top" textRotation="0" wrapText="fals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E0EFF8"/>
          <bgColor rgb="FF000000"/>
        </patternFill>
      </fill>
    </dxf>
    <dxf>
      <fill>
        <patternFill patternType="solid">
          <fgColor rgb="FFF6F8FB"/>
          <bgColor rgb="FF000000"/>
        </patternFill>
      </fill>
    </dxf>
    <dxf>
      <fill>
        <patternFill patternType="solid">
          <bgColor rgb="FF000000"/>
        </patternFill>
      </fill>
    </dxf>
    <dxf>
      <fill>
        <patternFill patternType="solid">
          <fgColor rgb="FF00235F"/>
          <bgColor rgb="FF000000"/>
        </patternFill>
      </fill>
    </dxf>
    <dxf>
      <fill>
        <patternFill patternType="solid">
          <fgColor rgb="FFFDE6E8"/>
          <bgColor rgb="FF000000"/>
        </patternFill>
      </fill>
    </dxf>
    <dxf>
      <fill>
        <patternFill patternType="solid">
          <fgColor rgb="FF4D658F"/>
          <bgColor rgb="FF000000"/>
        </patternFill>
      </fill>
    </dxf>
  </dxfs>
  <colors>
    <indexedColors>
      <rgbColor rgb="FF000000"/>
      <rgbColor rgb="FFF6F8FB"/>
      <rgbColor rgb="FFFF0000"/>
      <rgbColor rgb="FF00FF00"/>
      <rgbColor rgb="FF0000FF"/>
      <rgbColor rgb="FFFFFF00"/>
      <rgbColor rgb="FFFF00FF"/>
      <rgbColor rgb="FF00FFFF"/>
      <rgbColor rgb="FF800000"/>
      <rgbColor rgb="FF008000"/>
      <rgbColor rgb="FF000080"/>
      <rgbColor rgb="FF808000"/>
      <rgbColor rgb="FF800080"/>
      <rgbColor rgb="FF008080"/>
      <rgbColor rgb="FFB7C2D3"/>
      <rgbColor rgb="FF808080"/>
      <rgbColor rgb="FF9999FF"/>
      <rgbColor rgb="FF993366"/>
      <rgbColor rgb="FFFDE6E8"/>
      <rgbColor rgb="FFE0EF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3366FF"/>
      <rgbColor rgb="FF33CCCC"/>
      <rgbColor rgb="FF99CC00"/>
      <rgbColor rgb="FFFFCC00"/>
      <rgbColor rgb="FFFF9900"/>
      <rgbColor rgb="FFFF6600"/>
      <rgbColor rgb="FF4D658F"/>
      <rgbColor rgb="FF969696"/>
      <rgbColor rgb="FF0023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30"/>
  </cols>
  <sheetData>
    <row r="2" customFormat="false" ht="17.35" hidden="false" customHeight="false" outlineLevel="0" collapsed="false">
      <c r="B2" s="1" t="s">
        <v>0</v>
      </c>
    </row>
    <row r="3" customFormat="false" ht="23.85" hidden="false" customHeight="false" outlineLevel="0" collapsed="false">
      <c r="B3" s="2" t="s">
        <v>1</v>
      </c>
    </row>
    <row r="4" customFormat="false" ht="15" hidden="false" customHeight="false" outlineLevel="0" collapsed="false">
      <c r="B4" s="2" t="s">
        <v>2</v>
      </c>
    </row>
    <row r="5" customFormat="false" ht="15" hidden="false" customHeight="false" outlineLevel="0" collapsed="false">
      <c r="B5" s="2" t="s">
        <v>3</v>
      </c>
    </row>
    <row r="6" customFormat="false" ht="23.85" hidden="false" customHeight="false" outlineLevel="0" collapsed="false">
      <c r="B6" s="2" t="s">
        <v>4</v>
      </c>
    </row>
    <row r="7" customFormat="false" ht="23.85" hidden="false" customHeight="false" outlineLevel="0" collapsed="false">
      <c r="B7" s="2" t="s">
        <v>5</v>
      </c>
    </row>
    <row r="8" customFormat="false" ht="15" hidden="false" customHeight="false" outlineLevel="0" collapsed="false">
      <c r="B8" s="2"/>
    </row>
    <row r="9" customFormat="false" ht="15" hidden="false" customHeight="false" outlineLevel="0" collapsed="false">
      <c r="B9" s="3"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7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8" topLeftCell="E9" activePane="bottomRight" state="frozen"/>
      <selection pane="topLeft" activeCell="A1" activeCellId="0" sqref="A1"/>
      <selection pane="topRight" activeCell="E1" activeCellId="0" sqref="E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18"/>
    <col collapsed="false" customWidth="true" hidden="false" outlineLevel="0" max="4" min="4" style="0" width="34"/>
    <col collapsed="false" customWidth="true" hidden="false" outlineLevel="0" max="5" min="5" style="0" width="9"/>
    <col collapsed="false" customWidth="true" hidden="false" outlineLevel="0" max="6" min="6" style="0" width="26"/>
    <col collapsed="false" customWidth="true" hidden="false" outlineLevel="0" max="7" min="7" style="0" width="10"/>
    <col collapsed="false" customWidth="true" hidden="false" outlineLevel="0" max="8" min="8" style="0" width="8"/>
    <col collapsed="false" customWidth="true" hidden="false" outlineLevel="0" max="9" min="9" style="0" width="10"/>
    <col collapsed="false" customWidth="true" hidden="false" outlineLevel="0" max="10" min="10" style="0" width="14"/>
    <col collapsed="false" customWidth="true" hidden="false" outlineLevel="0" max="11" min="11" style="0" width="7"/>
    <col collapsed="false" customWidth="true" hidden="false" outlineLevel="0" max="12" min="12" style="0" width="8"/>
    <col collapsed="false" customWidth="true" hidden="false" outlineLevel="0" max="13" min="13" style="0" width="36"/>
    <col collapsed="false" customWidth="true" hidden="false" outlineLevel="0" max="14" min="14" style="0" width="9"/>
    <col collapsed="false" customWidth="true" hidden="false" outlineLevel="0" max="15" min="15" style="0" width="20"/>
    <col collapsed="false" customWidth="true" hidden="false" outlineLevel="0" max="16" min="16" style="0" width="16"/>
    <col collapsed="false" customWidth="true" hidden="false" outlineLevel="0" max="17" min="17" style="0" width="40"/>
    <col collapsed="false" customWidth="true" hidden="false" outlineLevel="0" max="18" min="18" style="0" width="6"/>
  </cols>
  <sheetData>
    <row r="1" customFormat="false" ht="17.35" hidden="false" customHeight="false" outlineLevel="0" collapsed="false">
      <c r="A1" s="4" t="s">
        <v>7</v>
      </c>
    </row>
    <row r="2" customFormat="false" ht="15" hidden="false" customHeight="false" outlineLevel="0" collapsed="false">
      <c r="A2" s="5" t="s">
        <v>8</v>
      </c>
    </row>
    <row r="3" customFormat="false" ht="15" hidden="false" customHeight="false" outlineLevel="0" collapsed="false">
      <c r="A3" s="6" t="s">
        <v>9</v>
      </c>
      <c r="C3" s="7" t="n">
        <v>1</v>
      </c>
      <c r="D3" s="8" t="s">
        <v>10</v>
      </c>
      <c r="J3" s="6" t="s">
        <v>11</v>
      </c>
    </row>
    <row r="4" customFormat="false" ht="15" hidden="false" customHeight="false" outlineLevel="0" collapsed="false">
      <c r="A4" s="6" t="s">
        <v>12</v>
      </c>
      <c r="C4" s="7" t="n">
        <v>1</v>
      </c>
      <c r="D4" s="8"/>
      <c r="J4" s="8" t="s">
        <v>13</v>
      </c>
      <c r="L4" s="9" t="n">
        <f aca="false">SUMIFS($L$9:$L$721,$J$9:$J$721,J4)</f>
        <v>1987</v>
      </c>
      <c r="M4" s="8" t="s">
        <v>14</v>
      </c>
      <c r="O4" s="9" t="n">
        <f aca="false">SUMIFS($L$9:$L$721,$J$9:$J$721,M4)</f>
        <v>176</v>
      </c>
    </row>
    <row r="5" customFormat="false" ht="15" hidden="false" customHeight="false" outlineLevel="0" collapsed="false">
      <c r="A5" s="6" t="s">
        <v>15</v>
      </c>
      <c r="C5" s="7" t="s">
        <v>16</v>
      </c>
      <c r="D5" s="8" t="s">
        <v>17</v>
      </c>
      <c r="J5" s="8" t="s">
        <v>18</v>
      </c>
      <c r="L5" s="9" t="n">
        <f aca="false">SUMIFS($L$9:$L$721,$J$9:$J$721,J5)</f>
        <v>36</v>
      </c>
      <c r="M5" s="8" t="s">
        <v>19</v>
      </c>
      <c r="O5" s="9" t="n">
        <f aca="false">SUMIFS($L$9:$L$721,$J$9:$J$721,M5)</f>
        <v>196</v>
      </c>
    </row>
    <row r="6" customFormat="false" ht="15" hidden="false" customHeight="false" outlineLevel="0" collapsed="false">
      <c r="J6" s="8" t="s">
        <v>20</v>
      </c>
      <c r="L6" s="9" t="n">
        <f aca="false">SUMIFS($L$9:$L$721,$J$9:$J$721,J6)</f>
        <v>160</v>
      </c>
    </row>
    <row r="8" customFormat="false" ht="35.05" hidden="false" customHeight="false" outlineLevel="0" collapsed="false">
      <c r="A8" s="10" t="s">
        <v>21</v>
      </c>
      <c r="B8" s="10" t="s">
        <v>22</v>
      </c>
      <c r="C8" s="10" t="s">
        <v>23</v>
      </c>
      <c r="D8" s="10" t="s">
        <v>24</v>
      </c>
      <c r="E8" s="10" t="s">
        <v>25</v>
      </c>
      <c r="F8" s="10" t="s">
        <v>26</v>
      </c>
      <c r="G8" s="10" t="s">
        <v>27</v>
      </c>
      <c r="H8" s="10" t="s">
        <v>28</v>
      </c>
      <c r="I8" s="10" t="s">
        <v>29</v>
      </c>
      <c r="J8" s="10" t="s">
        <v>30</v>
      </c>
      <c r="K8" s="10" t="s">
        <v>31</v>
      </c>
      <c r="L8" s="10" t="s">
        <v>32</v>
      </c>
      <c r="M8" s="10" t="s">
        <v>33</v>
      </c>
      <c r="N8" s="10" t="s">
        <v>34</v>
      </c>
      <c r="O8" s="10" t="s">
        <v>35</v>
      </c>
      <c r="P8" s="10" t="s">
        <v>36</v>
      </c>
      <c r="Q8" s="10" t="s">
        <v>37</v>
      </c>
      <c r="R8" s="10" t="s">
        <v>38</v>
      </c>
    </row>
    <row r="9" customFormat="false" ht="68.65" hidden="false" customHeight="false" outlineLevel="0" collapsed="false">
      <c r="A9" s="11" t="n">
        <v>1</v>
      </c>
      <c r="B9" s="12" t="s">
        <v>39</v>
      </c>
      <c r="C9" s="12" t="s">
        <v>40</v>
      </c>
      <c r="D9" s="12" t="s">
        <v>41</v>
      </c>
      <c r="E9" s="11" t="n">
        <v>24</v>
      </c>
      <c r="F9" s="12" t="s">
        <v>42</v>
      </c>
      <c r="G9" s="11" t="s">
        <v>43</v>
      </c>
      <c r="H9" s="11"/>
      <c r="I9" s="11" t="n">
        <f aca="false">IF(E9="","",IF(OR(AND(H9="Plan A",$C$5="B"),AND(H9="Plan B",$C$5="A")),0,IF(OR(G9="per student",G9="per group",G9="per class"),E9*IF(B9="Year 7",$C$3,$C$4),E9)))</f>
        <v>24</v>
      </c>
      <c r="J9" s="12" t="s">
        <v>13</v>
      </c>
      <c r="K9" s="11" t="n">
        <v>3</v>
      </c>
      <c r="L9" s="11" t="n">
        <f aca="false">IF(OR(K9="",O9&lt;&gt;"",I9=""),"",ROUNDUP(I9*K9,0))</f>
        <v>72</v>
      </c>
      <c r="M9" s="12" t="s">
        <v>44</v>
      </c>
      <c r="N9" s="11"/>
      <c r="O9" s="12"/>
      <c r="P9" s="12" t="s">
        <v>45</v>
      </c>
      <c r="Q9" s="13" t="s">
        <v>46</v>
      </c>
      <c r="R9" s="11"/>
    </row>
    <row r="10" customFormat="false" ht="23.85" hidden="false" customHeight="false" outlineLevel="0" collapsed="false">
      <c r="A10" s="11" t="n">
        <v>1</v>
      </c>
      <c r="B10" s="12" t="s">
        <v>39</v>
      </c>
      <c r="C10" s="12" t="s">
        <v>40</v>
      </c>
      <c r="D10" s="12" t="s">
        <v>47</v>
      </c>
      <c r="E10" s="11" t="n">
        <v>24</v>
      </c>
      <c r="F10" s="12" t="s">
        <v>48</v>
      </c>
      <c r="G10" s="11" t="s">
        <v>43</v>
      </c>
      <c r="H10" s="11"/>
      <c r="I10" s="11" t="n">
        <f aca="false">IF(E10="","",IF(OR(AND(H10="Plan A",$C$5="B"),AND(H10="Plan B",$C$5="A")),0,IF(OR(G10="per student",G10="per group",G10="per class"),E10*IF(B10="Year 7",$C$3,$C$4),E10)))</f>
        <v>24</v>
      </c>
      <c r="J10" s="12" t="s">
        <v>13</v>
      </c>
      <c r="K10" s="11" t="n">
        <v>0.5</v>
      </c>
      <c r="L10" s="11" t="n">
        <f aca="false">IF(OR(K10="",O10&lt;&gt;"",I10=""),"",ROUNDUP(I10*K10,0))</f>
        <v>12</v>
      </c>
      <c r="M10" s="12" t="s">
        <v>49</v>
      </c>
      <c r="N10" s="11"/>
      <c r="O10" s="12"/>
      <c r="P10" s="12" t="s">
        <v>45</v>
      </c>
      <c r="Q10" s="13" t="s">
        <v>50</v>
      </c>
      <c r="R10" s="11"/>
    </row>
    <row r="11" customFormat="false" ht="57.45" hidden="false" customHeight="false" outlineLevel="0" collapsed="false">
      <c r="A11" s="11" t="n">
        <v>1</v>
      </c>
      <c r="B11" s="12" t="s">
        <v>39</v>
      </c>
      <c r="C11" s="12" t="s">
        <v>40</v>
      </c>
      <c r="D11" s="12" t="s">
        <v>51</v>
      </c>
      <c r="E11" s="11" t="n">
        <v>24</v>
      </c>
      <c r="F11" s="12" t="s">
        <v>52</v>
      </c>
      <c r="G11" s="11" t="s">
        <v>43</v>
      </c>
      <c r="H11" s="11"/>
      <c r="I11" s="11" t="n">
        <f aca="false">IF(E11="","",IF(OR(AND(H11="Plan A",$C$5="B"),AND(H11="Plan B",$C$5="A")),0,IF(OR(G11="per student",G11="per group",G11="per class"),E11*IF(B11="Year 7",$C$3,$C$4),E11)))</f>
        <v>24</v>
      </c>
      <c r="J11" s="12" t="s">
        <v>13</v>
      </c>
      <c r="K11" s="11" t="n">
        <v>2</v>
      </c>
      <c r="L11" s="11" t="n">
        <f aca="false">IF(OR(K11="",O11&lt;&gt;"",I11=""),"",ROUNDUP(I11*K11,0))</f>
        <v>48</v>
      </c>
      <c r="M11" s="12" t="s">
        <v>53</v>
      </c>
      <c r="N11" s="11"/>
      <c r="O11" s="12"/>
      <c r="P11" s="12" t="s">
        <v>45</v>
      </c>
      <c r="Q11" s="13" t="s">
        <v>54</v>
      </c>
      <c r="R11" s="11"/>
    </row>
    <row r="12" customFormat="false" ht="23.85" hidden="false" customHeight="false" outlineLevel="0" collapsed="false">
      <c r="A12" s="11" t="n">
        <v>1</v>
      </c>
      <c r="B12" s="12" t="s">
        <v>39</v>
      </c>
      <c r="C12" s="12" t="s">
        <v>40</v>
      </c>
      <c r="D12" s="12" t="s">
        <v>55</v>
      </c>
      <c r="E12" s="11" t="n">
        <v>1</v>
      </c>
      <c r="F12" s="12" t="s">
        <v>56</v>
      </c>
      <c r="G12" s="11" t="s">
        <v>57</v>
      </c>
      <c r="H12" s="11"/>
      <c r="I12" s="11" t="n">
        <f aca="false">IF(E12="","",IF(OR(AND(H12="Plan A",$C$5="B"),AND(H12="Plan B",$C$5="A")),0,IF(OR(G12="per student",G12="per group",G12="per class"),E12*IF(B12="Year 7",$C$3,$C$4),E12)))</f>
        <v>1</v>
      </c>
      <c r="J12" s="12" t="s">
        <v>13</v>
      </c>
      <c r="K12" s="11" t="n">
        <v>2</v>
      </c>
      <c r="L12" s="11" t="n">
        <f aca="false">IF(OR(K12="",O12&lt;&gt;"",I12=""),"",ROUNDUP(I12*K12,0))</f>
        <v>2</v>
      </c>
      <c r="M12" s="12" t="s">
        <v>58</v>
      </c>
      <c r="N12" s="11"/>
      <c r="O12" s="12"/>
      <c r="P12" s="12" t="s">
        <v>45</v>
      </c>
      <c r="Q12" s="13" t="s">
        <v>59</v>
      </c>
      <c r="R12" s="11"/>
    </row>
    <row r="13" customFormat="false" ht="23.85" hidden="false" customHeight="false" outlineLevel="0" collapsed="false">
      <c r="A13" s="11" t="n">
        <v>1</v>
      </c>
      <c r="B13" s="12" t="s">
        <v>39</v>
      </c>
      <c r="C13" s="12" t="s">
        <v>40</v>
      </c>
      <c r="D13" s="12" t="s">
        <v>60</v>
      </c>
      <c r="E13" s="11" t="n">
        <v>1</v>
      </c>
      <c r="F13" s="12" t="s">
        <v>61</v>
      </c>
      <c r="G13" s="11" t="s">
        <v>57</v>
      </c>
      <c r="H13" s="11"/>
      <c r="I13" s="11" t="n">
        <f aca="false">IF(E13="","",IF(OR(AND(H13="Plan A",$C$5="B"),AND(H13="Plan B",$C$5="A")),0,IF(OR(G13="per student",G13="per group",G13="per class"),E13*IF(B13="Year 7",$C$3,$C$4),E13)))</f>
        <v>1</v>
      </c>
      <c r="J13" s="12" t="s">
        <v>13</v>
      </c>
      <c r="K13" s="11" t="n">
        <v>1</v>
      </c>
      <c r="L13" s="11" t="n">
        <f aca="false">IF(OR(K13="",O13&lt;&gt;"",I13=""),"",ROUNDUP(I13*K13,0))</f>
        <v>1</v>
      </c>
      <c r="M13" s="12" t="s">
        <v>62</v>
      </c>
      <c r="N13" s="11"/>
      <c r="O13" s="12"/>
      <c r="P13" s="12" t="s">
        <v>45</v>
      </c>
      <c r="Q13" s="13" t="s">
        <v>63</v>
      </c>
      <c r="R13" s="11"/>
    </row>
    <row r="14" customFormat="false" ht="35.05" hidden="false" customHeight="false" outlineLevel="0" collapsed="false">
      <c r="A14" s="11" t="n">
        <v>1</v>
      </c>
      <c r="B14" s="12" t="s">
        <v>39</v>
      </c>
      <c r="C14" s="12" t="s">
        <v>40</v>
      </c>
      <c r="D14" s="12" t="s">
        <v>64</v>
      </c>
      <c r="E14" s="11" t="n">
        <v>6</v>
      </c>
      <c r="F14" s="12" t="s">
        <v>65</v>
      </c>
      <c r="G14" s="11" t="s">
        <v>66</v>
      </c>
      <c r="H14" s="11"/>
      <c r="I14" s="11" t="n">
        <f aca="false">IF(E14="","",IF(OR(AND(H14="Plan A",$C$5="B"),AND(H14="Plan B",$C$5="A")),0,IF(OR(G14="per student",G14="per group",G14="per class"),E14*IF(B14="Year 7",$C$3,$C$4),E14)))</f>
        <v>6</v>
      </c>
      <c r="J14" s="12" t="s">
        <v>13</v>
      </c>
      <c r="K14" s="11" t="n">
        <v>1</v>
      </c>
      <c r="L14" s="11" t="n">
        <f aca="false">IF(OR(K14="",O14&lt;&gt;"",I14=""),"",ROUNDUP(I14*K14,0))</f>
        <v>6</v>
      </c>
      <c r="M14" s="12" t="s">
        <v>67</v>
      </c>
      <c r="N14" s="11"/>
      <c r="O14" s="12"/>
      <c r="P14" s="12" t="s">
        <v>45</v>
      </c>
      <c r="Q14" s="13" t="s">
        <v>68</v>
      </c>
      <c r="R14" s="11"/>
    </row>
    <row r="15" customFormat="false" ht="35.05" hidden="false" customHeight="false" outlineLevel="0" collapsed="false">
      <c r="A15" s="11" t="n">
        <v>1</v>
      </c>
      <c r="B15" s="12" t="s">
        <v>39</v>
      </c>
      <c r="C15" s="12" t="s">
        <v>40</v>
      </c>
      <c r="D15" s="12" t="s">
        <v>69</v>
      </c>
      <c r="E15" s="11" t="n">
        <v>30</v>
      </c>
      <c r="F15" s="12" t="s">
        <v>70</v>
      </c>
      <c r="G15" s="11" t="s">
        <v>43</v>
      </c>
      <c r="H15" s="11"/>
      <c r="I15" s="11" t="n">
        <f aca="false">IF(E15="","",IF(OR(AND(H15="Plan A",$C$5="B"),AND(H15="Plan B",$C$5="A")),0,IF(OR(G15="per student",G15="per group",G15="per class"),E15*IF(B15="Year 7",$C$3,$C$4),E15)))</f>
        <v>30</v>
      </c>
      <c r="J15" s="12" t="s">
        <v>20</v>
      </c>
      <c r="K15" s="11" t="n">
        <v>1</v>
      </c>
      <c r="L15" s="11" t="n">
        <f aca="false">IF(OR(K15="",O15&lt;&gt;"",I15=""),"",ROUNDUP(I15*K15,0))</f>
        <v>30</v>
      </c>
      <c r="M15" s="12" t="s">
        <v>71</v>
      </c>
      <c r="N15" s="11"/>
      <c r="O15" s="12"/>
      <c r="P15" s="12" t="s">
        <v>45</v>
      </c>
      <c r="Q15" s="13" t="s">
        <v>72</v>
      </c>
      <c r="R15" s="11"/>
    </row>
    <row r="16" customFormat="false" ht="23.85" hidden="false" customHeight="false" outlineLevel="0" collapsed="false">
      <c r="A16" s="11" t="n">
        <v>1</v>
      </c>
      <c r="B16" s="12" t="s">
        <v>39</v>
      </c>
      <c r="C16" s="12" t="s">
        <v>40</v>
      </c>
      <c r="D16" s="12" t="s">
        <v>73</v>
      </c>
      <c r="E16" s="11" t="n">
        <v>3</v>
      </c>
      <c r="F16" s="12" t="s">
        <v>74</v>
      </c>
      <c r="G16" s="11" t="s">
        <v>75</v>
      </c>
      <c r="H16" s="11"/>
      <c r="I16" s="11" t="n">
        <f aca="false">IF(E16="","",IF(OR(AND(H16="Plan A",$C$5="B"),AND(H16="Plan B",$C$5="A")),0,IF(OR(G16="per student",G16="per group",G16="per class"),E16*IF(B16="Year 7",$C$3,$C$4),E16)))</f>
        <v>3</v>
      </c>
      <c r="J16" s="12" t="s">
        <v>18</v>
      </c>
      <c r="K16" s="11" t="n">
        <v>1</v>
      </c>
      <c r="L16" s="11" t="n">
        <f aca="false">IF(OR(K16="",O16&lt;&gt;"",I16=""),"",ROUNDUP(I16*K16,0))</f>
        <v>3</v>
      </c>
      <c r="M16" s="12" t="s">
        <v>76</v>
      </c>
      <c r="N16" s="11"/>
      <c r="O16" s="12"/>
      <c r="P16" s="12" t="s">
        <v>77</v>
      </c>
      <c r="Q16" s="13" t="s">
        <v>78</v>
      </c>
      <c r="R16" s="11"/>
    </row>
    <row r="17" customFormat="false" ht="35.05" hidden="false" customHeight="false" outlineLevel="0" collapsed="false">
      <c r="A17" s="11" t="n">
        <v>1</v>
      </c>
      <c r="B17" s="12" t="s">
        <v>39</v>
      </c>
      <c r="C17" s="12" t="s">
        <v>40</v>
      </c>
      <c r="D17" s="12" t="s">
        <v>79</v>
      </c>
      <c r="E17" s="11" t="n">
        <v>1</v>
      </c>
      <c r="F17" s="12" t="s">
        <v>80</v>
      </c>
      <c r="G17" s="11" t="s">
        <v>75</v>
      </c>
      <c r="H17" s="11"/>
      <c r="I17" s="11" t="n">
        <f aca="false">IF(E17="","",IF(OR(AND(H17="Plan A",$C$5="B"),AND(H17="Plan B",$C$5="A")),0,IF(OR(G17="per student",G17="per group",G17="per class"),E17*IF(B17="Year 7",$C$3,$C$4),E17)))</f>
        <v>1</v>
      </c>
      <c r="J17" s="12" t="s">
        <v>13</v>
      </c>
      <c r="K17" s="11" t="n">
        <v>1</v>
      </c>
      <c r="L17" s="11" t="n">
        <f aca="false">IF(OR(K17="",O17&lt;&gt;"",I17=""),"",ROUNDUP(I17*K17,0))</f>
        <v>1</v>
      </c>
      <c r="M17" s="12" t="s">
        <v>81</v>
      </c>
      <c r="N17" s="11"/>
      <c r="O17" s="12"/>
      <c r="P17" s="12" t="s">
        <v>45</v>
      </c>
      <c r="Q17" s="13" t="s">
        <v>82</v>
      </c>
      <c r="R17" s="11"/>
    </row>
    <row r="18" customFormat="false" ht="35.05" hidden="false" customHeight="false" outlineLevel="0" collapsed="false">
      <c r="A18" s="11" t="n">
        <v>1</v>
      </c>
      <c r="B18" s="12" t="s">
        <v>39</v>
      </c>
      <c r="C18" s="12" t="s">
        <v>40</v>
      </c>
      <c r="D18" s="12" t="s">
        <v>83</v>
      </c>
      <c r="E18" s="11" t="n">
        <v>6</v>
      </c>
      <c r="F18" s="12" t="s">
        <v>84</v>
      </c>
      <c r="G18" s="11" t="s">
        <v>66</v>
      </c>
      <c r="H18" s="11"/>
      <c r="I18" s="11" t="n">
        <f aca="false">IF(E18="","",IF(OR(AND(H18="Plan A",$C$5="B"),AND(H18="Plan B",$C$5="A")),0,IF(OR(G18="per student",G18="per group",G18="per class"),E18*IF(B18="Year 7",$C$3,$C$4),E18)))</f>
        <v>6</v>
      </c>
      <c r="J18" s="12" t="s">
        <v>13</v>
      </c>
      <c r="K18" s="11" t="n">
        <v>4</v>
      </c>
      <c r="L18" s="11" t="n">
        <f aca="false">IF(OR(K18="",O18&lt;&gt;"",I18=""),"",ROUNDUP(I18*K18,0))</f>
        <v>24</v>
      </c>
      <c r="M18" s="12" t="s">
        <v>85</v>
      </c>
      <c r="N18" s="11"/>
      <c r="O18" s="12"/>
      <c r="P18" s="12" t="s">
        <v>45</v>
      </c>
      <c r="Q18" s="13" t="s">
        <v>86</v>
      </c>
      <c r="R18" s="11"/>
    </row>
    <row r="19" customFormat="false" ht="46.25" hidden="false" customHeight="false" outlineLevel="0" collapsed="false">
      <c r="A19" s="11" t="n">
        <v>1</v>
      </c>
      <c r="B19" s="12" t="s">
        <v>39</v>
      </c>
      <c r="C19" s="12" t="s">
        <v>40</v>
      </c>
      <c r="D19" s="12" t="s">
        <v>87</v>
      </c>
      <c r="E19" s="11" t="n">
        <v>28</v>
      </c>
      <c r="F19" s="12" t="s">
        <v>88</v>
      </c>
      <c r="G19" s="11" t="s">
        <v>43</v>
      </c>
      <c r="H19" s="11"/>
      <c r="I19" s="11" t="n">
        <f aca="false">IF(E19="","",IF(OR(AND(H19="Plan A",$C$5="B"),AND(H19="Plan B",$C$5="A")),0,IF(OR(G19="per student",G19="per group",G19="per class"),E19*IF(B19="Year 7",$C$3,$C$4),E19)))</f>
        <v>28</v>
      </c>
      <c r="J19" s="12" t="s">
        <v>89</v>
      </c>
      <c r="K19" s="11" t="n">
        <v>6</v>
      </c>
      <c r="L19" s="11" t="n">
        <f aca="false">IF(OR(K19="",O19&lt;&gt;"",I19=""),"",ROUNDUP(I19*K19,0))</f>
        <v>168</v>
      </c>
      <c r="M19" s="12" t="s">
        <v>90</v>
      </c>
      <c r="N19" s="11"/>
      <c r="O19" s="12"/>
      <c r="P19" s="13" t="s">
        <v>91</v>
      </c>
      <c r="Q19" s="13" t="s">
        <v>92</v>
      </c>
      <c r="R19" s="11"/>
    </row>
    <row r="20" customFormat="false" ht="35.05" hidden="false" customHeight="false" outlineLevel="0" collapsed="false">
      <c r="A20" s="11" t="n">
        <v>1</v>
      </c>
      <c r="B20" s="12" t="s">
        <v>39</v>
      </c>
      <c r="C20" s="12" t="s">
        <v>40</v>
      </c>
      <c r="D20" s="12" t="s">
        <v>93</v>
      </c>
      <c r="E20" s="11" t="n">
        <v>24</v>
      </c>
      <c r="F20" s="12" t="s">
        <v>94</v>
      </c>
      <c r="G20" s="11" t="s">
        <v>43</v>
      </c>
      <c r="H20" s="11"/>
      <c r="I20" s="11" t="n">
        <f aca="false">IF(E20="","",IF(OR(AND(H20="Plan A",$C$5="B"),AND(H20="Plan B",$C$5="A")),0,IF(OR(G20="per student",G20="per group",G20="per class"),E20*IF(B20="Year 7",$C$3,$C$4),E20)))</f>
        <v>24</v>
      </c>
      <c r="J20" s="12" t="s">
        <v>89</v>
      </c>
      <c r="K20" s="11"/>
      <c r="L20" s="11" t="str">
        <f aca="false">IF(OR(K20="",O20&lt;&gt;"",I20=""),"",ROUNDUP(I20*K20,0))</f>
        <v/>
      </c>
      <c r="M20" s="12" t="s">
        <v>95</v>
      </c>
      <c r="N20" s="11"/>
      <c r="O20" s="12"/>
      <c r="P20" s="12" t="s">
        <v>77</v>
      </c>
      <c r="Q20" s="13" t="s">
        <v>96</v>
      </c>
      <c r="R20" s="11"/>
    </row>
    <row r="21" customFormat="false" ht="57.45" hidden="false" customHeight="false" outlineLevel="0" collapsed="false">
      <c r="A21" s="11" t="n">
        <v>1</v>
      </c>
      <c r="B21" s="12" t="s">
        <v>39</v>
      </c>
      <c r="C21" s="12" t="s">
        <v>97</v>
      </c>
      <c r="D21" s="12" t="s">
        <v>98</v>
      </c>
      <c r="E21" s="11" t="n">
        <v>6</v>
      </c>
      <c r="F21" s="12" t="s">
        <v>99</v>
      </c>
      <c r="G21" s="11" t="s">
        <v>66</v>
      </c>
      <c r="H21" s="11"/>
      <c r="I21" s="11" t="n">
        <f aca="false">IF(E21="","",IF(OR(AND(H21="Plan A",$C$5="B"),AND(H21="Plan B",$C$5="A")),0,IF(OR(G21="per student",G21="per group",G21="per class"),E21*IF(B21="Year 7",$C$3,$C$4),E21)))</f>
        <v>6</v>
      </c>
      <c r="J21" s="12" t="s">
        <v>14</v>
      </c>
      <c r="K21" s="11" t="n">
        <v>3</v>
      </c>
      <c r="L21" s="11" t="n">
        <f aca="false">IF(OR(K21="",O21&lt;&gt;"",I21=""),"",ROUNDUP(I21*K21,0))</f>
        <v>18</v>
      </c>
      <c r="M21" s="12" t="s">
        <v>100</v>
      </c>
      <c r="N21" s="11"/>
      <c r="O21" s="12"/>
      <c r="P21" s="13" t="s">
        <v>91</v>
      </c>
      <c r="Q21" s="13" t="s">
        <v>101</v>
      </c>
      <c r="R21" s="11"/>
    </row>
    <row r="22" customFormat="false" ht="35.05" hidden="false" customHeight="false" outlineLevel="0" collapsed="false">
      <c r="A22" s="11" t="n">
        <v>1</v>
      </c>
      <c r="B22" s="12" t="s">
        <v>39</v>
      </c>
      <c r="C22" s="12" t="s">
        <v>97</v>
      </c>
      <c r="D22" s="12" t="s">
        <v>102</v>
      </c>
      <c r="E22" s="11" t="n">
        <v>18</v>
      </c>
      <c r="F22" s="12" t="s">
        <v>103</v>
      </c>
      <c r="G22" s="11" t="s">
        <v>66</v>
      </c>
      <c r="H22" s="11"/>
      <c r="I22" s="11" t="n">
        <f aca="false">IF(E22="","",IF(OR(AND(H22="Plan A",$C$5="B"),AND(H22="Plan B",$C$5="A")),0,IF(OR(G22="per student",G22="per group",G22="per class"),E22*IF(B22="Year 7",$C$3,$C$4),E22)))</f>
        <v>18</v>
      </c>
      <c r="J22" s="12"/>
      <c r="K22" s="11"/>
      <c r="L22" s="11" t="str">
        <f aca="false">IF(OR(K22="",O22&lt;&gt;"",I22=""),"",ROUNDUP(I22*K22,0))</f>
        <v/>
      </c>
      <c r="M22" s="12" t="s">
        <v>104</v>
      </c>
      <c r="N22" s="11" t="s">
        <v>105</v>
      </c>
      <c r="O22" s="12"/>
      <c r="P22" s="13" t="s">
        <v>91</v>
      </c>
      <c r="Q22" s="13" t="s">
        <v>106</v>
      </c>
      <c r="R22" s="11"/>
    </row>
    <row r="23" customFormat="false" ht="23.85" hidden="false" customHeight="false" outlineLevel="0" collapsed="false">
      <c r="A23" s="11" t="n">
        <v>1</v>
      </c>
      <c r="B23" s="12" t="s">
        <v>39</v>
      </c>
      <c r="C23" s="12" t="s">
        <v>97</v>
      </c>
      <c r="D23" s="12" t="s">
        <v>107</v>
      </c>
      <c r="E23" s="11" t="n">
        <v>6</v>
      </c>
      <c r="F23" s="12" t="s">
        <v>103</v>
      </c>
      <c r="G23" s="11" t="s">
        <v>66</v>
      </c>
      <c r="H23" s="11"/>
      <c r="I23" s="11" t="n">
        <f aca="false">IF(E23="","",IF(OR(AND(H23="Plan A",$C$5="B"),AND(H23="Plan B",$C$5="A")),0,IF(OR(G23="per student",G23="per group",G23="per class"),E23*IF(B23="Year 7",$C$3,$C$4),E23)))</f>
        <v>6</v>
      </c>
      <c r="J23" s="12"/>
      <c r="K23" s="11"/>
      <c r="L23" s="11" t="str">
        <f aca="false">IF(OR(K23="",O23&lt;&gt;"",I23=""),"",ROUNDUP(I23*K23,0))</f>
        <v/>
      </c>
      <c r="M23" s="12" t="s">
        <v>108</v>
      </c>
      <c r="N23" s="11"/>
      <c r="O23" s="12"/>
      <c r="P23" s="12" t="s">
        <v>77</v>
      </c>
      <c r="Q23" s="12"/>
      <c r="R23" s="11"/>
    </row>
    <row r="24" customFormat="false" ht="23.85" hidden="false" customHeight="false" outlineLevel="0" collapsed="false">
      <c r="A24" s="11" t="n">
        <v>1</v>
      </c>
      <c r="B24" s="12" t="s">
        <v>39</v>
      </c>
      <c r="C24" s="12" t="s">
        <v>97</v>
      </c>
      <c r="D24" s="12" t="s">
        <v>109</v>
      </c>
      <c r="E24" s="11" t="n">
        <v>30</v>
      </c>
      <c r="F24" s="12" t="s">
        <v>110</v>
      </c>
      <c r="G24" s="11" t="s">
        <v>43</v>
      </c>
      <c r="H24" s="11"/>
      <c r="I24" s="11" t="n">
        <f aca="false">IF(E24="","",IF(OR(AND(H24="Plan A",$C$5="B"),AND(H24="Plan B",$C$5="A")),0,IF(OR(G24="per student",G24="per group",G24="per class"),E24*IF(B24="Year 7",$C$3,$C$4),E24)))</f>
        <v>30</v>
      </c>
      <c r="J24" s="12"/>
      <c r="K24" s="11"/>
      <c r="L24" s="11" t="str">
        <f aca="false">IF(OR(K24="",O24&lt;&gt;"",I24=""),"",ROUNDUP(I24*K24,0))</f>
        <v/>
      </c>
      <c r="M24" s="12" t="s">
        <v>111</v>
      </c>
      <c r="N24" s="11"/>
      <c r="O24" s="12"/>
      <c r="P24" s="12" t="s">
        <v>77</v>
      </c>
      <c r="Q24" s="12"/>
      <c r="R24" s="11"/>
    </row>
    <row r="25" customFormat="false" ht="35.05" hidden="false" customHeight="false" outlineLevel="0" collapsed="false">
      <c r="A25" s="11" t="n">
        <v>1</v>
      </c>
      <c r="B25" s="12" t="s">
        <v>39</v>
      </c>
      <c r="C25" s="12" t="s">
        <v>97</v>
      </c>
      <c r="D25" s="12" t="s">
        <v>112</v>
      </c>
      <c r="E25" s="11" t="n">
        <v>18</v>
      </c>
      <c r="F25" s="12" t="s">
        <v>113</v>
      </c>
      <c r="G25" s="11" t="s">
        <v>66</v>
      </c>
      <c r="H25" s="11"/>
      <c r="I25" s="11" t="n">
        <f aca="false">IF(E25="","",IF(OR(AND(H25="Plan A",$C$5="B"),AND(H25="Plan B",$C$5="A")),0,IF(OR(G25="per student",G25="per group",G25="per class"),E25*IF(B25="Year 7",$C$3,$C$4),E25)))</f>
        <v>18</v>
      </c>
      <c r="J25" s="12"/>
      <c r="K25" s="11"/>
      <c r="L25" s="11" t="str">
        <f aca="false">IF(OR(K25="",O25&lt;&gt;"",I25=""),"",ROUNDUP(I25*K25,0))</f>
        <v/>
      </c>
      <c r="M25" s="12" t="s">
        <v>114</v>
      </c>
      <c r="N25" s="11"/>
      <c r="O25" s="12"/>
      <c r="P25" s="12" t="s">
        <v>77</v>
      </c>
      <c r="Q25" s="13" t="s">
        <v>115</v>
      </c>
      <c r="R25" s="11"/>
    </row>
    <row r="26" customFormat="false" ht="35.05" hidden="false" customHeight="false" outlineLevel="0" collapsed="false">
      <c r="A26" s="11" t="n">
        <v>1</v>
      </c>
      <c r="B26" s="12" t="s">
        <v>39</v>
      </c>
      <c r="C26" s="12" t="s">
        <v>97</v>
      </c>
      <c r="D26" s="12" t="s">
        <v>116</v>
      </c>
      <c r="E26" s="11" t="n">
        <v>24</v>
      </c>
      <c r="F26" s="12" t="s">
        <v>117</v>
      </c>
      <c r="G26" s="11" t="s">
        <v>43</v>
      </c>
      <c r="H26" s="11"/>
      <c r="I26" s="11" t="n">
        <f aca="false">IF(E26="","",IF(OR(AND(H26="Plan A",$C$5="B"),AND(H26="Plan B",$C$5="A")),0,IF(OR(G26="per student",G26="per group",G26="per class"),E26*IF(B26="Year 7",$C$3,$C$4),E26)))</f>
        <v>24</v>
      </c>
      <c r="J26" s="12"/>
      <c r="K26" s="11"/>
      <c r="L26" s="11" t="str">
        <f aca="false">IF(OR(K26="",O26&lt;&gt;"",I26=""),"",ROUNDUP(I26*K26,0))</f>
        <v/>
      </c>
      <c r="M26" s="12" t="s">
        <v>118</v>
      </c>
      <c r="N26" s="11"/>
      <c r="O26" s="12"/>
      <c r="P26" s="12" t="s">
        <v>77</v>
      </c>
      <c r="Q26" s="13" t="s">
        <v>119</v>
      </c>
      <c r="R26" s="11"/>
    </row>
    <row r="27" customFormat="false" ht="23.85" hidden="false" customHeight="false" outlineLevel="0" collapsed="false">
      <c r="A27" s="11" t="n">
        <v>1</v>
      </c>
      <c r="B27" s="12" t="s">
        <v>39</v>
      </c>
      <c r="C27" s="12" t="s">
        <v>97</v>
      </c>
      <c r="D27" s="12" t="s">
        <v>120</v>
      </c>
      <c r="E27" s="11" t="n">
        <v>24</v>
      </c>
      <c r="F27" s="12" t="s">
        <v>121</v>
      </c>
      <c r="G27" s="11" t="s">
        <v>43</v>
      </c>
      <c r="H27" s="11"/>
      <c r="I27" s="11" t="n">
        <f aca="false">IF(E27="","",IF(OR(AND(H27="Plan A",$C$5="B"),AND(H27="Plan B",$C$5="A")),0,IF(OR(G27="per student",G27="per group",G27="per class"),E27*IF(B27="Year 7",$C$3,$C$4),E27)))</f>
        <v>24</v>
      </c>
      <c r="J27" s="12"/>
      <c r="K27" s="11"/>
      <c r="L27" s="11" t="str">
        <f aca="false">IF(OR(K27="",O27&lt;&gt;"",I27=""),"",ROUNDUP(I27*K27,0))</f>
        <v/>
      </c>
      <c r="M27" s="12" t="s">
        <v>122</v>
      </c>
      <c r="N27" s="11"/>
      <c r="O27" s="12"/>
      <c r="P27" s="13" t="s">
        <v>91</v>
      </c>
      <c r="Q27" s="13" t="s">
        <v>123</v>
      </c>
      <c r="R27" s="11"/>
    </row>
    <row r="28" customFormat="false" ht="23.85" hidden="false" customHeight="false" outlineLevel="0" collapsed="false">
      <c r="A28" s="11" t="n">
        <v>1</v>
      </c>
      <c r="B28" s="12" t="s">
        <v>39</v>
      </c>
      <c r="C28" s="12" t="s">
        <v>124</v>
      </c>
      <c r="D28" s="12" t="s">
        <v>125</v>
      </c>
      <c r="E28" s="11" t="n">
        <v>1</v>
      </c>
      <c r="F28" s="12" t="s">
        <v>126</v>
      </c>
      <c r="G28" s="11" t="s">
        <v>127</v>
      </c>
      <c r="H28" s="11"/>
      <c r="I28" s="11" t="n">
        <f aca="false">IF(E28="","",IF(OR(AND(H28="Plan A",$C$5="B"),AND(H28="Plan B",$C$5="A")),0,IF(OR(G28="per student",G28="per group",G28="per class"),E28*IF(B28="Year 7",$C$3,$C$4),E28)))</f>
        <v>1</v>
      </c>
      <c r="J28" s="12"/>
      <c r="K28" s="11"/>
      <c r="L28" s="11" t="str">
        <f aca="false">IF(OR(K28="",O28&lt;&gt;"",I28=""),"",ROUNDUP(I28*K28,0))</f>
        <v/>
      </c>
      <c r="M28" s="12" t="s">
        <v>128</v>
      </c>
      <c r="N28" s="11"/>
      <c r="O28" s="12"/>
      <c r="P28" s="12" t="s">
        <v>77</v>
      </c>
      <c r="Q28" s="13" t="s">
        <v>129</v>
      </c>
      <c r="R28" s="11"/>
    </row>
    <row r="29" customFormat="false" ht="23.85" hidden="false" customHeight="false" outlineLevel="0" collapsed="false">
      <c r="A29" s="11" t="n">
        <v>1</v>
      </c>
      <c r="B29" s="12" t="s">
        <v>39</v>
      </c>
      <c r="C29" s="12" t="s">
        <v>124</v>
      </c>
      <c r="D29" s="12" t="s">
        <v>130</v>
      </c>
      <c r="E29" s="11" t="n">
        <v>1</v>
      </c>
      <c r="F29" s="12" t="s">
        <v>131</v>
      </c>
      <c r="G29" s="11" t="s">
        <v>127</v>
      </c>
      <c r="H29" s="11"/>
      <c r="I29" s="11" t="n">
        <f aca="false">IF(E29="","",IF(OR(AND(H29="Plan A",$C$5="B"),AND(H29="Plan B",$C$5="A")),0,IF(OR(G29="per student",G29="per group",G29="per class"),E29*IF(B29="Year 7",$C$3,$C$4),E29)))</f>
        <v>1</v>
      </c>
      <c r="J29" s="12"/>
      <c r="K29" s="11"/>
      <c r="L29" s="11" t="str">
        <f aca="false">IF(OR(K29="",O29&lt;&gt;"",I29=""),"",ROUNDUP(I29*K29,0))</f>
        <v/>
      </c>
      <c r="M29" s="12" t="s">
        <v>132</v>
      </c>
      <c r="N29" s="11"/>
      <c r="O29" s="12"/>
      <c r="P29" s="12" t="s">
        <v>133</v>
      </c>
      <c r="Q29" s="13" t="s">
        <v>134</v>
      </c>
      <c r="R29" s="11"/>
    </row>
    <row r="30" customFormat="false" ht="23.85" hidden="false" customHeight="false" outlineLevel="0" collapsed="false">
      <c r="A30" s="11" t="n">
        <v>1</v>
      </c>
      <c r="B30" s="12" t="s">
        <v>39</v>
      </c>
      <c r="C30" s="12" t="s">
        <v>124</v>
      </c>
      <c r="D30" s="12" t="s">
        <v>135</v>
      </c>
      <c r="E30" s="11"/>
      <c r="F30" s="12" t="s">
        <v>136</v>
      </c>
      <c r="G30" s="11" t="s">
        <v>57</v>
      </c>
      <c r="H30" s="11"/>
      <c r="I30" s="11" t="str">
        <f aca="false">IF(E30="","",IF(OR(AND(H30="Plan A",$C$5="B"),AND(H30="Plan B",$C$5="A")),0,IF(OR(G30="per student",G30="per group",G30="per class"),E30*IF(B30="Year 7",$C$3,$C$4),E30)))</f>
        <v/>
      </c>
      <c r="J30" s="12"/>
      <c r="K30" s="11"/>
      <c r="L30" s="11" t="str">
        <f aca="false">IF(OR(K30="",O30&lt;&gt;"",I30=""),"",ROUNDUP(I30*K30,0))</f>
        <v/>
      </c>
      <c r="M30" s="12" t="s">
        <v>137</v>
      </c>
      <c r="N30" s="11"/>
      <c r="O30" s="12"/>
      <c r="P30" s="12" t="s">
        <v>138</v>
      </c>
      <c r="Q30" s="13" t="s">
        <v>139</v>
      </c>
      <c r="R30" s="11"/>
    </row>
    <row r="31" customFormat="false" ht="35.05" hidden="false" customHeight="false" outlineLevel="0" collapsed="false">
      <c r="A31" s="11" t="n">
        <v>1</v>
      </c>
      <c r="B31" s="12" t="s">
        <v>39</v>
      </c>
      <c r="C31" s="12" t="s">
        <v>124</v>
      </c>
      <c r="D31" s="12" t="s">
        <v>140</v>
      </c>
      <c r="E31" s="11"/>
      <c r="F31" s="12" t="s">
        <v>141</v>
      </c>
      <c r="G31" s="11" t="s">
        <v>66</v>
      </c>
      <c r="H31" s="11"/>
      <c r="I31" s="11" t="str">
        <f aca="false">IF(E31="","",IF(OR(AND(H31="Plan A",$C$5="B"),AND(H31="Plan B",$C$5="A")),0,IF(OR(G31="per student",G31="per group",G31="per class"),E31*IF(B31="Year 7",$C$3,$C$4),E31)))</f>
        <v/>
      </c>
      <c r="J31" s="12"/>
      <c r="K31" s="11"/>
      <c r="L31" s="11" t="str">
        <f aca="false">IF(OR(K31="",O31&lt;&gt;"",I31=""),"",ROUNDUP(I31*K31,0))</f>
        <v/>
      </c>
      <c r="M31" s="12" t="s">
        <v>142</v>
      </c>
      <c r="N31" s="11" t="s">
        <v>105</v>
      </c>
      <c r="O31" s="12"/>
      <c r="P31" s="12" t="s">
        <v>133</v>
      </c>
      <c r="Q31" s="13" t="s">
        <v>143</v>
      </c>
      <c r="R31" s="11"/>
    </row>
    <row r="32" customFormat="false" ht="35.05" hidden="false" customHeight="false" outlineLevel="0" collapsed="false">
      <c r="A32" s="11" t="n">
        <v>1</v>
      </c>
      <c r="B32" s="12" t="s">
        <v>39</v>
      </c>
      <c r="C32" s="12" t="s">
        <v>144</v>
      </c>
      <c r="D32" s="12" t="s">
        <v>145</v>
      </c>
      <c r="E32" s="11" t="n">
        <v>6</v>
      </c>
      <c r="F32" s="12" t="s">
        <v>146</v>
      </c>
      <c r="G32" s="11" t="s">
        <v>66</v>
      </c>
      <c r="H32" s="11"/>
      <c r="I32" s="11" t="n">
        <f aca="false">IF(E32="","",IF(OR(AND(H32="Plan A",$C$5="B"),AND(H32="Plan B",$C$5="A")),0,IF(OR(G32="per student",G32="per group",G32="per class"),E32*IF(B32="Year 7",$C$3,$C$4),E32)))</f>
        <v>6</v>
      </c>
      <c r="J32" s="12"/>
      <c r="K32" s="11"/>
      <c r="L32" s="11" t="str">
        <f aca="false">IF(OR(K32="",O32&lt;&gt;"",I32=""),"",ROUNDUP(I32*K32,0))</f>
        <v/>
      </c>
      <c r="M32" s="12" t="s">
        <v>147</v>
      </c>
      <c r="N32" s="11"/>
      <c r="O32" s="12"/>
      <c r="P32" s="13" t="s">
        <v>91</v>
      </c>
      <c r="Q32" s="13" t="s">
        <v>148</v>
      </c>
      <c r="R32" s="11"/>
    </row>
    <row r="33" customFormat="false" ht="35.05" hidden="false" customHeight="false" outlineLevel="0" collapsed="false">
      <c r="A33" s="11" t="n">
        <v>1</v>
      </c>
      <c r="B33" s="12" t="s">
        <v>39</v>
      </c>
      <c r="C33" s="12" t="s">
        <v>144</v>
      </c>
      <c r="D33" s="12" t="s">
        <v>149</v>
      </c>
      <c r="E33" s="11" t="n">
        <v>1</v>
      </c>
      <c r="F33" s="12" t="s">
        <v>150</v>
      </c>
      <c r="G33" s="11" t="s">
        <v>127</v>
      </c>
      <c r="H33" s="11"/>
      <c r="I33" s="11" t="n">
        <f aca="false">IF(E33="","",IF(OR(AND(H33="Plan A",$C$5="B"),AND(H33="Plan B",$C$5="A")),0,IF(OR(G33="per student",G33="per group",G33="per class"),E33*IF(B33="Year 7",$C$3,$C$4),E33)))</f>
        <v>1</v>
      </c>
      <c r="J33" s="12"/>
      <c r="K33" s="11"/>
      <c r="L33" s="11" t="str">
        <f aca="false">IF(OR(K33="",O33&lt;&gt;"",I33=""),"",ROUNDUP(I33*K33,0))</f>
        <v/>
      </c>
      <c r="M33" s="12" t="s">
        <v>151</v>
      </c>
      <c r="N33" s="11"/>
      <c r="O33" s="12"/>
      <c r="P33" s="12" t="s">
        <v>45</v>
      </c>
      <c r="Q33" s="13" t="s">
        <v>152</v>
      </c>
      <c r="R33" s="11"/>
    </row>
    <row r="34" customFormat="false" ht="46.25" hidden="false" customHeight="false" outlineLevel="0" collapsed="false">
      <c r="A34" s="11" t="n">
        <v>1</v>
      </c>
      <c r="B34" s="12" t="s">
        <v>153</v>
      </c>
      <c r="C34" s="12" t="s">
        <v>40</v>
      </c>
      <c r="D34" s="12" t="s">
        <v>154</v>
      </c>
      <c r="E34" s="11" t="n">
        <v>24</v>
      </c>
      <c r="F34" s="12" t="s">
        <v>155</v>
      </c>
      <c r="G34" s="11" t="s">
        <v>43</v>
      </c>
      <c r="H34" s="11"/>
      <c r="I34" s="11" t="n">
        <f aca="false">IF(E34="","",IF(OR(AND(H34="Plan A",$C$5="B"),AND(H34="Plan B",$C$5="A")),0,IF(OR(G34="per student",G34="per group",G34="per class"),E34*IF(B34="Year 7",$C$3,$C$4),E34)))</f>
        <v>24</v>
      </c>
      <c r="J34" s="12" t="s">
        <v>13</v>
      </c>
      <c r="K34" s="11" t="n">
        <v>3</v>
      </c>
      <c r="L34" s="11" t="n">
        <f aca="false">IF(OR(K34="",O34&lt;&gt;"",I34=""),"",ROUNDUP(I34*K34,0))</f>
        <v>72</v>
      </c>
      <c r="M34" s="12" t="s">
        <v>156</v>
      </c>
      <c r="N34" s="11"/>
      <c r="O34" s="12"/>
      <c r="P34" s="12" t="s">
        <v>45</v>
      </c>
      <c r="Q34" s="13" t="s">
        <v>157</v>
      </c>
      <c r="R34" s="11"/>
    </row>
    <row r="35" customFormat="false" ht="23.85" hidden="false" customHeight="false" outlineLevel="0" collapsed="false">
      <c r="A35" s="11" t="n">
        <v>1</v>
      </c>
      <c r="B35" s="12" t="s">
        <v>153</v>
      </c>
      <c r="C35" s="12" t="s">
        <v>40</v>
      </c>
      <c r="D35" s="12" t="s">
        <v>158</v>
      </c>
      <c r="E35" s="11" t="n">
        <v>24</v>
      </c>
      <c r="F35" s="12" t="s">
        <v>159</v>
      </c>
      <c r="G35" s="11" t="s">
        <v>43</v>
      </c>
      <c r="H35" s="11"/>
      <c r="I35" s="11" t="n">
        <f aca="false">IF(E35="","",IF(OR(AND(H35="Plan A",$C$5="B"),AND(H35="Plan B",$C$5="A")),0,IF(OR(G35="per student",G35="per group",G35="per class"),E35*IF(B35="Year 7",$C$3,$C$4),E35)))</f>
        <v>24</v>
      </c>
      <c r="J35" s="12" t="s">
        <v>13</v>
      </c>
      <c r="K35" s="11" t="n">
        <v>0.5</v>
      </c>
      <c r="L35" s="11" t="n">
        <f aca="false">IF(OR(K35="",O35&lt;&gt;"",I35=""),"",ROUNDUP(I35*K35,0))</f>
        <v>12</v>
      </c>
      <c r="M35" s="12" t="s">
        <v>160</v>
      </c>
      <c r="N35" s="11"/>
      <c r="O35" s="12"/>
      <c r="P35" s="12" t="s">
        <v>45</v>
      </c>
      <c r="Q35" s="12"/>
      <c r="R35" s="11"/>
    </row>
    <row r="36" customFormat="false" ht="35.05" hidden="false" customHeight="false" outlineLevel="0" collapsed="false">
      <c r="A36" s="11" t="n">
        <v>1</v>
      </c>
      <c r="B36" s="12" t="s">
        <v>153</v>
      </c>
      <c r="C36" s="12" t="s">
        <v>40</v>
      </c>
      <c r="D36" s="12" t="s">
        <v>161</v>
      </c>
      <c r="E36" s="11" t="n">
        <v>24</v>
      </c>
      <c r="F36" s="12" t="s">
        <v>162</v>
      </c>
      <c r="G36" s="11" t="s">
        <v>43</v>
      </c>
      <c r="H36" s="11"/>
      <c r="I36" s="11" t="n">
        <f aca="false">IF(E36="","",IF(OR(AND(H36="Plan A",$C$5="B"),AND(H36="Plan B",$C$5="A")),0,IF(OR(G36="per student",G36="per group",G36="per class"),E36*IF(B36="Year 7",$C$3,$C$4),E36)))</f>
        <v>24</v>
      </c>
      <c r="J36" s="12" t="s">
        <v>13</v>
      </c>
      <c r="K36" s="11" t="n">
        <v>2</v>
      </c>
      <c r="L36" s="11" t="n">
        <f aca="false">IF(OR(K36="",O36&lt;&gt;"",I36=""),"",ROUNDUP(I36*K36,0))</f>
        <v>48</v>
      </c>
      <c r="M36" s="12" t="s">
        <v>163</v>
      </c>
      <c r="N36" s="11"/>
      <c r="O36" s="12"/>
      <c r="P36" s="12" t="s">
        <v>45</v>
      </c>
      <c r="Q36" s="13" t="s">
        <v>164</v>
      </c>
      <c r="R36" s="11"/>
    </row>
    <row r="37" customFormat="false" ht="23.85" hidden="false" customHeight="false" outlineLevel="0" collapsed="false">
      <c r="A37" s="11" t="n">
        <v>1</v>
      </c>
      <c r="B37" s="12" t="s">
        <v>153</v>
      </c>
      <c r="C37" s="12" t="s">
        <v>40</v>
      </c>
      <c r="D37" s="12" t="s">
        <v>165</v>
      </c>
      <c r="E37" s="11" t="n">
        <v>24</v>
      </c>
      <c r="F37" s="12" t="s">
        <v>166</v>
      </c>
      <c r="G37" s="11" t="s">
        <v>43</v>
      </c>
      <c r="H37" s="11"/>
      <c r="I37" s="11" t="n">
        <f aca="false">IF(E37="","",IF(OR(AND(H37="Plan A",$C$5="B"),AND(H37="Plan B",$C$5="A")),0,IF(OR(G37="per student",G37="per group",G37="per class"),E37*IF(B37="Year 7",$C$3,$C$4),E37)))</f>
        <v>24</v>
      </c>
      <c r="J37" s="12" t="s">
        <v>13</v>
      </c>
      <c r="K37" s="11" t="n">
        <v>1</v>
      </c>
      <c r="L37" s="11" t="n">
        <f aca="false">IF(OR(K37="",O37&lt;&gt;"",I37=""),"",ROUNDUP(I37*K37,0))</f>
        <v>24</v>
      </c>
      <c r="M37" s="12" t="s">
        <v>167</v>
      </c>
      <c r="N37" s="11"/>
      <c r="O37" s="12"/>
      <c r="P37" s="12" t="s">
        <v>45</v>
      </c>
      <c r="Q37" s="13" t="s">
        <v>168</v>
      </c>
      <c r="R37" s="11"/>
    </row>
    <row r="38" customFormat="false" ht="23.85" hidden="false" customHeight="false" outlineLevel="0" collapsed="false">
      <c r="A38" s="11" t="n">
        <v>1</v>
      </c>
      <c r="B38" s="12" t="s">
        <v>153</v>
      </c>
      <c r="C38" s="12" t="s">
        <v>40</v>
      </c>
      <c r="D38" s="12" t="s">
        <v>169</v>
      </c>
      <c r="E38" s="11" t="n">
        <v>24</v>
      </c>
      <c r="F38" s="12" t="s">
        <v>170</v>
      </c>
      <c r="G38" s="11" t="s">
        <v>43</v>
      </c>
      <c r="H38" s="11"/>
      <c r="I38" s="11" t="n">
        <f aca="false">IF(E38="","",IF(OR(AND(H38="Plan A",$C$5="B"),AND(H38="Plan B",$C$5="A")),0,IF(OR(G38="per student",G38="per group",G38="per class"),E38*IF(B38="Year 7",$C$3,$C$4),E38)))</f>
        <v>24</v>
      </c>
      <c r="J38" s="12" t="s">
        <v>13</v>
      </c>
      <c r="K38" s="11" t="n">
        <v>1</v>
      </c>
      <c r="L38" s="11" t="n">
        <f aca="false">IF(OR(K38="",O38&lt;&gt;"",I38=""),"",ROUNDUP(I38*K38,0))</f>
        <v>24</v>
      </c>
      <c r="M38" s="12" t="s">
        <v>171</v>
      </c>
      <c r="N38" s="11"/>
      <c r="O38" s="12"/>
      <c r="P38" s="12" t="s">
        <v>45</v>
      </c>
      <c r="Q38" s="12"/>
      <c r="R38" s="11"/>
    </row>
    <row r="39" customFormat="false" ht="23.85" hidden="false" customHeight="false" outlineLevel="0" collapsed="false">
      <c r="A39" s="11" t="n">
        <v>1</v>
      </c>
      <c r="B39" s="12" t="s">
        <v>153</v>
      </c>
      <c r="C39" s="12" t="s">
        <v>40</v>
      </c>
      <c r="D39" s="12" t="s">
        <v>172</v>
      </c>
      <c r="E39" s="11" t="n">
        <v>1</v>
      </c>
      <c r="F39" s="12" t="s">
        <v>173</v>
      </c>
      <c r="G39" s="11" t="s">
        <v>75</v>
      </c>
      <c r="H39" s="11"/>
      <c r="I39" s="11" t="n">
        <f aca="false">IF(E39="","",IF(OR(AND(H39="Plan A",$C$5="B"),AND(H39="Plan B",$C$5="A")),0,IF(OR(G39="per student",G39="per group",G39="per class"),E39*IF(B39="Year 7",$C$3,$C$4),E39)))</f>
        <v>1</v>
      </c>
      <c r="J39" s="12" t="s">
        <v>18</v>
      </c>
      <c r="K39" s="11" t="n">
        <v>1</v>
      </c>
      <c r="L39" s="11" t="n">
        <f aca="false">IF(OR(K39="",O39&lt;&gt;"",I39=""),"",ROUNDUP(I39*K39,0))</f>
        <v>1</v>
      </c>
      <c r="M39" s="12" t="s">
        <v>174</v>
      </c>
      <c r="N39" s="11"/>
      <c r="O39" s="12"/>
      <c r="P39" s="12" t="s">
        <v>77</v>
      </c>
      <c r="Q39" s="13" t="s">
        <v>175</v>
      </c>
      <c r="R39" s="11"/>
    </row>
    <row r="40" customFormat="false" ht="23.85" hidden="false" customHeight="false" outlineLevel="0" collapsed="false">
      <c r="A40" s="11" t="n">
        <v>1</v>
      </c>
      <c r="B40" s="12" t="s">
        <v>153</v>
      </c>
      <c r="C40" s="12" t="s">
        <v>40</v>
      </c>
      <c r="D40" s="12" t="s">
        <v>176</v>
      </c>
      <c r="E40" s="11" t="n">
        <v>24</v>
      </c>
      <c r="F40" s="12" t="s">
        <v>177</v>
      </c>
      <c r="G40" s="11" t="s">
        <v>43</v>
      </c>
      <c r="H40" s="11"/>
      <c r="I40" s="11" t="n">
        <f aca="false">IF(E40="","",IF(OR(AND(H40="Plan A",$C$5="B"),AND(H40="Plan B",$C$5="A")),0,IF(OR(G40="per student",G40="per group",G40="per class"),E40*IF(B40="Year 7",$C$3,$C$4),E40)))</f>
        <v>24</v>
      </c>
      <c r="J40" s="12" t="s">
        <v>13</v>
      </c>
      <c r="K40" s="11" t="n">
        <v>1</v>
      </c>
      <c r="L40" s="11" t="n">
        <f aca="false">IF(OR(K40="",O40&lt;&gt;"",I40=""),"",ROUNDUP(I40*K40,0))</f>
        <v>24</v>
      </c>
      <c r="M40" s="12" t="s">
        <v>178</v>
      </c>
      <c r="N40" s="11"/>
      <c r="O40" s="12"/>
      <c r="P40" s="12" t="s">
        <v>45</v>
      </c>
      <c r="Q40" s="12"/>
      <c r="R40" s="11"/>
    </row>
    <row r="41" customFormat="false" ht="23.85" hidden="false" customHeight="false" outlineLevel="0" collapsed="false">
      <c r="A41" s="11" t="n">
        <v>1</v>
      </c>
      <c r="B41" s="12" t="s">
        <v>153</v>
      </c>
      <c r="C41" s="12" t="s">
        <v>40</v>
      </c>
      <c r="D41" s="12" t="s">
        <v>179</v>
      </c>
      <c r="E41" s="11" t="n">
        <v>1</v>
      </c>
      <c r="F41" s="12" t="s">
        <v>180</v>
      </c>
      <c r="G41" s="11" t="s">
        <v>57</v>
      </c>
      <c r="H41" s="11"/>
      <c r="I41" s="11" t="n">
        <f aca="false">IF(E41="","",IF(OR(AND(H41="Plan A",$C$5="B"),AND(H41="Plan B",$C$5="A")),0,IF(OR(G41="per student",G41="per group",G41="per class"),E41*IF(B41="Year 7",$C$3,$C$4),E41)))</f>
        <v>1</v>
      </c>
      <c r="J41" s="12" t="s">
        <v>20</v>
      </c>
      <c r="K41" s="11" t="n">
        <v>1</v>
      </c>
      <c r="L41" s="11" t="n">
        <f aca="false">IF(OR(K41="",O41&lt;&gt;"",I41=""),"",ROUNDUP(I41*K41,0))</f>
        <v>1</v>
      </c>
      <c r="M41" s="12" t="s">
        <v>181</v>
      </c>
      <c r="N41" s="11"/>
      <c r="O41" s="12"/>
      <c r="P41" s="12" t="s">
        <v>45</v>
      </c>
      <c r="Q41" s="12"/>
      <c r="R41" s="11"/>
    </row>
    <row r="42" customFormat="false" ht="23.85" hidden="false" customHeight="false" outlineLevel="0" collapsed="false">
      <c r="A42" s="11" t="n">
        <v>1</v>
      </c>
      <c r="B42" s="12" t="s">
        <v>153</v>
      </c>
      <c r="C42" s="12" t="s">
        <v>40</v>
      </c>
      <c r="D42" s="12" t="s">
        <v>182</v>
      </c>
      <c r="E42" s="11" t="n">
        <v>1</v>
      </c>
      <c r="F42" s="12" t="s">
        <v>183</v>
      </c>
      <c r="G42" s="11" t="s">
        <v>57</v>
      </c>
      <c r="H42" s="11"/>
      <c r="I42" s="11" t="n">
        <f aca="false">IF(E42="","",IF(OR(AND(H42="Plan A",$C$5="B"),AND(H42="Plan B",$C$5="A")),0,IF(OR(G42="per student",G42="per group",G42="per class"),E42*IF(B42="Year 7",$C$3,$C$4),E42)))</f>
        <v>1</v>
      </c>
      <c r="J42" s="12" t="s">
        <v>13</v>
      </c>
      <c r="K42" s="11" t="n">
        <v>1</v>
      </c>
      <c r="L42" s="11" t="n">
        <f aca="false">IF(OR(K42="",O42&lt;&gt;"",I42=""),"",ROUNDUP(I42*K42,0))</f>
        <v>1</v>
      </c>
      <c r="M42" s="12" t="s">
        <v>184</v>
      </c>
      <c r="N42" s="11"/>
      <c r="O42" s="12"/>
      <c r="P42" s="12" t="s">
        <v>45</v>
      </c>
      <c r="Q42" s="13" t="s">
        <v>185</v>
      </c>
      <c r="R42" s="11"/>
    </row>
    <row r="43" customFormat="false" ht="35.05" hidden="false" customHeight="false" outlineLevel="0" collapsed="false">
      <c r="A43" s="11" t="n">
        <v>1</v>
      </c>
      <c r="B43" s="12" t="s">
        <v>153</v>
      </c>
      <c r="C43" s="12" t="s">
        <v>40</v>
      </c>
      <c r="D43" s="12" t="s">
        <v>186</v>
      </c>
      <c r="E43" s="11" t="n">
        <v>1</v>
      </c>
      <c r="F43" s="12" t="s">
        <v>187</v>
      </c>
      <c r="G43" s="11" t="s">
        <v>57</v>
      </c>
      <c r="H43" s="11"/>
      <c r="I43" s="11" t="n">
        <f aca="false">IF(E43="","",IF(OR(AND(H43="Plan A",$C$5="B"),AND(H43="Plan B",$C$5="A")),0,IF(OR(G43="per student",G43="per group",G43="per class"),E43*IF(B43="Year 7",$C$3,$C$4),E43)))</f>
        <v>1</v>
      </c>
      <c r="J43" s="12" t="s">
        <v>13</v>
      </c>
      <c r="K43" s="11" t="n">
        <v>1</v>
      </c>
      <c r="L43" s="11" t="n">
        <f aca="false">IF(OR(K43="",O43&lt;&gt;"",I43=""),"",ROUNDUP(I43*K43,0))</f>
        <v>1</v>
      </c>
      <c r="M43" s="12" t="s">
        <v>188</v>
      </c>
      <c r="N43" s="11"/>
      <c r="O43" s="12"/>
      <c r="P43" s="12" t="s">
        <v>45</v>
      </c>
      <c r="Q43" s="13" t="s">
        <v>189</v>
      </c>
      <c r="R43" s="11"/>
    </row>
    <row r="44" customFormat="false" ht="15" hidden="false" customHeight="false" outlineLevel="0" collapsed="false">
      <c r="A44" s="11" t="n">
        <v>1</v>
      </c>
      <c r="B44" s="12" t="s">
        <v>153</v>
      </c>
      <c r="C44" s="12" t="s">
        <v>40</v>
      </c>
      <c r="D44" s="12" t="s">
        <v>190</v>
      </c>
      <c r="E44" s="11" t="n">
        <v>1</v>
      </c>
      <c r="F44" s="12" t="s">
        <v>191</v>
      </c>
      <c r="G44" s="11" t="s">
        <v>127</v>
      </c>
      <c r="H44" s="11"/>
      <c r="I44" s="11" t="n">
        <f aca="false">IF(E44="","",IF(OR(AND(H44="Plan A",$C$5="B"),AND(H44="Plan B",$C$5="A")),0,IF(OR(G44="per student",G44="per group",G44="per class"),E44*IF(B44="Year 7",$C$3,$C$4),E44)))</f>
        <v>1</v>
      </c>
      <c r="J44" s="12" t="s">
        <v>20</v>
      </c>
      <c r="K44" s="11" t="n">
        <v>1</v>
      </c>
      <c r="L44" s="11" t="n">
        <f aca="false">IF(OR(K44="",O44&lt;&gt;"",I44=""),"",ROUNDUP(I44*K44,0))</f>
        <v>1</v>
      </c>
      <c r="M44" s="12" t="s">
        <v>192</v>
      </c>
      <c r="N44" s="11" t="s">
        <v>105</v>
      </c>
      <c r="O44" s="12"/>
      <c r="P44" s="12" t="s">
        <v>45</v>
      </c>
      <c r="Q44" s="12"/>
      <c r="R44" s="11"/>
    </row>
    <row r="45" customFormat="false" ht="23.85" hidden="false" customHeight="false" outlineLevel="0" collapsed="false">
      <c r="A45" s="11" t="n">
        <v>1</v>
      </c>
      <c r="B45" s="12" t="s">
        <v>153</v>
      </c>
      <c r="C45" s="12" t="s">
        <v>40</v>
      </c>
      <c r="D45" s="12" t="s">
        <v>193</v>
      </c>
      <c r="E45" s="11" t="n">
        <v>1</v>
      </c>
      <c r="F45" s="12" t="s">
        <v>194</v>
      </c>
      <c r="G45" s="11" t="s">
        <v>127</v>
      </c>
      <c r="H45" s="11"/>
      <c r="I45" s="11" t="n">
        <f aca="false">IF(E45="","",IF(OR(AND(H45="Plan A",$C$5="B"),AND(H45="Plan B",$C$5="A")),0,IF(OR(G45="per student",G45="per group",G45="per class"),E45*IF(B45="Year 7",$C$3,$C$4),E45)))</f>
        <v>1</v>
      </c>
      <c r="J45" s="12" t="s">
        <v>13</v>
      </c>
      <c r="K45" s="11" t="n">
        <v>1</v>
      </c>
      <c r="L45" s="11" t="n">
        <f aca="false">IF(OR(K45="",O45&lt;&gt;"",I45=""),"",ROUNDUP(I45*K45,0))</f>
        <v>1</v>
      </c>
      <c r="M45" s="12" t="s">
        <v>195</v>
      </c>
      <c r="N45" s="11" t="s">
        <v>105</v>
      </c>
      <c r="O45" s="12"/>
      <c r="P45" s="12" t="s">
        <v>77</v>
      </c>
      <c r="Q45" s="13" t="s">
        <v>196</v>
      </c>
      <c r="R45" s="11"/>
    </row>
    <row r="46" customFormat="false" ht="35.05" hidden="false" customHeight="false" outlineLevel="0" collapsed="false">
      <c r="A46" s="11" t="n">
        <v>1</v>
      </c>
      <c r="B46" s="12" t="s">
        <v>153</v>
      </c>
      <c r="C46" s="12" t="s">
        <v>40</v>
      </c>
      <c r="D46" s="12" t="s">
        <v>197</v>
      </c>
      <c r="E46" s="11" t="n">
        <v>1</v>
      </c>
      <c r="F46" s="12" t="s">
        <v>198</v>
      </c>
      <c r="G46" s="11" t="s">
        <v>75</v>
      </c>
      <c r="H46" s="11"/>
      <c r="I46" s="11" t="n">
        <f aca="false">IF(E46="","",IF(OR(AND(H46="Plan A",$C$5="B"),AND(H46="Plan B",$C$5="A")),0,IF(OR(G46="per student",G46="per group",G46="per class"),E46*IF(B46="Year 7",$C$3,$C$4),E46)))</f>
        <v>1</v>
      </c>
      <c r="J46" s="12" t="s">
        <v>18</v>
      </c>
      <c r="K46" s="11" t="n">
        <v>1</v>
      </c>
      <c r="L46" s="11" t="n">
        <f aca="false">IF(OR(K46="",O46&lt;&gt;"",I46=""),"",ROUNDUP(I46*K46,0))</f>
        <v>1</v>
      </c>
      <c r="M46" s="12" t="s">
        <v>199</v>
      </c>
      <c r="N46" s="11"/>
      <c r="O46" s="12"/>
      <c r="P46" s="12" t="s">
        <v>77</v>
      </c>
      <c r="Q46" s="13" t="s">
        <v>200</v>
      </c>
      <c r="R46" s="11"/>
    </row>
    <row r="47" customFormat="false" ht="23.85" hidden="false" customHeight="false" outlineLevel="0" collapsed="false">
      <c r="A47" s="11" t="n">
        <v>1</v>
      </c>
      <c r="B47" s="12" t="s">
        <v>153</v>
      </c>
      <c r="C47" s="12" t="s">
        <v>40</v>
      </c>
      <c r="D47" s="12" t="s">
        <v>201</v>
      </c>
      <c r="E47" s="11" t="n">
        <v>1</v>
      </c>
      <c r="F47" s="12" t="s">
        <v>198</v>
      </c>
      <c r="G47" s="11" t="s">
        <v>75</v>
      </c>
      <c r="H47" s="11"/>
      <c r="I47" s="11" t="n">
        <f aca="false">IF(E47="","",IF(OR(AND(H47="Plan A",$C$5="B"),AND(H47="Plan B",$C$5="A")),0,IF(OR(G47="per student",G47="per group",G47="per class"),E47*IF(B47="Year 7",$C$3,$C$4),E47)))</f>
        <v>1</v>
      </c>
      <c r="J47" s="12" t="s">
        <v>18</v>
      </c>
      <c r="K47" s="11" t="n">
        <v>1</v>
      </c>
      <c r="L47" s="11" t="n">
        <f aca="false">IF(OR(K47="",O47&lt;&gt;"",I47=""),"",ROUNDUP(I47*K47,0))</f>
        <v>1</v>
      </c>
      <c r="M47" s="12" t="s">
        <v>202</v>
      </c>
      <c r="N47" s="11"/>
      <c r="O47" s="12"/>
      <c r="P47" s="12" t="s">
        <v>77</v>
      </c>
      <c r="Q47" s="13" t="s">
        <v>175</v>
      </c>
      <c r="R47" s="11"/>
    </row>
    <row r="48" customFormat="false" ht="23.85" hidden="false" customHeight="false" outlineLevel="0" collapsed="false">
      <c r="A48" s="11" t="n">
        <v>1</v>
      </c>
      <c r="B48" s="12" t="s">
        <v>153</v>
      </c>
      <c r="C48" s="12" t="s">
        <v>40</v>
      </c>
      <c r="D48" s="12" t="s">
        <v>203</v>
      </c>
      <c r="E48" s="11" t="n">
        <v>1</v>
      </c>
      <c r="F48" s="12" t="s">
        <v>198</v>
      </c>
      <c r="G48" s="11" t="s">
        <v>75</v>
      </c>
      <c r="H48" s="11"/>
      <c r="I48" s="11" t="n">
        <f aca="false">IF(E48="","",IF(OR(AND(H48="Plan A",$C$5="B"),AND(H48="Plan B",$C$5="A")),0,IF(OR(G48="per student",G48="per group",G48="per class"),E48*IF(B48="Year 7",$C$3,$C$4),E48)))</f>
        <v>1</v>
      </c>
      <c r="J48" s="12" t="s">
        <v>18</v>
      </c>
      <c r="K48" s="11" t="n">
        <v>1</v>
      </c>
      <c r="L48" s="11" t="n">
        <f aca="false">IF(OR(K48="",O48&lt;&gt;"",I48=""),"",ROUNDUP(I48*K48,0))</f>
        <v>1</v>
      </c>
      <c r="M48" s="12" t="s">
        <v>204</v>
      </c>
      <c r="N48" s="11"/>
      <c r="O48" s="12"/>
      <c r="P48" s="12" t="s">
        <v>77</v>
      </c>
      <c r="Q48" s="13" t="s">
        <v>175</v>
      </c>
      <c r="R48" s="11"/>
    </row>
    <row r="49" customFormat="false" ht="23.85" hidden="false" customHeight="false" outlineLevel="0" collapsed="false">
      <c r="A49" s="11" t="n">
        <v>1</v>
      </c>
      <c r="B49" s="12" t="s">
        <v>153</v>
      </c>
      <c r="C49" s="12" t="s">
        <v>40</v>
      </c>
      <c r="D49" s="12" t="s">
        <v>205</v>
      </c>
      <c r="E49" s="11" t="n">
        <v>1</v>
      </c>
      <c r="F49" s="12" t="s">
        <v>206</v>
      </c>
      <c r="G49" s="11" t="s">
        <v>75</v>
      </c>
      <c r="H49" s="11"/>
      <c r="I49" s="11" t="n">
        <f aca="false">IF(E49="","",IF(OR(AND(H49="Plan A",$C$5="B"),AND(H49="Plan B",$C$5="A")),0,IF(OR(G49="per student",G49="per group",G49="per class"),E49*IF(B49="Year 7",$C$3,$C$4),E49)))</f>
        <v>1</v>
      </c>
      <c r="J49" s="12" t="s">
        <v>13</v>
      </c>
      <c r="K49" s="11" t="n">
        <v>1</v>
      </c>
      <c r="L49" s="11" t="n">
        <f aca="false">IF(OR(K49="",O49&lt;&gt;"",I49=""),"",ROUNDUP(I49*K49,0))</f>
        <v>1</v>
      </c>
      <c r="M49" s="12" t="s">
        <v>207</v>
      </c>
      <c r="N49" s="11"/>
      <c r="O49" s="12"/>
      <c r="P49" s="12" t="s">
        <v>45</v>
      </c>
      <c r="Q49" s="12"/>
      <c r="R49" s="11"/>
    </row>
    <row r="50" customFormat="false" ht="23.85" hidden="false" customHeight="false" outlineLevel="0" collapsed="false">
      <c r="A50" s="11" t="n">
        <v>1</v>
      </c>
      <c r="B50" s="12" t="s">
        <v>153</v>
      </c>
      <c r="C50" s="12" t="s">
        <v>40</v>
      </c>
      <c r="D50" s="12" t="s">
        <v>208</v>
      </c>
      <c r="E50" s="11" t="n">
        <v>6</v>
      </c>
      <c r="F50" s="12" t="s">
        <v>209</v>
      </c>
      <c r="G50" s="11" t="s">
        <v>66</v>
      </c>
      <c r="H50" s="11"/>
      <c r="I50" s="11" t="n">
        <f aca="false">IF(E50="","",IF(OR(AND(H50="Plan A",$C$5="B"),AND(H50="Plan B",$C$5="A")),0,IF(OR(G50="per student",G50="per group",G50="per class"),E50*IF(B50="Year 7",$C$3,$C$4),E50)))</f>
        <v>6</v>
      </c>
      <c r="J50" s="12" t="s">
        <v>13</v>
      </c>
      <c r="K50" s="11" t="n">
        <v>4</v>
      </c>
      <c r="L50" s="11" t="n">
        <f aca="false">IF(OR(K50="",O50&lt;&gt;"",I50=""),"",ROUNDUP(I50*K50,0))</f>
        <v>24</v>
      </c>
      <c r="M50" s="12" t="s">
        <v>210</v>
      </c>
      <c r="N50" s="11"/>
      <c r="O50" s="12"/>
      <c r="P50" s="12" t="s">
        <v>45</v>
      </c>
      <c r="Q50" s="13" t="s">
        <v>211</v>
      </c>
      <c r="R50" s="11"/>
    </row>
    <row r="51" customFormat="false" ht="35.05" hidden="false" customHeight="false" outlineLevel="0" collapsed="false">
      <c r="A51" s="11" t="n">
        <v>1</v>
      </c>
      <c r="B51" s="12" t="s">
        <v>153</v>
      </c>
      <c r="C51" s="12" t="s">
        <v>40</v>
      </c>
      <c r="D51" s="12" t="s">
        <v>212</v>
      </c>
      <c r="E51" s="11" t="n">
        <v>28</v>
      </c>
      <c r="F51" s="12" t="s">
        <v>213</v>
      </c>
      <c r="G51" s="11" t="s">
        <v>43</v>
      </c>
      <c r="H51" s="11"/>
      <c r="I51" s="11" t="n">
        <f aca="false">IF(E51="","",IF(OR(AND(H51="Plan A",$C$5="B"),AND(H51="Plan B",$C$5="A")),0,IF(OR(G51="per student",G51="per group",G51="per class"),E51*IF(B51="Year 7",$C$3,$C$4),E51)))</f>
        <v>28</v>
      </c>
      <c r="J51" s="12" t="s">
        <v>19</v>
      </c>
      <c r="K51" s="11" t="n">
        <v>7</v>
      </c>
      <c r="L51" s="11" t="n">
        <f aca="false">IF(OR(K51="",O51&lt;&gt;"",I51=""),"",ROUNDUP(I51*K51,0))</f>
        <v>196</v>
      </c>
      <c r="M51" s="12" t="s">
        <v>214</v>
      </c>
      <c r="N51" s="11"/>
      <c r="O51" s="12"/>
      <c r="P51" s="13" t="s">
        <v>215</v>
      </c>
      <c r="Q51" s="13" t="s">
        <v>216</v>
      </c>
      <c r="R51" s="11"/>
    </row>
    <row r="52" customFormat="false" ht="46.25" hidden="false" customHeight="false" outlineLevel="0" collapsed="false">
      <c r="A52" s="11" t="n">
        <v>1</v>
      </c>
      <c r="B52" s="12" t="s">
        <v>153</v>
      </c>
      <c r="C52" s="12" t="s">
        <v>40</v>
      </c>
      <c r="D52" s="12" t="s">
        <v>217</v>
      </c>
      <c r="E52" s="11" t="n">
        <v>24</v>
      </c>
      <c r="F52" s="12" t="s">
        <v>218</v>
      </c>
      <c r="G52" s="11" t="s">
        <v>43</v>
      </c>
      <c r="H52" s="11"/>
      <c r="I52" s="11" t="n">
        <f aca="false">IF(E52="","",IF(OR(AND(H52="Plan A",$C$5="B"),AND(H52="Plan B",$C$5="A")),0,IF(OR(G52="per student",G52="per group",G52="per class"),E52*IF(B52="Year 7",$C$3,$C$4),E52)))</f>
        <v>24</v>
      </c>
      <c r="J52" s="12" t="s">
        <v>89</v>
      </c>
      <c r="K52" s="11"/>
      <c r="L52" s="11" t="str">
        <f aca="false">IF(OR(K52="",O52&lt;&gt;"",I52=""),"",ROUNDUP(I52*K52,0))</f>
        <v/>
      </c>
      <c r="M52" s="12" t="s">
        <v>219</v>
      </c>
      <c r="N52" s="11"/>
      <c r="O52" s="12"/>
      <c r="P52" s="13" t="s">
        <v>215</v>
      </c>
      <c r="Q52" s="13" t="s">
        <v>220</v>
      </c>
      <c r="R52" s="11"/>
    </row>
    <row r="53" customFormat="false" ht="23.85" hidden="false" customHeight="false" outlineLevel="0" collapsed="false">
      <c r="A53" s="11" t="n">
        <v>1</v>
      </c>
      <c r="B53" s="12" t="s">
        <v>153</v>
      </c>
      <c r="C53" s="12" t="s">
        <v>97</v>
      </c>
      <c r="D53" s="12" t="s">
        <v>221</v>
      </c>
      <c r="E53" s="11" t="n">
        <v>24</v>
      </c>
      <c r="F53" s="12" t="s">
        <v>222</v>
      </c>
      <c r="G53" s="11" t="s">
        <v>43</v>
      </c>
      <c r="H53" s="11"/>
      <c r="I53" s="11" t="n">
        <f aca="false">IF(E53="","",IF(OR(AND(H53="Plan A",$C$5="B"),AND(H53="Plan B",$C$5="A")),0,IF(OR(G53="per student",G53="per group",G53="per class"),E53*IF(B53="Year 7",$C$3,$C$4),E53)))</f>
        <v>24</v>
      </c>
      <c r="J53" s="12" t="s">
        <v>14</v>
      </c>
      <c r="K53" s="11" t="n">
        <v>1</v>
      </c>
      <c r="L53" s="11" t="n">
        <f aca="false">IF(OR(K53="",O53&lt;&gt;"",I53=""),"",ROUNDUP(I53*K53,0))</f>
        <v>24</v>
      </c>
      <c r="M53" s="12" t="s">
        <v>223</v>
      </c>
      <c r="N53" s="11"/>
      <c r="O53" s="12"/>
      <c r="P53" s="12" t="s">
        <v>77</v>
      </c>
      <c r="Q53" s="13" t="s">
        <v>224</v>
      </c>
      <c r="R53" s="11"/>
    </row>
    <row r="54" customFormat="false" ht="35.05" hidden="false" customHeight="false" outlineLevel="0" collapsed="false">
      <c r="A54" s="11" t="n">
        <v>1</v>
      </c>
      <c r="B54" s="12" t="s">
        <v>153</v>
      </c>
      <c r="C54" s="12" t="s">
        <v>97</v>
      </c>
      <c r="D54" s="12" t="s">
        <v>225</v>
      </c>
      <c r="E54" s="11" t="n">
        <v>24</v>
      </c>
      <c r="F54" s="12" t="s">
        <v>226</v>
      </c>
      <c r="G54" s="11" t="s">
        <v>43</v>
      </c>
      <c r="H54" s="11"/>
      <c r="I54" s="11" t="n">
        <f aca="false">IF(E54="","",IF(OR(AND(H54="Plan A",$C$5="B"),AND(H54="Plan B",$C$5="A")),0,IF(OR(G54="per student",G54="per group",G54="per class"),E54*IF(B54="Year 7",$C$3,$C$4),E54)))</f>
        <v>24</v>
      </c>
      <c r="J54" s="12" t="s">
        <v>14</v>
      </c>
      <c r="K54" s="11" t="n">
        <v>1</v>
      </c>
      <c r="L54" s="11" t="n">
        <f aca="false">IF(OR(K54="",O54&lt;&gt;"",I54=""),"",ROUNDUP(I54*K54,0))</f>
        <v>24</v>
      </c>
      <c r="M54" s="12" t="s">
        <v>227</v>
      </c>
      <c r="N54" s="11"/>
      <c r="O54" s="12"/>
      <c r="P54" s="12" t="s">
        <v>77</v>
      </c>
      <c r="Q54" s="13" t="s">
        <v>224</v>
      </c>
      <c r="R54" s="11"/>
    </row>
    <row r="55" customFormat="false" ht="23.85" hidden="false" customHeight="false" outlineLevel="0" collapsed="false">
      <c r="A55" s="11" t="n">
        <v>1</v>
      </c>
      <c r="B55" s="12" t="s">
        <v>153</v>
      </c>
      <c r="C55" s="12" t="s">
        <v>97</v>
      </c>
      <c r="D55" s="12" t="s">
        <v>228</v>
      </c>
      <c r="E55" s="11" t="n">
        <v>1</v>
      </c>
      <c r="F55" s="12" t="s">
        <v>229</v>
      </c>
      <c r="G55" s="11" t="s">
        <v>57</v>
      </c>
      <c r="H55" s="11"/>
      <c r="I55" s="11" t="n">
        <f aca="false">IF(E55="","",IF(OR(AND(H55="Plan A",$C$5="B"),AND(H55="Plan B",$C$5="A")),0,IF(OR(G55="per student",G55="per group",G55="per class"),E55*IF(B55="Year 7",$C$3,$C$4),E55)))</f>
        <v>1</v>
      </c>
      <c r="J55" s="12" t="s">
        <v>14</v>
      </c>
      <c r="K55" s="11" t="n">
        <v>1</v>
      </c>
      <c r="L55" s="11" t="n">
        <f aca="false">IF(OR(K55="",O55&lt;&gt;"",I55=""),"",ROUNDUP(I55*K55,0))</f>
        <v>1</v>
      </c>
      <c r="M55" s="12" t="s">
        <v>230</v>
      </c>
      <c r="N55" s="11"/>
      <c r="O55" s="12"/>
      <c r="P55" s="12" t="s">
        <v>77</v>
      </c>
      <c r="Q55" s="13" t="s">
        <v>231</v>
      </c>
      <c r="R55" s="11"/>
    </row>
    <row r="56" customFormat="false" ht="35.05" hidden="false" customHeight="false" outlineLevel="0" collapsed="false">
      <c r="A56" s="11" t="n">
        <v>1</v>
      </c>
      <c r="B56" s="12" t="s">
        <v>153</v>
      </c>
      <c r="C56" s="12" t="s">
        <v>97</v>
      </c>
      <c r="D56" s="12" t="s">
        <v>232</v>
      </c>
      <c r="E56" s="11" t="n">
        <v>6</v>
      </c>
      <c r="F56" s="12" t="s">
        <v>233</v>
      </c>
      <c r="G56" s="11" t="s">
        <v>66</v>
      </c>
      <c r="H56" s="11"/>
      <c r="I56" s="11" t="n">
        <f aca="false">IF(E56="","",IF(OR(AND(H56="Plan A",$C$5="B"),AND(H56="Plan B",$C$5="A")),0,IF(OR(G56="per student",G56="per group",G56="per class"),E56*IF(B56="Year 7",$C$3,$C$4),E56)))</f>
        <v>6</v>
      </c>
      <c r="J56" s="12" t="s">
        <v>13</v>
      </c>
      <c r="K56" s="11" t="n">
        <v>1</v>
      </c>
      <c r="L56" s="11" t="n">
        <f aca="false">IF(OR(K56="",O56&lt;&gt;"",I56=""),"",ROUNDUP(I56*K56,0))</f>
        <v>6</v>
      </c>
      <c r="M56" s="12" t="s">
        <v>234</v>
      </c>
      <c r="N56" s="11"/>
      <c r="O56" s="12"/>
      <c r="P56" s="12" t="s">
        <v>45</v>
      </c>
      <c r="Q56" s="13" t="s">
        <v>235</v>
      </c>
      <c r="R56" s="11"/>
    </row>
    <row r="57" customFormat="false" ht="23.85" hidden="false" customHeight="false" outlineLevel="0" collapsed="false">
      <c r="A57" s="11" t="n">
        <v>1</v>
      </c>
      <c r="B57" s="12" t="s">
        <v>153</v>
      </c>
      <c r="C57" s="12" t="s">
        <v>97</v>
      </c>
      <c r="D57" s="12" t="s">
        <v>236</v>
      </c>
      <c r="E57" s="11" t="n">
        <v>30</v>
      </c>
      <c r="F57" s="12" t="s">
        <v>237</v>
      </c>
      <c r="G57" s="11" t="s">
        <v>43</v>
      </c>
      <c r="H57" s="11"/>
      <c r="I57" s="11" t="n">
        <f aca="false">IF(E57="","",IF(OR(AND(H57="Plan A",$C$5="B"),AND(H57="Plan B",$C$5="A")),0,IF(OR(G57="per student",G57="per group",G57="per class"),E57*IF(B57="Year 7",$C$3,$C$4),E57)))</f>
        <v>30</v>
      </c>
      <c r="J57" s="12" t="s">
        <v>20</v>
      </c>
      <c r="K57" s="11" t="n">
        <v>1</v>
      </c>
      <c r="L57" s="11" t="n">
        <f aca="false">IF(OR(K57="",O57&lt;&gt;"",I57=""),"",ROUNDUP(I57*K57,0))</f>
        <v>30</v>
      </c>
      <c r="M57" s="12" t="s">
        <v>238</v>
      </c>
      <c r="N57" s="11"/>
      <c r="O57" s="12"/>
      <c r="P57" s="12" t="s">
        <v>45</v>
      </c>
      <c r="Q57" s="13" t="s">
        <v>239</v>
      </c>
      <c r="R57" s="11"/>
    </row>
    <row r="58" customFormat="false" ht="23.85" hidden="false" customHeight="false" outlineLevel="0" collapsed="false">
      <c r="A58" s="11" t="n">
        <v>1</v>
      </c>
      <c r="B58" s="12" t="s">
        <v>153</v>
      </c>
      <c r="C58" s="12" t="s">
        <v>97</v>
      </c>
      <c r="D58" s="12" t="s">
        <v>240</v>
      </c>
      <c r="E58" s="11" t="n">
        <v>6</v>
      </c>
      <c r="F58" s="12" t="s">
        <v>241</v>
      </c>
      <c r="G58" s="11" t="s">
        <v>127</v>
      </c>
      <c r="H58" s="11"/>
      <c r="I58" s="11" t="n">
        <f aca="false">IF(E58="","",IF(OR(AND(H58="Plan A",$C$5="B"),AND(H58="Plan B",$C$5="A")),0,IF(OR(G58="per student",G58="per group",G58="per class"),E58*IF(B58="Year 7",$C$3,$C$4),E58)))</f>
        <v>6</v>
      </c>
      <c r="J58" s="12"/>
      <c r="K58" s="11"/>
      <c r="L58" s="11" t="str">
        <f aca="false">IF(OR(K58="",O58&lt;&gt;"",I58=""),"",ROUNDUP(I58*K58,0))</f>
        <v/>
      </c>
      <c r="M58" s="12" t="s">
        <v>242</v>
      </c>
      <c r="N58" s="11"/>
      <c r="O58" s="12"/>
      <c r="P58" s="12" t="s">
        <v>77</v>
      </c>
      <c r="Q58" s="12"/>
      <c r="R58" s="11"/>
    </row>
    <row r="59" customFormat="false" ht="23.85" hidden="false" customHeight="false" outlineLevel="0" collapsed="false">
      <c r="A59" s="11" t="n">
        <v>1</v>
      </c>
      <c r="B59" s="12" t="s">
        <v>153</v>
      </c>
      <c r="C59" s="12" t="s">
        <v>97</v>
      </c>
      <c r="D59" s="12" t="s">
        <v>243</v>
      </c>
      <c r="E59" s="11" t="n">
        <v>30</v>
      </c>
      <c r="F59" s="12" t="s">
        <v>241</v>
      </c>
      <c r="G59" s="11" t="s">
        <v>127</v>
      </c>
      <c r="H59" s="11"/>
      <c r="I59" s="11" t="n">
        <f aca="false">IF(E59="","",IF(OR(AND(H59="Plan A",$C$5="B"),AND(H59="Plan B",$C$5="A")),0,IF(OR(G59="per student",G59="per group",G59="per class"),E59*IF(B59="Year 7",$C$3,$C$4),E59)))</f>
        <v>30</v>
      </c>
      <c r="J59" s="12"/>
      <c r="K59" s="11"/>
      <c r="L59" s="11" t="str">
        <f aca="false">IF(OR(K59="",O59&lt;&gt;"",I59=""),"",ROUNDUP(I59*K59,0))</f>
        <v/>
      </c>
      <c r="M59" s="12" t="s">
        <v>244</v>
      </c>
      <c r="N59" s="11"/>
      <c r="O59" s="12"/>
      <c r="P59" s="12" t="s">
        <v>77</v>
      </c>
      <c r="Q59" s="12"/>
      <c r="R59" s="11"/>
    </row>
    <row r="60" customFormat="false" ht="35.05" hidden="false" customHeight="false" outlineLevel="0" collapsed="false">
      <c r="A60" s="11" t="n">
        <v>1</v>
      </c>
      <c r="B60" s="12" t="s">
        <v>153</v>
      </c>
      <c r="C60" s="12" t="s">
        <v>97</v>
      </c>
      <c r="D60" s="12" t="s">
        <v>245</v>
      </c>
      <c r="E60" s="11" t="n">
        <v>24</v>
      </c>
      <c r="F60" s="12" t="s">
        <v>246</v>
      </c>
      <c r="G60" s="11" t="s">
        <v>43</v>
      </c>
      <c r="H60" s="11"/>
      <c r="I60" s="11" t="n">
        <f aca="false">IF(E60="","",IF(OR(AND(H60="Plan A",$C$5="B"),AND(H60="Plan B",$C$5="A")),0,IF(OR(G60="per student",G60="per group",G60="per class"),E60*IF(B60="Year 7",$C$3,$C$4),E60)))</f>
        <v>24</v>
      </c>
      <c r="J60" s="12"/>
      <c r="K60" s="11"/>
      <c r="L60" s="11" t="str">
        <f aca="false">IF(OR(K60="",O60&lt;&gt;"",I60=""),"",ROUNDUP(I60*K60,0))</f>
        <v/>
      </c>
      <c r="M60" s="12" t="s">
        <v>247</v>
      </c>
      <c r="N60" s="11"/>
      <c r="O60" s="12"/>
      <c r="P60" s="12" t="s">
        <v>77</v>
      </c>
      <c r="Q60" s="12"/>
      <c r="R60" s="11"/>
    </row>
    <row r="61" customFormat="false" ht="23.85" hidden="false" customHeight="false" outlineLevel="0" collapsed="false">
      <c r="A61" s="11" t="n">
        <v>1</v>
      </c>
      <c r="B61" s="12" t="s">
        <v>153</v>
      </c>
      <c r="C61" s="12" t="s">
        <v>97</v>
      </c>
      <c r="D61" s="12" t="s">
        <v>120</v>
      </c>
      <c r="E61" s="11" t="n">
        <v>24</v>
      </c>
      <c r="F61" s="12" t="s">
        <v>248</v>
      </c>
      <c r="G61" s="11" t="s">
        <v>43</v>
      </c>
      <c r="H61" s="11"/>
      <c r="I61" s="11" t="n">
        <f aca="false">IF(E61="","",IF(OR(AND(H61="Plan A",$C$5="B"),AND(H61="Plan B",$C$5="A")),0,IF(OR(G61="per student",G61="per group",G61="per class"),E61*IF(B61="Year 7",$C$3,$C$4),E61)))</f>
        <v>24</v>
      </c>
      <c r="J61" s="12"/>
      <c r="K61" s="11"/>
      <c r="L61" s="11" t="str">
        <f aca="false">IF(OR(K61="",O61&lt;&gt;"",I61=""),"",ROUNDUP(I61*K61,0))</f>
        <v/>
      </c>
      <c r="M61" s="12" t="s">
        <v>249</v>
      </c>
      <c r="N61" s="11"/>
      <c r="O61" s="12"/>
      <c r="P61" s="12" t="s">
        <v>77</v>
      </c>
      <c r="Q61" s="12"/>
      <c r="R61" s="11"/>
    </row>
    <row r="62" customFormat="false" ht="23.85" hidden="false" customHeight="false" outlineLevel="0" collapsed="false">
      <c r="A62" s="11" t="n">
        <v>1</v>
      </c>
      <c r="B62" s="12" t="s">
        <v>153</v>
      </c>
      <c r="C62" s="12" t="s">
        <v>97</v>
      </c>
      <c r="D62" s="12" t="s">
        <v>116</v>
      </c>
      <c r="E62" s="11"/>
      <c r="F62" s="12" t="s">
        <v>250</v>
      </c>
      <c r="G62" s="11" t="s">
        <v>43</v>
      </c>
      <c r="H62" s="11"/>
      <c r="I62" s="11" t="str">
        <f aca="false">IF(E62="","",IF(OR(AND(H62="Plan A",$C$5="B"),AND(H62="Plan B",$C$5="A")),0,IF(OR(G62="per student",G62="per group",G62="per class"),E62*IF(B62="Year 7",$C$3,$C$4),E62)))</f>
        <v/>
      </c>
      <c r="J62" s="12"/>
      <c r="K62" s="11"/>
      <c r="L62" s="11" t="str">
        <f aca="false">IF(OR(K62="",O62&lt;&gt;"",I62=""),"",ROUNDUP(I62*K62,0))</f>
        <v/>
      </c>
      <c r="M62" s="12" t="s">
        <v>251</v>
      </c>
      <c r="N62" s="11"/>
      <c r="O62" s="12"/>
      <c r="P62" s="13" t="s">
        <v>91</v>
      </c>
      <c r="Q62" s="13" t="s">
        <v>252</v>
      </c>
      <c r="R62" s="11"/>
    </row>
    <row r="63" customFormat="false" ht="35.05" hidden="false" customHeight="false" outlineLevel="0" collapsed="false">
      <c r="A63" s="11" t="n">
        <v>1</v>
      </c>
      <c r="B63" s="12" t="s">
        <v>153</v>
      </c>
      <c r="C63" s="12" t="s">
        <v>97</v>
      </c>
      <c r="D63" s="12" t="s">
        <v>253</v>
      </c>
      <c r="E63" s="11"/>
      <c r="F63" s="12" t="s">
        <v>254</v>
      </c>
      <c r="G63" s="11" t="s">
        <v>57</v>
      </c>
      <c r="H63" s="11"/>
      <c r="I63" s="11" t="str">
        <f aca="false">IF(E63="","",IF(OR(AND(H63="Plan A",$C$5="B"),AND(H63="Plan B",$C$5="A")),0,IF(OR(G63="per student",G63="per group",G63="per class"),E63*IF(B63="Year 7",$C$3,$C$4),E63)))</f>
        <v/>
      </c>
      <c r="J63" s="12"/>
      <c r="K63" s="11"/>
      <c r="L63" s="11" t="str">
        <f aca="false">IF(OR(K63="",O63&lt;&gt;"",I63=""),"",ROUNDUP(I63*K63,0))</f>
        <v/>
      </c>
      <c r="M63" s="12" t="s">
        <v>255</v>
      </c>
      <c r="N63" s="11"/>
      <c r="O63" s="12"/>
      <c r="P63" s="13" t="s">
        <v>91</v>
      </c>
      <c r="Q63" s="13" t="s">
        <v>256</v>
      </c>
      <c r="R63" s="11"/>
    </row>
    <row r="64" customFormat="false" ht="23.85" hidden="false" customHeight="false" outlineLevel="0" collapsed="false">
      <c r="A64" s="11" t="n">
        <v>1</v>
      </c>
      <c r="B64" s="12" t="s">
        <v>153</v>
      </c>
      <c r="C64" s="12" t="s">
        <v>97</v>
      </c>
      <c r="D64" s="12" t="s">
        <v>130</v>
      </c>
      <c r="E64" s="11" t="n">
        <v>1</v>
      </c>
      <c r="F64" s="12" t="s">
        <v>131</v>
      </c>
      <c r="G64" s="11" t="s">
        <v>127</v>
      </c>
      <c r="H64" s="11"/>
      <c r="I64" s="11" t="n">
        <f aca="false">IF(E64="","",IF(OR(AND(H64="Plan A",$C$5="B"),AND(H64="Plan B",$C$5="A")),0,IF(OR(G64="per student",G64="per group",G64="per class"),E64*IF(B64="Year 7",$C$3,$C$4),E64)))</f>
        <v>1</v>
      </c>
      <c r="J64" s="12"/>
      <c r="K64" s="11"/>
      <c r="L64" s="11" t="str">
        <f aca="false">IF(OR(K64="",O64&lt;&gt;"",I64=""),"",ROUNDUP(I64*K64,0))</f>
        <v/>
      </c>
      <c r="M64" s="12" t="s">
        <v>257</v>
      </c>
      <c r="N64" s="11"/>
      <c r="O64" s="12"/>
      <c r="P64" s="12" t="s">
        <v>133</v>
      </c>
      <c r="Q64" s="13" t="s">
        <v>258</v>
      </c>
      <c r="R64" s="11"/>
    </row>
    <row r="65" customFormat="false" ht="23.85" hidden="false" customHeight="false" outlineLevel="0" collapsed="false">
      <c r="A65" s="11" t="n">
        <v>1</v>
      </c>
      <c r="B65" s="12" t="s">
        <v>153</v>
      </c>
      <c r="C65" s="12" t="s">
        <v>124</v>
      </c>
      <c r="D65" s="12" t="s">
        <v>259</v>
      </c>
      <c r="E65" s="11" t="n">
        <v>8</v>
      </c>
      <c r="F65" s="12" t="s">
        <v>260</v>
      </c>
      <c r="G65" s="11" t="s">
        <v>57</v>
      </c>
      <c r="H65" s="11"/>
      <c r="I65" s="11" t="n">
        <f aca="false">IF(E65="","",IF(OR(AND(H65="Plan A",$C$5="B"),AND(H65="Plan B",$C$5="A")),0,IF(OR(G65="per student",G65="per group",G65="per class"),E65*IF(B65="Year 7",$C$3,$C$4),E65)))</f>
        <v>8</v>
      </c>
      <c r="J65" s="12"/>
      <c r="K65" s="11"/>
      <c r="L65" s="11" t="str">
        <f aca="false">IF(OR(K65="",O65&lt;&gt;"",I65=""),"",ROUNDUP(I65*K65,0))</f>
        <v/>
      </c>
      <c r="M65" s="12" t="s">
        <v>261</v>
      </c>
      <c r="N65" s="11"/>
      <c r="O65" s="12"/>
      <c r="P65" s="12" t="s">
        <v>77</v>
      </c>
      <c r="Q65" s="13" t="s">
        <v>262</v>
      </c>
      <c r="R65" s="11"/>
    </row>
    <row r="66" customFormat="false" ht="23.85" hidden="false" customHeight="false" outlineLevel="0" collapsed="false">
      <c r="A66" s="11" t="n">
        <v>1</v>
      </c>
      <c r="B66" s="12" t="s">
        <v>153</v>
      </c>
      <c r="C66" s="12" t="s">
        <v>124</v>
      </c>
      <c r="D66" s="12" t="s">
        <v>263</v>
      </c>
      <c r="E66" s="11" t="n">
        <v>4</v>
      </c>
      <c r="F66" s="12" t="s">
        <v>264</v>
      </c>
      <c r="G66" s="11" t="s">
        <v>57</v>
      </c>
      <c r="H66" s="11"/>
      <c r="I66" s="11" t="n">
        <f aca="false">IF(E66="","",IF(OR(AND(H66="Plan A",$C$5="B"),AND(H66="Plan B",$C$5="A")),0,IF(OR(G66="per student",G66="per group",G66="per class"),E66*IF(B66="Year 7",$C$3,$C$4),E66)))</f>
        <v>4</v>
      </c>
      <c r="J66" s="12"/>
      <c r="K66" s="11"/>
      <c r="L66" s="11" t="str">
        <f aca="false">IF(OR(K66="",O66&lt;&gt;"",I66=""),"",ROUNDUP(I66*K66,0))</f>
        <v/>
      </c>
      <c r="M66" s="12" t="s">
        <v>265</v>
      </c>
      <c r="N66" s="11"/>
      <c r="O66" s="12"/>
      <c r="P66" s="12" t="s">
        <v>77</v>
      </c>
      <c r="Q66" s="12"/>
      <c r="R66" s="11"/>
    </row>
    <row r="67" customFormat="false" ht="23.85" hidden="false" customHeight="false" outlineLevel="0" collapsed="false">
      <c r="A67" s="11" t="n">
        <v>1</v>
      </c>
      <c r="B67" s="12" t="s">
        <v>153</v>
      </c>
      <c r="C67" s="12" t="s">
        <v>124</v>
      </c>
      <c r="D67" s="12" t="s">
        <v>266</v>
      </c>
      <c r="E67" s="11" t="n">
        <v>1</v>
      </c>
      <c r="F67" s="12" t="s">
        <v>267</v>
      </c>
      <c r="G67" s="11" t="s">
        <v>127</v>
      </c>
      <c r="H67" s="11"/>
      <c r="I67" s="11" t="n">
        <f aca="false">IF(E67="","",IF(OR(AND(H67="Plan A",$C$5="B"),AND(H67="Plan B",$C$5="A")),0,IF(OR(G67="per student",G67="per group",G67="per class"),E67*IF(B67="Year 7",$C$3,$C$4),E67)))</f>
        <v>1</v>
      </c>
      <c r="J67" s="12"/>
      <c r="K67" s="11"/>
      <c r="L67" s="11" t="str">
        <f aca="false">IF(OR(K67="",O67&lt;&gt;"",I67=""),"",ROUNDUP(I67*K67,0))</f>
        <v/>
      </c>
      <c r="M67" s="12" t="s">
        <v>268</v>
      </c>
      <c r="N67" s="11"/>
      <c r="O67" s="12"/>
      <c r="P67" s="12" t="s">
        <v>77</v>
      </c>
      <c r="Q67" s="12"/>
      <c r="R67" s="11"/>
    </row>
    <row r="68" customFormat="false" ht="15" hidden="false" customHeight="false" outlineLevel="0" collapsed="false">
      <c r="A68" s="11" t="n">
        <v>1</v>
      </c>
      <c r="B68" s="12" t="s">
        <v>153</v>
      </c>
      <c r="C68" s="12" t="s">
        <v>124</v>
      </c>
      <c r="D68" s="12" t="s">
        <v>269</v>
      </c>
      <c r="E68" s="11" t="n">
        <v>1</v>
      </c>
      <c r="F68" s="12" t="s">
        <v>270</v>
      </c>
      <c r="G68" s="11" t="s">
        <v>127</v>
      </c>
      <c r="H68" s="11"/>
      <c r="I68" s="11" t="n">
        <f aca="false">IF(E68="","",IF(OR(AND(H68="Plan A",$C$5="B"),AND(H68="Plan B",$C$5="A")),0,IF(OR(G68="per student",G68="per group",G68="per class"),E68*IF(B68="Year 7",$C$3,$C$4),E68)))</f>
        <v>1</v>
      </c>
      <c r="J68" s="12"/>
      <c r="K68" s="11"/>
      <c r="L68" s="11" t="str">
        <f aca="false">IF(OR(K68="",O68&lt;&gt;"",I68=""),"",ROUNDUP(I68*K68,0))</f>
        <v/>
      </c>
      <c r="M68" s="12" t="s">
        <v>271</v>
      </c>
      <c r="N68" s="11" t="s">
        <v>105</v>
      </c>
      <c r="O68" s="12"/>
      <c r="P68" s="12" t="s">
        <v>77</v>
      </c>
      <c r="Q68" s="12"/>
      <c r="R68" s="11"/>
    </row>
    <row r="69" customFormat="false" ht="23.85" hidden="false" customHeight="false" outlineLevel="0" collapsed="false">
      <c r="A69" s="11" t="n">
        <v>1</v>
      </c>
      <c r="B69" s="12" t="s">
        <v>153</v>
      </c>
      <c r="C69" s="12" t="s">
        <v>124</v>
      </c>
      <c r="D69" s="12" t="s">
        <v>272</v>
      </c>
      <c r="E69" s="11" t="n">
        <v>1</v>
      </c>
      <c r="F69" s="12" t="s">
        <v>273</v>
      </c>
      <c r="G69" s="11" t="s">
        <v>127</v>
      </c>
      <c r="H69" s="11"/>
      <c r="I69" s="11" t="n">
        <f aca="false">IF(E69="","",IF(OR(AND(H69="Plan A",$C$5="B"),AND(H69="Plan B",$C$5="A")),0,IF(OR(G69="per student",G69="per group",G69="per class"),E69*IF(B69="Year 7",$C$3,$C$4),E69)))</f>
        <v>1</v>
      </c>
      <c r="J69" s="12"/>
      <c r="K69" s="11"/>
      <c r="L69" s="11" t="str">
        <f aca="false">IF(OR(K69="",O69&lt;&gt;"",I69=""),"",ROUNDUP(I69*K69,0))</f>
        <v/>
      </c>
      <c r="M69" s="12" t="s">
        <v>274</v>
      </c>
      <c r="N69" s="11" t="s">
        <v>105</v>
      </c>
      <c r="O69" s="12"/>
      <c r="P69" s="12" t="s">
        <v>77</v>
      </c>
      <c r="Q69" s="13" t="s">
        <v>275</v>
      </c>
      <c r="R69" s="11"/>
    </row>
    <row r="70" customFormat="false" ht="15" hidden="false" customHeight="false" outlineLevel="0" collapsed="false">
      <c r="A70" s="11" t="n">
        <v>1</v>
      </c>
      <c r="B70" s="12" t="s">
        <v>153</v>
      </c>
      <c r="C70" s="12" t="s">
        <v>124</v>
      </c>
      <c r="D70" s="12" t="s">
        <v>276</v>
      </c>
      <c r="E70" s="11" t="n">
        <v>1</v>
      </c>
      <c r="F70" s="12" t="s">
        <v>277</v>
      </c>
      <c r="G70" s="11" t="s">
        <v>127</v>
      </c>
      <c r="H70" s="11"/>
      <c r="I70" s="11" t="n">
        <f aca="false">IF(E70="","",IF(OR(AND(H70="Plan A",$C$5="B"),AND(H70="Plan B",$C$5="A")),0,IF(OR(G70="per student",G70="per group",G70="per class"),E70*IF(B70="Year 7",$C$3,$C$4),E70)))</f>
        <v>1</v>
      </c>
      <c r="J70" s="12"/>
      <c r="K70" s="11"/>
      <c r="L70" s="11" t="str">
        <f aca="false">IF(OR(K70="",O70&lt;&gt;"",I70=""),"",ROUNDUP(I70*K70,0))</f>
        <v/>
      </c>
      <c r="M70" s="12" t="s">
        <v>278</v>
      </c>
      <c r="N70" s="11" t="s">
        <v>105</v>
      </c>
      <c r="O70" s="12"/>
      <c r="P70" s="12" t="s">
        <v>77</v>
      </c>
      <c r="Q70" s="12"/>
      <c r="R70" s="11"/>
    </row>
    <row r="71" customFormat="false" ht="35.05" hidden="false" customHeight="false" outlineLevel="0" collapsed="false">
      <c r="A71" s="11" t="n">
        <v>1</v>
      </c>
      <c r="B71" s="12" t="s">
        <v>153</v>
      </c>
      <c r="C71" s="12" t="s">
        <v>124</v>
      </c>
      <c r="D71" s="12" t="s">
        <v>279</v>
      </c>
      <c r="E71" s="11"/>
      <c r="F71" s="12" t="s">
        <v>280</v>
      </c>
      <c r="G71" s="11" t="s">
        <v>75</v>
      </c>
      <c r="H71" s="11"/>
      <c r="I71" s="11" t="str">
        <f aca="false">IF(E71="","",IF(OR(AND(H71="Plan A",$C$5="B"),AND(H71="Plan B",$C$5="A")),0,IF(OR(G71="per student",G71="per group",G71="per class"),E71*IF(B71="Year 7",$C$3,$C$4),E71)))</f>
        <v/>
      </c>
      <c r="J71" s="12"/>
      <c r="K71" s="11"/>
      <c r="L71" s="11" t="str">
        <f aca="false">IF(OR(K71="",O71&lt;&gt;"",I71=""),"",ROUNDUP(I71*K71,0))</f>
        <v/>
      </c>
      <c r="M71" s="12" t="s">
        <v>281</v>
      </c>
      <c r="N71" s="11"/>
      <c r="O71" s="12"/>
      <c r="P71" s="12" t="s">
        <v>138</v>
      </c>
      <c r="Q71" s="13" t="s">
        <v>282</v>
      </c>
      <c r="R71" s="11"/>
    </row>
    <row r="72" customFormat="false" ht="23.85" hidden="false" customHeight="false" outlineLevel="0" collapsed="false">
      <c r="A72" s="11" t="n">
        <v>1</v>
      </c>
      <c r="B72" s="12" t="s">
        <v>153</v>
      </c>
      <c r="C72" s="12" t="s">
        <v>124</v>
      </c>
      <c r="D72" s="12" t="s">
        <v>283</v>
      </c>
      <c r="E72" s="11"/>
      <c r="F72" s="12" t="s">
        <v>284</v>
      </c>
      <c r="G72" s="11" t="s">
        <v>75</v>
      </c>
      <c r="H72" s="11"/>
      <c r="I72" s="11" t="str">
        <f aca="false">IF(E72="","",IF(OR(AND(H72="Plan A",$C$5="B"),AND(H72="Plan B",$C$5="A")),0,IF(OR(G72="per student",G72="per group",G72="per class"),E72*IF(B72="Year 7",$C$3,$C$4),E72)))</f>
        <v/>
      </c>
      <c r="J72" s="12"/>
      <c r="K72" s="11"/>
      <c r="L72" s="11" t="str">
        <f aca="false">IF(OR(K72="",O72&lt;&gt;"",I72=""),"",ROUNDUP(I72*K72,0))</f>
        <v/>
      </c>
      <c r="M72" s="12" t="s">
        <v>285</v>
      </c>
      <c r="N72" s="11"/>
      <c r="O72" s="12"/>
      <c r="P72" s="12" t="s">
        <v>138</v>
      </c>
      <c r="Q72" s="13" t="s">
        <v>286</v>
      </c>
      <c r="R72" s="11"/>
    </row>
    <row r="73" customFormat="false" ht="35.05" hidden="false" customHeight="false" outlineLevel="0" collapsed="false">
      <c r="A73" s="11" t="n">
        <v>1</v>
      </c>
      <c r="B73" s="12" t="s">
        <v>153</v>
      </c>
      <c r="C73" s="12" t="s">
        <v>124</v>
      </c>
      <c r="D73" s="12" t="s">
        <v>287</v>
      </c>
      <c r="E73" s="11"/>
      <c r="F73" s="12" t="s">
        <v>288</v>
      </c>
      <c r="G73" s="11" t="s">
        <v>57</v>
      </c>
      <c r="H73" s="11"/>
      <c r="I73" s="11" t="str">
        <f aca="false">IF(E73="","",IF(OR(AND(H73="Plan A",$C$5="B"),AND(H73="Plan B",$C$5="A")),0,IF(OR(G73="per student",G73="per group",G73="per class"),E73*IF(B73="Year 7",$C$3,$C$4),E73)))</f>
        <v/>
      </c>
      <c r="J73" s="12"/>
      <c r="K73" s="11"/>
      <c r="L73" s="11" t="str">
        <f aca="false">IF(OR(K73="",O73&lt;&gt;"",I73=""),"",ROUNDUP(I73*K73,0))</f>
        <v/>
      </c>
      <c r="M73" s="12" t="s">
        <v>289</v>
      </c>
      <c r="N73" s="11"/>
      <c r="O73" s="12"/>
      <c r="P73" s="12" t="s">
        <v>138</v>
      </c>
      <c r="Q73" s="13" t="s">
        <v>290</v>
      </c>
      <c r="R73" s="11"/>
    </row>
    <row r="74" customFormat="false" ht="35.05" hidden="false" customHeight="false" outlineLevel="0" collapsed="false">
      <c r="A74" s="11" t="n">
        <v>1</v>
      </c>
      <c r="B74" s="12" t="s">
        <v>153</v>
      </c>
      <c r="C74" s="12" t="s">
        <v>124</v>
      </c>
      <c r="D74" s="12" t="s">
        <v>291</v>
      </c>
      <c r="E74" s="11"/>
      <c r="F74" s="12" t="s">
        <v>280</v>
      </c>
      <c r="G74" s="11" t="s">
        <v>57</v>
      </c>
      <c r="H74" s="11"/>
      <c r="I74" s="11" t="str">
        <f aca="false">IF(E74="","",IF(OR(AND(H74="Plan A",$C$5="B"),AND(H74="Plan B",$C$5="A")),0,IF(OR(G74="per student",G74="per group",G74="per class"),E74*IF(B74="Year 7",$C$3,$C$4),E74)))</f>
        <v/>
      </c>
      <c r="J74" s="12"/>
      <c r="K74" s="11"/>
      <c r="L74" s="11" t="str">
        <f aca="false">IF(OR(K74="",O74&lt;&gt;"",I74=""),"",ROUNDUP(I74*K74,0))</f>
        <v/>
      </c>
      <c r="M74" s="12" t="s">
        <v>292</v>
      </c>
      <c r="N74" s="11" t="s">
        <v>105</v>
      </c>
      <c r="O74" s="12"/>
      <c r="P74" s="12" t="s">
        <v>138</v>
      </c>
      <c r="Q74" s="13" t="s">
        <v>293</v>
      </c>
      <c r="R74" s="11"/>
    </row>
    <row r="75" customFormat="false" ht="23.85" hidden="false" customHeight="false" outlineLevel="0" collapsed="false">
      <c r="A75" s="11" t="n">
        <v>1</v>
      </c>
      <c r="B75" s="12" t="s">
        <v>153</v>
      </c>
      <c r="C75" s="12" t="s">
        <v>294</v>
      </c>
      <c r="D75" s="12" t="s">
        <v>295</v>
      </c>
      <c r="E75" s="11" t="n">
        <v>4</v>
      </c>
      <c r="F75" s="12" t="s">
        <v>296</v>
      </c>
      <c r="G75" s="11" t="s">
        <v>57</v>
      </c>
      <c r="H75" s="11"/>
      <c r="I75" s="11" t="n">
        <f aca="false">IF(E75="","",IF(OR(AND(H75="Plan A",$C$5="B"),AND(H75="Plan B",$C$5="A")),0,IF(OR(G75="per student",G75="per group",G75="per class"),E75*IF(B75="Year 7",$C$3,$C$4),E75)))</f>
        <v>4</v>
      </c>
      <c r="J75" s="12"/>
      <c r="K75" s="11"/>
      <c r="L75" s="11" t="str">
        <f aca="false">IF(OR(K75="",O75&lt;&gt;"",I75=""),"",ROUNDUP(I75*K75,0))</f>
        <v/>
      </c>
      <c r="M75" s="12" t="s">
        <v>297</v>
      </c>
      <c r="N75" s="11"/>
      <c r="O75" s="12"/>
      <c r="P75" s="12" t="s">
        <v>77</v>
      </c>
      <c r="Q75" s="13" t="s">
        <v>298</v>
      </c>
      <c r="R75" s="11"/>
    </row>
    <row r="76" customFormat="false" ht="15" hidden="false" customHeight="false" outlineLevel="0" collapsed="false">
      <c r="A76" s="11" t="n">
        <v>1</v>
      </c>
      <c r="B76" s="12" t="s">
        <v>153</v>
      </c>
      <c r="C76" s="12" t="s">
        <v>294</v>
      </c>
      <c r="D76" s="12" t="s">
        <v>299</v>
      </c>
      <c r="E76" s="11"/>
      <c r="F76" s="12" t="s">
        <v>300</v>
      </c>
      <c r="G76" s="11" t="s">
        <v>57</v>
      </c>
      <c r="H76" s="11"/>
      <c r="I76" s="11" t="str">
        <f aca="false">IF(E76="","",IF(OR(AND(H76="Plan A",$C$5="B"),AND(H76="Plan B",$C$5="A")),0,IF(OR(G76="per student",G76="per group",G76="per class"),E76*IF(B76="Year 7",$C$3,$C$4),E76)))</f>
        <v/>
      </c>
      <c r="J76" s="12"/>
      <c r="K76" s="11"/>
      <c r="L76" s="11" t="str">
        <f aca="false">IF(OR(K76="",O76&lt;&gt;"",I76=""),"",ROUNDUP(I76*K76,0))</f>
        <v/>
      </c>
      <c r="M76" s="12" t="s">
        <v>301</v>
      </c>
      <c r="N76" s="11"/>
      <c r="O76" s="12"/>
      <c r="P76" s="12" t="s">
        <v>133</v>
      </c>
      <c r="Q76" s="13" t="s">
        <v>302</v>
      </c>
      <c r="R76" s="11"/>
    </row>
    <row r="77" customFormat="false" ht="15" hidden="false" customHeight="false" outlineLevel="0" collapsed="false">
      <c r="A77" s="11" t="n">
        <v>1</v>
      </c>
      <c r="B77" s="12" t="s">
        <v>153</v>
      </c>
      <c r="C77" s="12" t="s">
        <v>294</v>
      </c>
      <c r="D77" s="12" t="s">
        <v>303</v>
      </c>
      <c r="E77" s="11" t="n">
        <v>1</v>
      </c>
      <c r="F77" s="12" t="s">
        <v>304</v>
      </c>
      <c r="G77" s="11" t="s">
        <v>57</v>
      </c>
      <c r="H77" s="11"/>
      <c r="I77" s="11" t="n">
        <f aca="false">IF(E77="","",IF(OR(AND(H77="Plan A",$C$5="B"),AND(H77="Plan B",$C$5="A")),0,IF(OR(G77="per student",G77="per group",G77="per class"),E77*IF(B77="Year 7",$C$3,$C$4),E77)))</f>
        <v>1</v>
      </c>
      <c r="J77" s="12"/>
      <c r="K77" s="11"/>
      <c r="L77" s="11" t="str">
        <f aca="false">IF(OR(K77="",O77&lt;&gt;"",I77=""),"",ROUNDUP(I77*K77,0))</f>
        <v/>
      </c>
      <c r="M77" s="12" t="s">
        <v>305</v>
      </c>
      <c r="N77" s="11" t="s">
        <v>105</v>
      </c>
      <c r="O77" s="12"/>
      <c r="P77" s="12" t="s">
        <v>77</v>
      </c>
      <c r="Q77" s="12"/>
      <c r="R77" s="11"/>
    </row>
    <row r="78" customFormat="false" ht="15" hidden="false" customHeight="false" outlineLevel="0" collapsed="false">
      <c r="A78" s="11" t="n">
        <v>1</v>
      </c>
      <c r="B78" s="12" t="s">
        <v>153</v>
      </c>
      <c r="C78" s="12" t="s">
        <v>294</v>
      </c>
      <c r="D78" s="12" t="s">
        <v>306</v>
      </c>
      <c r="E78" s="11" t="n">
        <v>200</v>
      </c>
      <c r="F78" s="12" t="s">
        <v>307</v>
      </c>
      <c r="G78" s="11" t="s">
        <v>57</v>
      </c>
      <c r="H78" s="11"/>
      <c r="I78" s="11" t="n">
        <f aca="false">IF(E78="","",IF(OR(AND(H78="Plan A",$C$5="B"),AND(H78="Plan B",$C$5="A")),0,IF(OR(G78="per student",G78="per group",G78="per class"),E78*IF(B78="Year 7",$C$3,$C$4),E78)))</f>
        <v>200</v>
      </c>
      <c r="J78" s="12"/>
      <c r="K78" s="11"/>
      <c r="L78" s="11" t="str">
        <f aca="false">IF(OR(K78="",O78&lt;&gt;"",I78=""),"",ROUNDUP(I78*K78,0))</f>
        <v/>
      </c>
      <c r="M78" s="12" t="s">
        <v>308</v>
      </c>
      <c r="N78" s="11" t="s">
        <v>105</v>
      </c>
      <c r="O78" s="12"/>
      <c r="P78" s="12" t="s">
        <v>133</v>
      </c>
      <c r="Q78" s="13" t="s">
        <v>309</v>
      </c>
      <c r="R78" s="11"/>
    </row>
    <row r="79" customFormat="false" ht="23.85" hidden="false" customHeight="false" outlineLevel="0" collapsed="false">
      <c r="A79" s="11" t="n">
        <v>1</v>
      </c>
      <c r="B79" s="12" t="s">
        <v>153</v>
      </c>
      <c r="C79" s="12" t="s">
        <v>294</v>
      </c>
      <c r="D79" s="12" t="s">
        <v>310</v>
      </c>
      <c r="E79" s="11" t="n">
        <v>1</v>
      </c>
      <c r="F79" s="12" t="s">
        <v>311</v>
      </c>
      <c r="G79" s="11" t="s">
        <v>57</v>
      </c>
      <c r="H79" s="11"/>
      <c r="I79" s="11" t="n">
        <f aca="false">IF(E79="","",IF(OR(AND(H79="Plan A",$C$5="B"),AND(H79="Plan B",$C$5="A")),0,IF(OR(G79="per student",G79="per group",G79="per class"),E79*IF(B79="Year 7",$C$3,$C$4),E79)))</f>
        <v>1</v>
      </c>
      <c r="J79" s="12"/>
      <c r="K79" s="11"/>
      <c r="L79" s="11" t="str">
        <f aca="false">IF(OR(K79="",O79&lt;&gt;"",I79=""),"",ROUNDUP(I79*K79,0))</f>
        <v/>
      </c>
      <c r="M79" s="12" t="s">
        <v>312</v>
      </c>
      <c r="N79" s="11" t="s">
        <v>105</v>
      </c>
      <c r="O79" s="12"/>
      <c r="P79" s="12" t="s">
        <v>77</v>
      </c>
      <c r="Q79" s="12"/>
      <c r="R79" s="11"/>
    </row>
    <row r="80" customFormat="false" ht="35.05" hidden="false" customHeight="false" outlineLevel="0" collapsed="false">
      <c r="A80" s="11" t="n">
        <v>1</v>
      </c>
      <c r="B80" s="12" t="s">
        <v>153</v>
      </c>
      <c r="C80" s="12" t="s">
        <v>144</v>
      </c>
      <c r="D80" s="12" t="s">
        <v>313</v>
      </c>
      <c r="E80" s="11" t="n">
        <v>24</v>
      </c>
      <c r="F80" s="12" t="s">
        <v>314</v>
      </c>
      <c r="G80" s="11" t="s">
        <v>43</v>
      </c>
      <c r="H80" s="11"/>
      <c r="I80" s="11" t="n">
        <f aca="false">IF(E80="","",IF(OR(AND(H80="Plan A",$C$5="B"),AND(H80="Plan B",$C$5="A")),0,IF(OR(G80="per student",G80="per group",G80="per class"),E80*IF(B80="Year 7",$C$3,$C$4),E80)))</f>
        <v>24</v>
      </c>
      <c r="J80" s="12"/>
      <c r="K80" s="11"/>
      <c r="L80" s="11" t="str">
        <f aca="false">IF(OR(K80="",O80&lt;&gt;"",I80=""),"",ROUNDUP(I80*K80,0))</f>
        <v/>
      </c>
      <c r="M80" s="12" t="s">
        <v>315</v>
      </c>
      <c r="N80" s="11"/>
      <c r="O80" s="12"/>
      <c r="P80" s="13" t="s">
        <v>91</v>
      </c>
      <c r="Q80" s="13" t="s">
        <v>316</v>
      </c>
      <c r="R80" s="11"/>
    </row>
    <row r="81" customFormat="false" ht="46.25" hidden="false" customHeight="false" outlineLevel="0" collapsed="false">
      <c r="A81" s="11" t="n">
        <v>1</v>
      </c>
      <c r="B81" s="12" t="s">
        <v>153</v>
      </c>
      <c r="C81" s="12" t="s">
        <v>144</v>
      </c>
      <c r="D81" s="12" t="s">
        <v>317</v>
      </c>
      <c r="E81" s="11" t="n">
        <v>1</v>
      </c>
      <c r="F81" s="12" t="s">
        <v>318</v>
      </c>
      <c r="G81" s="11" t="s">
        <v>57</v>
      </c>
      <c r="H81" s="11"/>
      <c r="I81" s="11" t="n">
        <f aca="false">IF(E81="","",IF(OR(AND(H81="Plan A",$C$5="B"),AND(H81="Plan B",$C$5="A")),0,IF(OR(G81="per student",G81="per group",G81="per class"),E81*IF(B81="Year 7",$C$3,$C$4),E81)))</f>
        <v>1</v>
      </c>
      <c r="J81" s="12"/>
      <c r="K81" s="11"/>
      <c r="L81" s="11" t="str">
        <f aca="false">IF(OR(K81="",O81&lt;&gt;"",I81=""),"",ROUNDUP(I81*K81,0))</f>
        <v/>
      </c>
      <c r="M81" s="12" t="s">
        <v>319</v>
      </c>
      <c r="N81" s="11"/>
      <c r="O81" s="12"/>
      <c r="P81" s="12" t="s">
        <v>77</v>
      </c>
      <c r="Q81" s="13" t="s">
        <v>320</v>
      </c>
      <c r="R81" s="11"/>
    </row>
    <row r="82" customFormat="false" ht="23.85" hidden="false" customHeight="false" outlineLevel="0" collapsed="false">
      <c r="A82" s="11" t="n">
        <v>1</v>
      </c>
      <c r="B82" s="12" t="s">
        <v>153</v>
      </c>
      <c r="C82" s="12" t="s">
        <v>144</v>
      </c>
      <c r="D82" s="12" t="s">
        <v>321</v>
      </c>
      <c r="E82" s="11" t="n">
        <v>4</v>
      </c>
      <c r="F82" s="12" t="s">
        <v>296</v>
      </c>
      <c r="G82" s="11" t="s">
        <v>57</v>
      </c>
      <c r="H82" s="11"/>
      <c r="I82" s="11" t="n">
        <f aca="false">IF(E82="","",IF(OR(AND(H82="Plan A",$C$5="B"),AND(H82="Plan B",$C$5="A")),0,IF(OR(G82="per student",G82="per group",G82="per class"),E82*IF(B82="Year 7",$C$3,$C$4),E82)))</f>
        <v>4</v>
      </c>
      <c r="J82" s="12"/>
      <c r="K82" s="11"/>
      <c r="L82" s="11" t="str">
        <f aca="false">IF(OR(K82="",O82&lt;&gt;"",I82=""),"",ROUNDUP(I82*K82,0))</f>
        <v/>
      </c>
      <c r="M82" s="12" t="s">
        <v>322</v>
      </c>
      <c r="N82" s="11"/>
      <c r="O82" s="12"/>
      <c r="P82" s="12" t="s">
        <v>77</v>
      </c>
      <c r="Q82" s="12"/>
      <c r="R82" s="11"/>
    </row>
    <row r="83" customFormat="false" ht="35.05" hidden="false" customHeight="false" outlineLevel="0" collapsed="false">
      <c r="A83" s="11" t="n">
        <v>1</v>
      </c>
      <c r="B83" s="12" t="s">
        <v>153</v>
      </c>
      <c r="C83" s="12" t="s">
        <v>144</v>
      </c>
      <c r="D83" s="12" t="s">
        <v>323</v>
      </c>
      <c r="E83" s="11" t="n">
        <v>1</v>
      </c>
      <c r="F83" s="12" t="s">
        <v>324</v>
      </c>
      <c r="G83" s="11" t="s">
        <v>57</v>
      </c>
      <c r="H83" s="11"/>
      <c r="I83" s="11" t="n">
        <f aca="false">IF(E83="","",IF(OR(AND(H83="Plan A",$C$5="B"),AND(H83="Plan B",$C$5="A")),0,IF(OR(G83="per student",G83="per group",G83="per class"),E83*IF(B83="Year 7",$C$3,$C$4),E83)))</f>
        <v>1</v>
      </c>
      <c r="J83" s="12"/>
      <c r="K83" s="11"/>
      <c r="L83" s="11" t="str">
        <f aca="false">IF(OR(K83="",O83&lt;&gt;"",I83=""),"",ROUNDUP(I83*K83,0))</f>
        <v/>
      </c>
      <c r="M83" s="12" t="s">
        <v>325</v>
      </c>
      <c r="N83" s="11" t="s">
        <v>105</v>
      </c>
      <c r="O83" s="12"/>
      <c r="P83" s="12" t="s">
        <v>77</v>
      </c>
      <c r="Q83" s="12"/>
      <c r="R83" s="11"/>
    </row>
    <row r="84" customFormat="false" ht="23.85" hidden="false" customHeight="false" outlineLevel="0" collapsed="false">
      <c r="A84" s="11" t="n">
        <v>1</v>
      </c>
      <c r="B84" s="12" t="s">
        <v>153</v>
      </c>
      <c r="C84" s="12" t="s">
        <v>144</v>
      </c>
      <c r="D84" s="12" t="s">
        <v>326</v>
      </c>
      <c r="E84" s="11" t="n">
        <v>1</v>
      </c>
      <c r="F84" s="12" t="s">
        <v>327</v>
      </c>
      <c r="G84" s="11" t="s">
        <v>57</v>
      </c>
      <c r="H84" s="11"/>
      <c r="I84" s="11" t="n">
        <f aca="false">IF(E84="","",IF(OR(AND(H84="Plan A",$C$5="B"),AND(H84="Plan B",$C$5="A")),0,IF(OR(G84="per student",G84="per group",G84="per class"),E84*IF(B84="Year 7",$C$3,$C$4),E84)))</f>
        <v>1</v>
      </c>
      <c r="J84" s="12"/>
      <c r="K84" s="11"/>
      <c r="L84" s="11" t="str">
        <f aca="false">IF(OR(K84="",O84&lt;&gt;"",I84=""),"",ROUNDUP(I84*K84,0))</f>
        <v/>
      </c>
      <c r="M84" s="12" t="s">
        <v>328</v>
      </c>
      <c r="N84" s="11" t="s">
        <v>105</v>
      </c>
      <c r="O84" s="12"/>
      <c r="P84" s="13" t="s">
        <v>91</v>
      </c>
      <c r="Q84" s="13" t="s">
        <v>329</v>
      </c>
      <c r="R84" s="11"/>
    </row>
    <row r="85" customFormat="false" ht="23.85" hidden="false" customHeight="false" outlineLevel="0" collapsed="false">
      <c r="A85" s="11" t="n">
        <v>1</v>
      </c>
      <c r="B85" s="12" t="s">
        <v>153</v>
      </c>
      <c r="C85" s="12" t="s">
        <v>144</v>
      </c>
      <c r="D85" s="12" t="s">
        <v>330</v>
      </c>
      <c r="E85" s="11" t="n">
        <v>1</v>
      </c>
      <c r="F85" s="12" t="s">
        <v>277</v>
      </c>
      <c r="G85" s="11" t="s">
        <v>127</v>
      </c>
      <c r="H85" s="11"/>
      <c r="I85" s="11" t="n">
        <f aca="false">IF(E85="","",IF(OR(AND(H85="Plan A",$C$5="B"),AND(H85="Plan B",$C$5="A")),0,IF(OR(G85="per student",G85="per group",G85="per class"),E85*IF(B85="Year 7",$C$3,$C$4),E85)))</f>
        <v>1</v>
      </c>
      <c r="J85" s="12"/>
      <c r="K85" s="11"/>
      <c r="L85" s="11" t="str">
        <f aca="false">IF(OR(K85="",O85&lt;&gt;"",I85=""),"",ROUNDUP(I85*K85,0))</f>
        <v/>
      </c>
      <c r="M85" s="12" t="s">
        <v>331</v>
      </c>
      <c r="N85" s="11" t="s">
        <v>105</v>
      </c>
      <c r="O85" s="12"/>
      <c r="P85" s="12" t="s">
        <v>77</v>
      </c>
      <c r="Q85" s="13" t="s">
        <v>332</v>
      </c>
      <c r="R85" s="11"/>
    </row>
    <row r="86" customFormat="false" ht="35.05" hidden="false" customHeight="false" outlineLevel="0" collapsed="false">
      <c r="A86" s="11" t="n">
        <v>1</v>
      </c>
      <c r="B86" s="12" t="s">
        <v>153</v>
      </c>
      <c r="C86" s="12" t="s">
        <v>144</v>
      </c>
      <c r="D86" s="12" t="s">
        <v>333</v>
      </c>
      <c r="E86" s="11" t="n">
        <v>1</v>
      </c>
      <c r="F86" s="12" t="s">
        <v>334</v>
      </c>
      <c r="G86" s="11" t="s">
        <v>127</v>
      </c>
      <c r="H86" s="11"/>
      <c r="I86" s="11" t="n">
        <f aca="false">IF(E86="","",IF(OR(AND(H86="Plan A",$C$5="B"),AND(H86="Plan B",$C$5="A")),0,IF(OR(G86="per student",G86="per group",G86="per class"),E86*IF(B86="Year 7",$C$3,$C$4),E86)))</f>
        <v>1</v>
      </c>
      <c r="J86" s="12"/>
      <c r="K86" s="11"/>
      <c r="L86" s="11" t="str">
        <f aca="false">IF(OR(K86="",O86&lt;&gt;"",I86=""),"",ROUNDUP(I86*K86,0))</f>
        <v/>
      </c>
      <c r="M86" s="12" t="s">
        <v>335</v>
      </c>
      <c r="N86" s="11" t="s">
        <v>105</v>
      </c>
      <c r="O86" s="12"/>
      <c r="P86" s="12" t="s">
        <v>77</v>
      </c>
      <c r="Q86" s="12"/>
      <c r="R86" s="11"/>
    </row>
    <row r="87" customFormat="false" ht="70.1" hidden="false" customHeight="false" outlineLevel="0" collapsed="false">
      <c r="A87" s="14" t="n">
        <v>2</v>
      </c>
      <c r="B87" s="15" t="s">
        <v>39</v>
      </c>
      <c r="C87" s="15" t="s">
        <v>40</v>
      </c>
      <c r="D87" s="15" t="s">
        <v>336</v>
      </c>
      <c r="E87" s="14" t="n">
        <v>24</v>
      </c>
      <c r="F87" s="15" t="s">
        <v>337</v>
      </c>
      <c r="G87" s="14" t="s">
        <v>43</v>
      </c>
      <c r="H87" s="14"/>
      <c r="I87" s="14" t="n">
        <f aca="false">IF(E87="","",IF(OR(AND(H87="Plan A",$C$5="B"),AND(H87="Plan B",$C$5="A")),0,IF(OR(G87="per student",G87="per group",G87="per class"),E87*IF(B87="Year 7",$C$3,$C$4),E87)))</f>
        <v>24</v>
      </c>
      <c r="J87" s="15" t="s">
        <v>13</v>
      </c>
      <c r="K87" s="14" t="n">
        <v>2</v>
      </c>
      <c r="L87" s="14" t="n">
        <f aca="false">IF(OR(K87="",O87&lt;&gt;"",I87=""),"",ROUNDUP(I87*K87,0))</f>
        <v>48</v>
      </c>
      <c r="M87" s="15" t="s">
        <v>338</v>
      </c>
      <c r="N87" s="14"/>
      <c r="O87" s="15"/>
      <c r="P87" s="15" t="s">
        <v>45</v>
      </c>
      <c r="Q87" s="13" t="s">
        <v>339</v>
      </c>
      <c r="R87" s="14"/>
    </row>
    <row r="88" customFormat="false" ht="23.85" hidden="false" customHeight="false" outlineLevel="0" collapsed="false">
      <c r="A88" s="14" t="n">
        <v>2</v>
      </c>
      <c r="B88" s="15" t="s">
        <v>39</v>
      </c>
      <c r="C88" s="15" t="s">
        <v>40</v>
      </c>
      <c r="D88" s="15" t="s">
        <v>340</v>
      </c>
      <c r="E88" s="14" t="n">
        <v>1</v>
      </c>
      <c r="F88" s="15" t="s">
        <v>341</v>
      </c>
      <c r="G88" s="14" t="s">
        <v>127</v>
      </c>
      <c r="H88" s="14"/>
      <c r="I88" s="14" t="n">
        <f aca="false">IF(E88="","",IF(OR(AND(H88="Plan A",$C$5="B"),AND(H88="Plan B",$C$5="A")),0,IF(OR(G88="per student",G88="per group",G88="per class"),E88*IF(B88="Year 7",$C$3,$C$4),E88)))</f>
        <v>1</v>
      </c>
      <c r="J88" s="15" t="s">
        <v>18</v>
      </c>
      <c r="K88" s="14" t="n">
        <v>1</v>
      </c>
      <c r="L88" s="14" t="n">
        <f aca="false">IF(OR(K88="",O88&lt;&gt;"",I88=""),"",ROUNDUP(I88*K88,0))</f>
        <v>1</v>
      </c>
      <c r="M88" s="15" t="s">
        <v>342</v>
      </c>
      <c r="N88" s="14"/>
      <c r="O88" s="15"/>
      <c r="P88" s="15" t="s">
        <v>77</v>
      </c>
      <c r="Q88" s="13" t="s">
        <v>343</v>
      </c>
      <c r="R88" s="14"/>
    </row>
    <row r="89" customFormat="false" ht="23.85" hidden="false" customHeight="false" outlineLevel="0" collapsed="false">
      <c r="A89" s="14" t="n">
        <v>2</v>
      </c>
      <c r="B89" s="15" t="s">
        <v>39</v>
      </c>
      <c r="C89" s="15" t="s">
        <v>40</v>
      </c>
      <c r="D89" s="15" t="s">
        <v>344</v>
      </c>
      <c r="E89" s="14" t="n">
        <v>6</v>
      </c>
      <c r="F89" s="15" t="s">
        <v>226</v>
      </c>
      <c r="G89" s="14" t="s">
        <v>66</v>
      </c>
      <c r="H89" s="14"/>
      <c r="I89" s="14" t="n">
        <f aca="false">IF(E89="","",IF(OR(AND(H89="Plan A",$C$5="B"),AND(H89="Plan B",$C$5="A")),0,IF(OR(G89="per student",G89="per group",G89="per class"),E89*IF(B89="Year 7",$C$3,$C$4),E89)))</f>
        <v>6</v>
      </c>
      <c r="J89" s="15" t="s">
        <v>13</v>
      </c>
      <c r="K89" s="14" t="n">
        <v>1</v>
      </c>
      <c r="L89" s="14" t="n">
        <f aca="false">IF(OR(K89="",O89&lt;&gt;"",I89=""),"",ROUNDUP(I89*K89,0))</f>
        <v>6</v>
      </c>
      <c r="M89" s="15" t="s">
        <v>345</v>
      </c>
      <c r="N89" s="14" t="s">
        <v>105</v>
      </c>
      <c r="O89" s="15"/>
      <c r="P89" s="15" t="s">
        <v>45</v>
      </c>
      <c r="Q89" s="13" t="s">
        <v>346</v>
      </c>
      <c r="R89" s="14"/>
    </row>
    <row r="90" customFormat="false" ht="35.05" hidden="false" customHeight="false" outlineLevel="0" collapsed="false">
      <c r="A90" s="14" t="n">
        <v>2</v>
      </c>
      <c r="B90" s="15" t="s">
        <v>39</v>
      </c>
      <c r="C90" s="15" t="s">
        <v>40</v>
      </c>
      <c r="D90" s="15" t="s">
        <v>347</v>
      </c>
      <c r="E90" s="14" t="n">
        <v>1</v>
      </c>
      <c r="F90" s="15" t="s">
        <v>191</v>
      </c>
      <c r="G90" s="14" t="s">
        <v>127</v>
      </c>
      <c r="H90" s="14"/>
      <c r="I90" s="14" t="n">
        <f aca="false">IF(E90="","",IF(OR(AND(H90="Plan A",$C$5="B"),AND(H90="Plan B",$C$5="A")),0,IF(OR(G90="per student",G90="per group",G90="per class"),E90*IF(B90="Year 7",$C$3,$C$4),E90)))</f>
        <v>1</v>
      </c>
      <c r="J90" s="15" t="s">
        <v>20</v>
      </c>
      <c r="K90" s="14" t="n">
        <v>1</v>
      </c>
      <c r="L90" s="14" t="n">
        <f aca="false">IF(OR(K90="",O90&lt;&gt;"",I90=""),"",ROUNDUP(I90*K90,0))</f>
        <v>1</v>
      </c>
      <c r="M90" s="15" t="s">
        <v>348</v>
      </c>
      <c r="N90" s="14"/>
      <c r="O90" s="15"/>
      <c r="P90" s="15" t="s">
        <v>45</v>
      </c>
      <c r="Q90" s="13" t="s">
        <v>349</v>
      </c>
      <c r="R90" s="14"/>
    </row>
    <row r="91" customFormat="false" ht="46.25" hidden="false" customHeight="false" outlineLevel="0" collapsed="false">
      <c r="A91" s="14" t="n">
        <v>2</v>
      </c>
      <c r="B91" s="15" t="s">
        <v>39</v>
      </c>
      <c r="C91" s="15" t="s">
        <v>97</v>
      </c>
      <c r="D91" s="15" t="s">
        <v>350</v>
      </c>
      <c r="E91" s="14" t="n">
        <v>6</v>
      </c>
      <c r="F91" s="15" t="s">
        <v>351</v>
      </c>
      <c r="G91" s="14" t="s">
        <v>66</v>
      </c>
      <c r="H91" s="14"/>
      <c r="I91" s="14" t="n">
        <f aca="false">IF(E91="","",IF(OR(AND(H91="Plan A",$C$5="B"),AND(H91="Plan B",$C$5="A")),0,IF(OR(G91="per student",G91="per group",G91="per class"),E91*IF(B91="Year 7",$C$3,$C$4),E91)))</f>
        <v>6</v>
      </c>
      <c r="J91" s="15" t="s">
        <v>14</v>
      </c>
      <c r="K91" s="14" t="n">
        <v>2</v>
      </c>
      <c r="L91" s="14" t="n">
        <f aca="false">IF(OR(K91="",O91&lt;&gt;"",I91=""),"",ROUNDUP(I91*K91,0))</f>
        <v>12</v>
      </c>
      <c r="M91" s="15" t="s">
        <v>352</v>
      </c>
      <c r="N91" s="14"/>
      <c r="O91" s="15"/>
      <c r="P91" s="15" t="s">
        <v>77</v>
      </c>
      <c r="Q91" s="13" t="s">
        <v>353</v>
      </c>
      <c r="R91" s="14"/>
    </row>
    <row r="92" customFormat="false" ht="23.85" hidden="false" customHeight="false" outlineLevel="0" collapsed="false">
      <c r="A92" s="14" t="n">
        <v>2</v>
      </c>
      <c r="B92" s="15" t="s">
        <v>39</v>
      </c>
      <c r="C92" s="15" t="s">
        <v>97</v>
      </c>
      <c r="D92" s="15" t="s">
        <v>354</v>
      </c>
      <c r="E92" s="14" t="n">
        <v>6</v>
      </c>
      <c r="F92" s="15" t="s">
        <v>355</v>
      </c>
      <c r="G92" s="14" t="s">
        <v>66</v>
      </c>
      <c r="H92" s="14"/>
      <c r="I92" s="14" t="n">
        <f aca="false">IF(E92="","",IF(OR(AND(H92="Plan A",$C$5="B"),AND(H92="Plan B",$C$5="A")),0,IF(OR(G92="per student",G92="per group",G92="per class"),E92*IF(B92="Year 7",$C$3,$C$4),E92)))</f>
        <v>6</v>
      </c>
      <c r="J92" s="15"/>
      <c r="K92" s="14"/>
      <c r="L92" s="14" t="str">
        <f aca="false">IF(OR(K92="",O92&lt;&gt;"",I92=""),"",ROUNDUP(I92*K92,0))</f>
        <v/>
      </c>
      <c r="M92" s="15" t="s">
        <v>356</v>
      </c>
      <c r="N92" s="14"/>
      <c r="O92" s="15"/>
      <c r="P92" s="15" t="s">
        <v>77</v>
      </c>
      <c r="Q92" s="15"/>
      <c r="R92" s="14"/>
    </row>
    <row r="93" customFormat="false" ht="23.85" hidden="false" customHeight="false" outlineLevel="0" collapsed="false">
      <c r="A93" s="14" t="n">
        <v>2</v>
      </c>
      <c r="B93" s="15" t="s">
        <v>39</v>
      </c>
      <c r="C93" s="15" t="s">
        <v>97</v>
      </c>
      <c r="D93" s="15" t="s">
        <v>253</v>
      </c>
      <c r="E93" s="14" t="n">
        <v>1</v>
      </c>
      <c r="F93" s="15" t="s">
        <v>357</v>
      </c>
      <c r="G93" s="14" t="s">
        <v>57</v>
      </c>
      <c r="H93" s="14"/>
      <c r="I93" s="14" t="n">
        <f aca="false">IF(E93="","",IF(OR(AND(H93="Plan A",$C$5="B"),AND(H93="Plan B",$C$5="A")),0,IF(OR(G93="per student",G93="per group",G93="per class"),E93*IF(B93="Year 7",$C$3,$C$4),E93)))</f>
        <v>1</v>
      </c>
      <c r="J93" s="15"/>
      <c r="K93" s="14"/>
      <c r="L93" s="14" t="str">
        <f aca="false">IF(OR(K93="",O93&lt;&gt;"",I93=""),"",ROUNDUP(I93*K93,0))</f>
        <v/>
      </c>
      <c r="M93" s="15" t="s">
        <v>358</v>
      </c>
      <c r="N93" s="14"/>
      <c r="O93" s="15"/>
      <c r="P93" s="15" t="s">
        <v>77</v>
      </c>
      <c r="Q93" s="13" t="s">
        <v>359</v>
      </c>
      <c r="R93" s="14"/>
    </row>
    <row r="94" customFormat="false" ht="23.85" hidden="false" customHeight="false" outlineLevel="0" collapsed="false">
      <c r="A94" s="14" t="n">
        <v>2</v>
      </c>
      <c r="B94" s="15" t="s">
        <v>39</v>
      </c>
      <c r="C94" s="15" t="s">
        <v>97</v>
      </c>
      <c r="D94" s="15" t="s">
        <v>360</v>
      </c>
      <c r="E94" s="14" t="n">
        <v>1</v>
      </c>
      <c r="F94" s="15" t="s">
        <v>361</v>
      </c>
      <c r="G94" s="14" t="s">
        <v>57</v>
      </c>
      <c r="H94" s="14"/>
      <c r="I94" s="14" t="n">
        <f aca="false">IF(E94="","",IF(OR(AND(H94="Plan A",$C$5="B"),AND(H94="Plan B",$C$5="A")),0,IF(OR(G94="per student",G94="per group",G94="per class"),E94*IF(B94="Year 7",$C$3,$C$4),E94)))</f>
        <v>1</v>
      </c>
      <c r="J94" s="15"/>
      <c r="K94" s="14"/>
      <c r="L94" s="14" t="str">
        <f aca="false">IF(OR(K94="",O94&lt;&gt;"",I94=""),"",ROUNDUP(I94*K94,0))</f>
        <v/>
      </c>
      <c r="M94" s="15" t="s">
        <v>362</v>
      </c>
      <c r="N94" s="14"/>
      <c r="O94" s="15"/>
      <c r="P94" s="15" t="s">
        <v>77</v>
      </c>
      <c r="Q94" s="13" t="s">
        <v>363</v>
      </c>
      <c r="R94" s="14"/>
    </row>
    <row r="95" customFormat="false" ht="23.85" hidden="false" customHeight="false" outlineLevel="0" collapsed="false">
      <c r="A95" s="14" t="n">
        <v>2</v>
      </c>
      <c r="B95" s="15" t="s">
        <v>39</v>
      </c>
      <c r="C95" s="15" t="s">
        <v>97</v>
      </c>
      <c r="D95" s="15" t="s">
        <v>120</v>
      </c>
      <c r="E95" s="14" t="n">
        <v>24</v>
      </c>
      <c r="F95" s="15" t="s">
        <v>248</v>
      </c>
      <c r="G95" s="14" t="s">
        <v>43</v>
      </c>
      <c r="H95" s="14"/>
      <c r="I95" s="14" t="n">
        <f aca="false">IF(E95="","",IF(OR(AND(H95="Plan A",$C$5="B"),AND(H95="Plan B",$C$5="A")),0,IF(OR(G95="per student",G95="per group",G95="per class"),E95*IF(B95="Year 7",$C$3,$C$4),E95)))</f>
        <v>24</v>
      </c>
      <c r="J95" s="15"/>
      <c r="K95" s="14"/>
      <c r="L95" s="14" t="str">
        <f aca="false">IF(OR(K95="",O95&lt;&gt;"",I95=""),"",ROUNDUP(I95*K95,0))</f>
        <v/>
      </c>
      <c r="M95" s="15" t="s">
        <v>364</v>
      </c>
      <c r="N95" s="14"/>
      <c r="O95" s="15" t="s">
        <v>365</v>
      </c>
      <c r="P95" s="13" t="s">
        <v>91</v>
      </c>
      <c r="Q95" s="13" t="s">
        <v>366</v>
      </c>
      <c r="R95" s="14"/>
    </row>
    <row r="96" customFormat="false" ht="35.05" hidden="false" customHeight="false" outlineLevel="0" collapsed="false">
      <c r="A96" s="14" t="n">
        <v>2</v>
      </c>
      <c r="B96" s="15" t="s">
        <v>39</v>
      </c>
      <c r="C96" s="15" t="s">
        <v>97</v>
      </c>
      <c r="D96" s="15" t="s">
        <v>367</v>
      </c>
      <c r="E96" s="14" t="n">
        <v>24</v>
      </c>
      <c r="F96" s="15" t="s">
        <v>368</v>
      </c>
      <c r="G96" s="14" t="s">
        <v>43</v>
      </c>
      <c r="H96" s="14"/>
      <c r="I96" s="14" t="n">
        <f aca="false">IF(E96="","",IF(OR(AND(H96="Plan A",$C$5="B"),AND(H96="Plan B",$C$5="A")),0,IF(OR(G96="per student",G96="per group",G96="per class"),E96*IF(B96="Year 7",$C$3,$C$4),E96)))</f>
        <v>24</v>
      </c>
      <c r="J96" s="15"/>
      <c r="K96" s="14"/>
      <c r="L96" s="14" t="str">
        <f aca="false">IF(OR(K96="",O96&lt;&gt;"",I96=""),"",ROUNDUP(I96*K96,0))</f>
        <v/>
      </c>
      <c r="M96" s="15" t="s">
        <v>369</v>
      </c>
      <c r="N96" s="14"/>
      <c r="O96" s="15" t="s">
        <v>370</v>
      </c>
      <c r="P96" s="13" t="s">
        <v>91</v>
      </c>
      <c r="Q96" s="13" t="s">
        <v>371</v>
      </c>
      <c r="R96" s="14"/>
    </row>
    <row r="97" customFormat="false" ht="35.05" hidden="false" customHeight="false" outlineLevel="0" collapsed="false">
      <c r="A97" s="14" t="n">
        <v>2</v>
      </c>
      <c r="B97" s="15" t="s">
        <v>39</v>
      </c>
      <c r="C97" s="15" t="s">
        <v>97</v>
      </c>
      <c r="D97" s="15" t="s">
        <v>372</v>
      </c>
      <c r="E97" s="14" t="n">
        <v>6</v>
      </c>
      <c r="F97" s="15" t="s">
        <v>373</v>
      </c>
      <c r="G97" s="14" t="s">
        <v>66</v>
      </c>
      <c r="H97" s="14"/>
      <c r="I97" s="14" t="n">
        <f aca="false">IF(E97="","",IF(OR(AND(H97="Plan A",$C$5="B"),AND(H97="Plan B",$C$5="A")),0,IF(OR(G97="per student",G97="per group",G97="per class"),E97*IF(B97="Year 7",$C$3,$C$4),E97)))</f>
        <v>6</v>
      </c>
      <c r="J97" s="15"/>
      <c r="K97" s="14"/>
      <c r="L97" s="14" t="str">
        <f aca="false">IF(OR(K97="",O97&lt;&gt;"",I97=""),"",ROUNDUP(I97*K97,0))</f>
        <v/>
      </c>
      <c r="M97" s="15" t="s">
        <v>374</v>
      </c>
      <c r="N97" s="14"/>
      <c r="O97" s="15" t="s">
        <v>375</v>
      </c>
      <c r="P97" s="15" t="s">
        <v>376</v>
      </c>
      <c r="Q97" s="13" t="s">
        <v>377</v>
      </c>
      <c r="R97" s="14"/>
    </row>
    <row r="98" customFormat="false" ht="46.25" hidden="false" customHeight="false" outlineLevel="0" collapsed="false">
      <c r="A98" s="14" t="n">
        <v>2</v>
      </c>
      <c r="B98" s="15" t="s">
        <v>39</v>
      </c>
      <c r="C98" s="15" t="s">
        <v>97</v>
      </c>
      <c r="D98" s="15" t="s">
        <v>378</v>
      </c>
      <c r="E98" s="14" t="n">
        <v>6</v>
      </c>
      <c r="F98" s="15" t="s">
        <v>373</v>
      </c>
      <c r="G98" s="14" t="s">
        <v>66</v>
      </c>
      <c r="H98" s="14"/>
      <c r="I98" s="14" t="n">
        <f aca="false">IF(E98="","",IF(OR(AND(H98="Plan A",$C$5="B"),AND(H98="Plan B",$C$5="A")),0,IF(OR(G98="per student",G98="per group",G98="per class"),E98*IF(B98="Year 7",$C$3,$C$4),E98)))</f>
        <v>6</v>
      </c>
      <c r="J98" s="15"/>
      <c r="K98" s="14"/>
      <c r="L98" s="14" t="str">
        <f aca="false">IF(OR(K98="",O98&lt;&gt;"",I98=""),"",ROUNDUP(I98*K98,0))</f>
        <v/>
      </c>
      <c r="M98" s="15" t="s">
        <v>379</v>
      </c>
      <c r="N98" s="14"/>
      <c r="O98" s="15" t="s">
        <v>380</v>
      </c>
      <c r="P98" s="15" t="s">
        <v>133</v>
      </c>
      <c r="Q98" s="13" t="s">
        <v>381</v>
      </c>
      <c r="R98" s="14"/>
    </row>
    <row r="99" customFormat="false" ht="35.05" hidden="false" customHeight="false" outlineLevel="0" collapsed="false">
      <c r="A99" s="14" t="n">
        <v>2</v>
      </c>
      <c r="B99" s="15" t="s">
        <v>39</v>
      </c>
      <c r="C99" s="15" t="s">
        <v>97</v>
      </c>
      <c r="D99" s="15" t="s">
        <v>382</v>
      </c>
      <c r="E99" s="14" t="n">
        <v>24</v>
      </c>
      <c r="F99" s="15" t="s">
        <v>117</v>
      </c>
      <c r="G99" s="14" t="s">
        <v>43</v>
      </c>
      <c r="H99" s="14"/>
      <c r="I99" s="14" t="n">
        <f aca="false">IF(E99="","",IF(OR(AND(H99="Plan A",$C$5="B"),AND(H99="Plan B",$C$5="A")),0,IF(OR(G99="per student",G99="per group",G99="per class"),E99*IF(B99="Year 7",$C$3,$C$4),E99)))</f>
        <v>24</v>
      </c>
      <c r="J99" s="15"/>
      <c r="K99" s="14"/>
      <c r="L99" s="14" t="str">
        <f aca="false">IF(OR(K99="",O99&lt;&gt;"",I99=""),"",ROUNDUP(I99*K99,0))</f>
        <v/>
      </c>
      <c r="M99" s="15" t="s">
        <v>383</v>
      </c>
      <c r="N99" s="14"/>
      <c r="O99" s="15" t="s">
        <v>384</v>
      </c>
      <c r="P99" s="15" t="s">
        <v>376</v>
      </c>
      <c r="Q99" s="13" t="s">
        <v>385</v>
      </c>
      <c r="R99" s="14"/>
    </row>
    <row r="100" customFormat="false" ht="23.85" hidden="false" customHeight="false" outlineLevel="0" collapsed="false">
      <c r="A100" s="14" t="n">
        <v>2</v>
      </c>
      <c r="B100" s="15" t="s">
        <v>39</v>
      </c>
      <c r="C100" s="15" t="s">
        <v>97</v>
      </c>
      <c r="D100" s="15" t="s">
        <v>386</v>
      </c>
      <c r="E100" s="14" t="n">
        <v>24</v>
      </c>
      <c r="F100" s="15" t="s">
        <v>368</v>
      </c>
      <c r="G100" s="14" t="s">
        <v>43</v>
      </c>
      <c r="H100" s="14"/>
      <c r="I100" s="14" t="n">
        <f aca="false">IF(E100="","",IF(OR(AND(H100="Plan A",$C$5="B"),AND(H100="Plan B",$C$5="A")),0,IF(OR(G100="per student",G100="per group",G100="per class"),E100*IF(B100="Year 7",$C$3,$C$4),E100)))</f>
        <v>24</v>
      </c>
      <c r="J100" s="15"/>
      <c r="K100" s="14"/>
      <c r="L100" s="14" t="str">
        <f aca="false">IF(OR(K100="",O100&lt;&gt;"",I100=""),"",ROUNDUP(I100*K100,0))</f>
        <v/>
      </c>
      <c r="M100" s="15" t="s">
        <v>387</v>
      </c>
      <c r="N100" s="14"/>
      <c r="O100" s="15" t="s">
        <v>388</v>
      </c>
      <c r="P100" s="15" t="s">
        <v>376</v>
      </c>
      <c r="Q100" s="13" t="s">
        <v>389</v>
      </c>
      <c r="R100" s="14"/>
    </row>
    <row r="101" customFormat="false" ht="15" hidden="false" customHeight="false" outlineLevel="0" collapsed="false">
      <c r="A101" s="14" t="n">
        <v>2</v>
      </c>
      <c r="B101" s="15" t="s">
        <v>39</v>
      </c>
      <c r="C101" s="15" t="s">
        <v>124</v>
      </c>
      <c r="D101" s="15" t="s">
        <v>125</v>
      </c>
      <c r="E101" s="14" t="n">
        <v>1</v>
      </c>
      <c r="F101" s="15" t="s">
        <v>267</v>
      </c>
      <c r="G101" s="14" t="s">
        <v>127</v>
      </c>
      <c r="H101" s="14"/>
      <c r="I101" s="14" t="n">
        <f aca="false">IF(E101="","",IF(OR(AND(H101="Plan A",$C$5="B"),AND(H101="Plan B",$C$5="A")),0,IF(OR(G101="per student",G101="per group",G101="per class"),E101*IF(B101="Year 7",$C$3,$C$4),E101)))</f>
        <v>1</v>
      </c>
      <c r="J101" s="15"/>
      <c r="K101" s="14"/>
      <c r="L101" s="14" t="str">
        <f aca="false">IF(OR(K101="",O101&lt;&gt;"",I101=""),"",ROUNDUP(I101*K101,0))</f>
        <v/>
      </c>
      <c r="M101" s="15" t="s">
        <v>390</v>
      </c>
      <c r="N101" s="14"/>
      <c r="O101" s="15" t="s">
        <v>391</v>
      </c>
      <c r="P101" s="15" t="s">
        <v>376</v>
      </c>
      <c r="Q101" s="15"/>
      <c r="R101" s="14"/>
    </row>
    <row r="102" customFormat="false" ht="35.05" hidden="false" customHeight="false" outlineLevel="0" collapsed="false">
      <c r="A102" s="14" t="n">
        <v>2</v>
      </c>
      <c r="B102" s="15" t="s">
        <v>39</v>
      </c>
      <c r="C102" s="15" t="s">
        <v>124</v>
      </c>
      <c r="D102" s="15" t="s">
        <v>392</v>
      </c>
      <c r="E102" s="14" t="n">
        <v>1</v>
      </c>
      <c r="F102" s="15" t="s">
        <v>393</v>
      </c>
      <c r="G102" s="14" t="s">
        <v>57</v>
      </c>
      <c r="H102" s="14"/>
      <c r="I102" s="14" t="n">
        <f aca="false">IF(E102="","",IF(OR(AND(H102="Plan A",$C$5="B"),AND(H102="Plan B",$C$5="A")),0,IF(OR(G102="per student",G102="per group",G102="per class"),E102*IF(B102="Year 7",$C$3,$C$4),E102)))</f>
        <v>1</v>
      </c>
      <c r="J102" s="15"/>
      <c r="K102" s="14"/>
      <c r="L102" s="14" t="str">
        <f aca="false">IF(OR(K102="",O102&lt;&gt;"",I102=""),"",ROUNDUP(I102*K102,0))</f>
        <v/>
      </c>
      <c r="M102" s="15" t="s">
        <v>394</v>
      </c>
      <c r="N102" s="14"/>
      <c r="O102" s="15"/>
      <c r="P102" s="15" t="s">
        <v>77</v>
      </c>
      <c r="Q102" s="13" t="s">
        <v>395</v>
      </c>
      <c r="R102" s="14"/>
    </row>
    <row r="103" customFormat="false" ht="15" hidden="false" customHeight="false" outlineLevel="0" collapsed="false">
      <c r="A103" s="14" t="n">
        <v>2</v>
      </c>
      <c r="B103" s="15" t="s">
        <v>39</v>
      </c>
      <c r="C103" s="15" t="s">
        <v>124</v>
      </c>
      <c r="D103" s="15" t="s">
        <v>396</v>
      </c>
      <c r="E103" s="14" t="n">
        <v>3</v>
      </c>
      <c r="F103" s="15" t="s">
        <v>397</v>
      </c>
      <c r="G103" s="14" t="s">
        <v>127</v>
      </c>
      <c r="H103" s="14"/>
      <c r="I103" s="14" t="n">
        <f aca="false">IF(E103="","",IF(OR(AND(H103="Plan A",$C$5="B"),AND(H103="Plan B",$C$5="A")),0,IF(OR(G103="per student",G103="per group",G103="per class"),E103*IF(B103="Year 7",$C$3,$C$4),E103)))</f>
        <v>3</v>
      </c>
      <c r="J103" s="15"/>
      <c r="K103" s="14"/>
      <c r="L103" s="14" t="str">
        <f aca="false">IF(OR(K103="",O103&lt;&gt;"",I103=""),"",ROUNDUP(I103*K103,0))</f>
        <v/>
      </c>
      <c r="M103" s="15" t="s">
        <v>398</v>
      </c>
      <c r="N103" s="14"/>
      <c r="O103" s="15"/>
      <c r="P103" s="15" t="s">
        <v>77</v>
      </c>
      <c r="Q103" s="15"/>
      <c r="R103" s="14"/>
    </row>
    <row r="104" customFormat="false" ht="23.85" hidden="false" customHeight="false" outlineLevel="0" collapsed="false">
      <c r="A104" s="14" t="n">
        <v>2</v>
      </c>
      <c r="B104" s="15" t="s">
        <v>39</v>
      </c>
      <c r="C104" s="15" t="s">
        <v>124</v>
      </c>
      <c r="D104" s="15" t="s">
        <v>399</v>
      </c>
      <c r="E104" s="14" t="n">
        <v>1</v>
      </c>
      <c r="F104" s="15" t="s">
        <v>267</v>
      </c>
      <c r="G104" s="14" t="s">
        <v>57</v>
      </c>
      <c r="H104" s="14"/>
      <c r="I104" s="14" t="n">
        <f aca="false">IF(E104="","",IF(OR(AND(H104="Plan A",$C$5="B"),AND(H104="Plan B",$C$5="A")),0,IF(OR(G104="per student",G104="per group",G104="per class"),E104*IF(B104="Year 7",$C$3,$C$4),E104)))</f>
        <v>1</v>
      </c>
      <c r="J104" s="15"/>
      <c r="K104" s="14"/>
      <c r="L104" s="14" t="str">
        <f aca="false">IF(OR(K104="",O104&lt;&gt;"",I104=""),"",ROUNDUP(I104*K104,0))</f>
        <v/>
      </c>
      <c r="M104" s="15" t="s">
        <v>400</v>
      </c>
      <c r="N104" s="14"/>
      <c r="O104" s="15"/>
      <c r="P104" s="15" t="s">
        <v>77</v>
      </c>
      <c r="Q104" s="15"/>
      <c r="R104" s="14"/>
    </row>
    <row r="105" customFormat="false" ht="15" hidden="false" customHeight="false" outlineLevel="0" collapsed="false">
      <c r="A105" s="14" t="n">
        <v>2</v>
      </c>
      <c r="B105" s="15" t="s">
        <v>39</v>
      </c>
      <c r="C105" s="15" t="s">
        <v>124</v>
      </c>
      <c r="D105" s="15" t="s">
        <v>401</v>
      </c>
      <c r="E105" s="14" t="n">
        <v>3</v>
      </c>
      <c r="F105" s="15" t="s">
        <v>402</v>
      </c>
      <c r="G105" s="14" t="s">
        <v>57</v>
      </c>
      <c r="H105" s="14"/>
      <c r="I105" s="14" t="n">
        <f aca="false">IF(E105="","",IF(OR(AND(H105="Plan A",$C$5="B"),AND(H105="Plan B",$C$5="A")),0,IF(OR(G105="per student",G105="per group",G105="per class"),E105*IF(B105="Year 7",$C$3,$C$4),E105)))</f>
        <v>3</v>
      </c>
      <c r="J105" s="15"/>
      <c r="K105" s="14"/>
      <c r="L105" s="14" t="str">
        <f aca="false">IF(OR(K105="",O105&lt;&gt;"",I105=""),"",ROUNDUP(I105*K105,0))</f>
        <v/>
      </c>
      <c r="M105" s="15" t="s">
        <v>403</v>
      </c>
      <c r="N105" s="14"/>
      <c r="O105" s="15"/>
      <c r="P105" s="15" t="s">
        <v>77</v>
      </c>
      <c r="Q105" s="15"/>
      <c r="R105" s="14"/>
    </row>
    <row r="106" customFormat="false" ht="15" hidden="false" customHeight="false" outlineLevel="0" collapsed="false">
      <c r="A106" s="14" t="n">
        <v>2</v>
      </c>
      <c r="B106" s="15" t="s">
        <v>39</v>
      </c>
      <c r="C106" s="15" t="s">
        <v>124</v>
      </c>
      <c r="D106" s="15" t="s">
        <v>404</v>
      </c>
      <c r="E106" s="14" t="n">
        <v>1</v>
      </c>
      <c r="F106" s="15" t="s">
        <v>405</v>
      </c>
      <c r="G106" s="14" t="s">
        <v>57</v>
      </c>
      <c r="H106" s="14"/>
      <c r="I106" s="14" t="n">
        <f aca="false">IF(E106="","",IF(OR(AND(H106="Plan A",$C$5="B"),AND(H106="Plan B",$C$5="A")),0,IF(OR(G106="per student",G106="per group",G106="per class"),E106*IF(B106="Year 7",$C$3,$C$4),E106)))</f>
        <v>1</v>
      </c>
      <c r="J106" s="15"/>
      <c r="K106" s="14"/>
      <c r="L106" s="14" t="str">
        <f aca="false">IF(OR(K106="",O106&lt;&gt;"",I106=""),"",ROUNDUP(I106*K106,0))</f>
        <v/>
      </c>
      <c r="M106" s="15" t="s">
        <v>406</v>
      </c>
      <c r="N106" s="14"/>
      <c r="O106" s="15"/>
      <c r="P106" s="15" t="s">
        <v>77</v>
      </c>
      <c r="Q106" s="15"/>
      <c r="R106" s="14"/>
    </row>
    <row r="107" customFormat="false" ht="15" hidden="false" customHeight="false" outlineLevel="0" collapsed="false">
      <c r="A107" s="14" t="n">
        <v>2</v>
      </c>
      <c r="B107" s="15" t="s">
        <v>39</v>
      </c>
      <c r="C107" s="15" t="s">
        <v>124</v>
      </c>
      <c r="D107" s="15" t="s">
        <v>407</v>
      </c>
      <c r="E107" s="14" t="n">
        <v>1</v>
      </c>
      <c r="F107" s="15" t="s">
        <v>408</v>
      </c>
      <c r="G107" s="14" t="s">
        <v>57</v>
      </c>
      <c r="H107" s="14"/>
      <c r="I107" s="14" t="n">
        <f aca="false">IF(E107="","",IF(OR(AND(H107="Plan A",$C$5="B"),AND(H107="Plan B",$C$5="A")),0,IF(OR(G107="per student",G107="per group",G107="per class"),E107*IF(B107="Year 7",$C$3,$C$4),E107)))</f>
        <v>1</v>
      </c>
      <c r="J107" s="15"/>
      <c r="K107" s="14"/>
      <c r="L107" s="14" t="str">
        <f aca="false">IF(OR(K107="",O107&lt;&gt;"",I107=""),"",ROUNDUP(I107*K107,0))</f>
        <v/>
      </c>
      <c r="M107" s="15" t="s">
        <v>409</v>
      </c>
      <c r="N107" s="14"/>
      <c r="O107" s="15"/>
      <c r="P107" s="15" t="s">
        <v>77</v>
      </c>
      <c r="Q107" s="15"/>
      <c r="R107" s="14"/>
    </row>
    <row r="108" customFormat="false" ht="15" hidden="false" customHeight="false" outlineLevel="0" collapsed="false">
      <c r="A108" s="14" t="n">
        <v>2</v>
      </c>
      <c r="B108" s="15" t="s">
        <v>39</v>
      </c>
      <c r="C108" s="15" t="s">
        <v>124</v>
      </c>
      <c r="D108" s="15" t="s">
        <v>410</v>
      </c>
      <c r="E108" s="14" t="n">
        <v>1</v>
      </c>
      <c r="F108" s="15" t="s">
        <v>411</v>
      </c>
      <c r="G108" s="14" t="s">
        <v>57</v>
      </c>
      <c r="H108" s="14"/>
      <c r="I108" s="14" t="n">
        <f aca="false">IF(E108="","",IF(OR(AND(H108="Plan A",$C$5="B"),AND(H108="Plan B",$C$5="A")),0,IF(OR(G108="per student",G108="per group",G108="per class"),E108*IF(B108="Year 7",$C$3,$C$4),E108)))</f>
        <v>1</v>
      </c>
      <c r="J108" s="15"/>
      <c r="K108" s="14"/>
      <c r="L108" s="14" t="str">
        <f aca="false">IF(OR(K108="",O108&lt;&gt;"",I108=""),"",ROUNDUP(I108*K108,0))</f>
        <v/>
      </c>
      <c r="M108" s="15" t="s">
        <v>412</v>
      </c>
      <c r="N108" s="14"/>
      <c r="O108" s="15"/>
      <c r="P108" s="15" t="s">
        <v>77</v>
      </c>
      <c r="Q108" s="15"/>
      <c r="R108" s="14"/>
    </row>
    <row r="109" customFormat="false" ht="15" hidden="false" customHeight="false" outlineLevel="0" collapsed="false">
      <c r="A109" s="14" t="n">
        <v>2</v>
      </c>
      <c r="B109" s="15" t="s">
        <v>39</v>
      </c>
      <c r="C109" s="15" t="s">
        <v>124</v>
      </c>
      <c r="D109" s="15" t="s">
        <v>413</v>
      </c>
      <c r="E109" s="14" t="n">
        <v>1</v>
      </c>
      <c r="F109" s="15" t="s">
        <v>414</v>
      </c>
      <c r="G109" s="14" t="s">
        <v>57</v>
      </c>
      <c r="H109" s="14"/>
      <c r="I109" s="14" t="n">
        <f aca="false">IF(E109="","",IF(OR(AND(H109="Plan A",$C$5="B"),AND(H109="Plan B",$C$5="A")),0,IF(OR(G109="per student",G109="per group",G109="per class"),E109*IF(B109="Year 7",$C$3,$C$4),E109)))</f>
        <v>1</v>
      </c>
      <c r="J109" s="15"/>
      <c r="K109" s="14"/>
      <c r="L109" s="14" t="str">
        <f aca="false">IF(OR(K109="",O109&lt;&gt;"",I109=""),"",ROUNDUP(I109*K109,0))</f>
        <v/>
      </c>
      <c r="M109" s="15" t="s">
        <v>415</v>
      </c>
      <c r="N109" s="14"/>
      <c r="O109" s="15"/>
      <c r="P109" s="15" t="s">
        <v>77</v>
      </c>
      <c r="Q109" s="15"/>
      <c r="R109" s="14"/>
    </row>
    <row r="110" customFormat="false" ht="15" hidden="false" customHeight="false" outlineLevel="0" collapsed="false">
      <c r="A110" s="14" t="n">
        <v>2</v>
      </c>
      <c r="B110" s="15" t="s">
        <v>39</v>
      </c>
      <c r="C110" s="15" t="s">
        <v>124</v>
      </c>
      <c r="D110" s="15" t="s">
        <v>416</v>
      </c>
      <c r="E110" s="14" t="n">
        <v>1</v>
      </c>
      <c r="F110" s="15" t="s">
        <v>417</v>
      </c>
      <c r="G110" s="14" t="s">
        <v>57</v>
      </c>
      <c r="H110" s="14"/>
      <c r="I110" s="14" t="n">
        <f aca="false">IF(E110="","",IF(OR(AND(H110="Plan A",$C$5="B"),AND(H110="Plan B",$C$5="A")),0,IF(OR(G110="per student",G110="per group",G110="per class"),E110*IF(B110="Year 7",$C$3,$C$4),E110)))</f>
        <v>1</v>
      </c>
      <c r="J110" s="15"/>
      <c r="K110" s="14"/>
      <c r="L110" s="14" t="str">
        <f aca="false">IF(OR(K110="",O110&lt;&gt;"",I110=""),"",ROUNDUP(I110*K110,0))</f>
        <v/>
      </c>
      <c r="M110" s="15" t="s">
        <v>418</v>
      </c>
      <c r="N110" s="14"/>
      <c r="O110" s="15"/>
      <c r="P110" s="15" t="s">
        <v>77</v>
      </c>
      <c r="Q110" s="15"/>
      <c r="R110" s="14"/>
    </row>
    <row r="111" customFormat="false" ht="15" hidden="false" customHeight="false" outlineLevel="0" collapsed="false">
      <c r="A111" s="14" t="n">
        <v>2</v>
      </c>
      <c r="B111" s="15" t="s">
        <v>39</v>
      </c>
      <c r="C111" s="15" t="s">
        <v>124</v>
      </c>
      <c r="D111" s="15" t="s">
        <v>419</v>
      </c>
      <c r="E111" s="14" t="n">
        <v>1</v>
      </c>
      <c r="F111" s="15" t="s">
        <v>420</v>
      </c>
      <c r="G111" s="14" t="s">
        <v>57</v>
      </c>
      <c r="H111" s="14"/>
      <c r="I111" s="14" t="n">
        <f aca="false">IF(E111="","",IF(OR(AND(H111="Plan A",$C$5="B"),AND(H111="Plan B",$C$5="A")),0,IF(OR(G111="per student",G111="per group",G111="per class"),E111*IF(B111="Year 7",$C$3,$C$4),E111)))</f>
        <v>1</v>
      </c>
      <c r="J111" s="15"/>
      <c r="K111" s="14"/>
      <c r="L111" s="14" t="str">
        <f aca="false">IF(OR(K111="",O111&lt;&gt;"",I111=""),"",ROUNDUP(I111*K111,0))</f>
        <v/>
      </c>
      <c r="M111" s="15" t="s">
        <v>421</v>
      </c>
      <c r="N111" s="14"/>
      <c r="O111" s="15"/>
      <c r="P111" s="15" t="s">
        <v>77</v>
      </c>
      <c r="Q111" s="15"/>
      <c r="R111" s="14"/>
    </row>
    <row r="112" customFormat="false" ht="15" hidden="false" customHeight="false" outlineLevel="0" collapsed="false">
      <c r="A112" s="14" t="n">
        <v>2</v>
      </c>
      <c r="B112" s="15" t="s">
        <v>39</v>
      </c>
      <c r="C112" s="15" t="s">
        <v>124</v>
      </c>
      <c r="D112" s="15" t="s">
        <v>422</v>
      </c>
      <c r="E112" s="14" t="n">
        <v>1</v>
      </c>
      <c r="F112" s="15" t="s">
        <v>423</v>
      </c>
      <c r="G112" s="14" t="s">
        <v>57</v>
      </c>
      <c r="H112" s="14"/>
      <c r="I112" s="14" t="n">
        <f aca="false">IF(E112="","",IF(OR(AND(H112="Plan A",$C$5="B"),AND(H112="Plan B",$C$5="A")),0,IF(OR(G112="per student",G112="per group",G112="per class"),E112*IF(B112="Year 7",$C$3,$C$4),E112)))</f>
        <v>1</v>
      </c>
      <c r="J112" s="15"/>
      <c r="K112" s="14"/>
      <c r="L112" s="14" t="str">
        <f aca="false">IF(OR(K112="",O112&lt;&gt;"",I112=""),"",ROUNDUP(I112*K112,0))</f>
        <v/>
      </c>
      <c r="M112" s="15" t="s">
        <v>424</v>
      </c>
      <c r="N112" s="14"/>
      <c r="O112" s="15"/>
      <c r="P112" s="15" t="s">
        <v>77</v>
      </c>
      <c r="Q112" s="15"/>
      <c r="R112" s="14"/>
    </row>
    <row r="113" customFormat="false" ht="15" hidden="false" customHeight="false" outlineLevel="0" collapsed="false">
      <c r="A113" s="14" t="n">
        <v>2</v>
      </c>
      <c r="B113" s="15" t="s">
        <v>39</v>
      </c>
      <c r="C113" s="15" t="s">
        <v>124</v>
      </c>
      <c r="D113" s="15" t="s">
        <v>425</v>
      </c>
      <c r="E113" s="14" t="n">
        <v>1</v>
      </c>
      <c r="F113" s="15" t="s">
        <v>426</v>
      </c>
      <c r="G113" s="14" t="s">
        <v>57</v>
      </c>
      <c r="H113" s="14"/>
      <c r="I113" s="14" t="n">
        <f aca="false">IF(E113="","",IF(OR(AND(H113="Plan A",$C$5="B"),AND(H113="Plan B",$C$5="A")),0,IF(OR(G113="per student",G113="per group",G113="per class"),E113*IF(B113="Year 7",$C$3,$C$4),E113)))</f>
        <v>1</v>
      </c>
      <c r="J113" s="15"/>
      <c r="K113" s="14"/>
      <c r="L113" s="14" t="str">
        <f aca="false">IF(OR(K113="",O113&lt;&gt;"",I113=""),"",ROUNDUP(I113*K113,0))</f>
        <v/>
      </c>
      <c r="M113" s="15" t="s">
        <v>427</v>
      </c>
      <c r="N113" s="14"/>
      <c r="O113" s="15"/>
      <c r="P113" s="15" t="s">
        <v>77</v>
      </c>
      <c r="Q113" s="13" t="s">
        <v>428</v>
      </c>
      <c r="R113" s="14"/>
    </row>
    <row r="114" customFormat="false" ht="23.85" hidden="false" customHeight="false" outlineLevel="0" collapsed="false">
      <c r="A114" s="14" t="n">
        <v>2</v>
      </c>
      <c r="B114" s="15" t="s">
        <v>39</v>
      </c>
      <c r="C114" s="15" t="s">
        <v>294</v>
      </c>
      <c r="D114" s="15" t="s">
        <v>429</v>
      </c>
      <c r="E114" s="14" t="n">
        <v>24</v>
      </c>
      <c r="F114" s="15" t="s">
        <v>264</v>
      </c>
      <c r="G114" s="14" t="s">
        <v>57</v>
      </c>
      <c r="H114" s="14"/>
      <c r="I114" s="14" t="n">
        <f aca="false">IF(E114="","",IF(OR(AND(H114="Plan A",$C$5="B"),AND(H114="Plan B",$C$5="A")),0,IF(OR(G114="per student",G114="per group",G114="per class"),E114*IF(B114="Year 7",$C$3,$C$4),E114)))</f>
        <v>24</v>
      </c>
      <c r="J114" s="15"/>
      <c r="K114" s="14"/>
      <c r="L114" s="14" t="str">
        <f aca="false">IF(OR(K114="",O114&lt;&gt;"",I114=""),"",ROUNDUP(I114*K114,0))</f>
        <v/>
      </c>
      <c r="M114" s="15" t="s">
        <v>430</v>
      </c>
      <c r="N114" s="14"/>
      <c r="O114" s="15"/>
      <c r="P114" s="15" t="s">
        <v>77</v>
      </c>
      <c r="Q114" s="13" t="s">
        <v>431</v>
      </c>
      <c r="R114" s="14"/>
    </row>
    <row r="115" customFormat="false" ht="15" hidden="false" customHeight="false" outlineLevel="0" collapsed="false">
      <c r="A115" s="14" t="n">
        <v>2</v>
      </c>
      <c r="B115" s="15" t="s">
        <v>39</v>
      </c>
      <c r="C115" s="15" t="s">
        <v>294</v>
      </c>
      <c r="D115" s="15" t="s">
        <v>432</v>
      </c>
      <c r="E115" s="14" t="n">
        <v>1</v>
      </c>
      <c r="F115" s="15" t="s">
        <v>311</v>
      </c>
      <c r="G115" s="14" t="s">
        <v>57</v>
      </c>
      <c r="H115" s="14"/>
      <c r="I115" s="14" t="n">
        <f aca="false">IF(E115="","",IF(OR(AND(H115="Plan A",$C$5="B"),AND(H115="Plan B",$C$5="A")),0,IF(OR(G115="per student",G115="per group",G115="per class"),E115*IF(B115="Year 7",$C$3,$C$4),E115)))</f>
        <v>1</v>
      </c>
      <c r="J115" s="15"/>
      <c r="K115" s="14"/>
      <c r="L115" s="14" t="str">
        <f aca="false">IF(OR(K115="",O115&lt;&gt;"",I115=""),"",ROUNDUP(I115*K115,0))</f>
        <v/>
      </c>
      <c r="M115" s="15" t="s">
        <v>433</v>
      </c>
      <c r="N115" s="14"/>
      <c r="O115" s="15"/>
      <c r="P115" s="15" t="s">
        <v>77</v>
      </c>
      <c r="Q115" s="15"/>
      <c r="R115" s="14"/>
    </row>
    <row r="116" customFormat="false" ht="46.25" hidden="false" customHeight="false" outlineLevel="0" collapsed="false">
      <c r="A116" s="14" t="n">
        <v>2</v>
      </c>
      <c r="B116" s="15" t="s">
        <v>39</v>
      </c>
      <c r="C116" s="15" t="s">
        <v>144</v>
      </c>
      <c r="D116" s="15" t="s">
        <v>434</v>
      </c>
      <c r="E116" s="14" t="n">
        <v>12</v>
      </c>
      <c r="F116" s="15" t="s">
        <v>435</v>
      </c>
      <c r="G116" s="14" t="s">
        <v>57</v>
      </c>
      <c r="H116" s="14"/>
      <c r="I116" s="14" t="n">
        <f aca="false">IF(E116="","",IF(OR(AND(H116="Plan A",$C$5="B"),AND(H116="Plan B",$C$5="A")),0,IF(OR(G116="per student",G116="per group",G116="per class"),E116*IF(B116="Year 7",$C$3,$C$4),E116)))</f>
        <v>12</v>
      </c>
      <c r="J116" s="15"/>
      <c r="K116" s="14"/>
      <c r="L116" s="14" t="str">
        <f aca="false">IF(OR(K116="",O116&lt;&gt;"",I116=""),"",ROUNDUP(I116*K116,0))</f>
        <v/>
      </c>
      <c r="M116" s="15" t="s">
        <v>436</v>
      </c>
      <c r="N116" s="14"/>
      <c r="O116" s="15"/>
      <c r="P116" s="15" t="s">
        <v>77</v>
      </c>
      <c r="Q116" s="13" t="s">
        <v>437</v>
      </c>
      <c r="R116" s="14"/>
    </row>
    <row r="117" customFormat="false" ht="57.45" hidden="false" customHeight="false" outlineLevel="0" collapsed="false">
      <c r="A117" s="14" t="n">
        <v>2</v>
      </c>
      <c r="B117" s="15" t="s">
        <v>153</v>
      </c>
      <c r="C117" s="15" t="s">
        <v>40</v>
      </c>
      <c r="D117" s="15" t="s">
        <v>438</v>
      </c>
      <c r="E117" s="14" t="n">
        <v>24</v>
      </c>
      <c r="F117" s="15" t="s">
        <v>439</v>
      </c>
      <c r="G117" s="14" t="s">
        <v>43</v>
      </c>
      <c r="H117" s="14"/>
      <c r="I117" s="14" t="n">
        <f aca="false">IF(E117="","",IF(OR(AND(H117="Plan A",$C$5="B"),AND(H117="Plan B",$C$5="A")),0,IF(OR(G117="per student",G117="per group",G117="per class"),E117*IF(B117="Year 7",$C$3,$C$4),E117)))</f>
        <v>24</v>
      </c>
      <c r="J117" s="15" t="s">
        <v>13</v>
      </c>
      <c r="K117" s="14" t="n">
        <v>2</v>
      </c>
      <c r="L117" s="14" t="n">
        <f aca="false">IF(OR(K117="",O117&lt;&gt;"",I117=""),"",ROUNDUP(I117*K117,0))</f>
        <v>48</v>
      </c>
      <c r="M117" s="15" t="s">
        <v>440</v>
      </c>
      <c r="N117" s="14"/>
      <c r="O117" s="15"/>
      <c r="P117" s="15" t="s">
        <v>45</v>
      </c>
      <c r="Q117" s="13" t="s">
        <v>441</v>
      </c>
      <c r="R117" s="14"/>
    </row>
    <row r="118" customFormat="false" ht="57.45" hidden="false" customHeight="false" outlineLevel="0" collapsed="false">
      <c r="A118" s="14" t="n">
        <v>2</v>
      </c>
      <c r="B118" s="15" t="s">
        <v>153</v>
      </c>
      <c r="C118" s="15" t="s">
        <v>40</v>
      </c>
      <c r="D118" s="15" t="s">
        <v>442</v>
      </c>
      <c r="E118" s="14" t="n">
        <v>7</v>
      </c>
      <c r="F118" s="15" t="s">
        <v>443</v>
      </c>
      <c r="G118" s="14" t="s">
        <v>66</v>
      </c>
      <c r="H118" s="14"/>
      <c r="I118" s="14" t="n">
        <f aca="false">IF(E118="","",IF(OR(AND(H118="Plan A",$C$5="B"),AND(H118="Plan B",$C$5="A")),0,IF(OR(G118="per student",G118="per group",G118="per class"),E118*IF(B118="Year 7",$C$3,$C$4),E118)))</f>
        <v>7</v>
      </c>
      <c r="J118" s="15" t="s">
        <v>13</v>
      </c>
      <c r="K118" s="14" t="n">
        <v>1</v>
      </c>
      <c r="L118" s="14" t="n">
        <f aca="false">IF(OR(K118="",O118&lt;&gt;"",I118=""),"",ROUNDUP(I118*K118,0))</f>
        <v>7</v>
      </c>
      <c r="M118" s="15" t="s">
        <v>444</v>
      </c>
      <c r="N118" s="14"/>
      <c r="O118" s="15"/>
      <c r="P118" s="15" t="s">
        <v>45</v>
      </c>
      <c r="Q118" s="13" t="s">
        <v>445</v>
      </c>
      <c r="R118" s="14"/>
    </row>
    <row r="119" customFormat="false" ht="46.25" hidden="false" customHeight="false" outlineLevel="0" collapsed="false">
      <c r="A119" s="14" t="n">
        <v>2</v>
      </c>
      <c r="B119" s="15" t="s">
        <v>153</v>
      </c>
      <c r="C119" s="15" t="s">
        <v>40</v>
      </c>
      <c r="D119" s="15" t="s">
        <v>446</v>
      </c>
      <c r="E119" s="14" t="n">
        <v>1</v>
      </c>
      <c r="F119" s="15" t="s">
        <v>447</v>
      </c>
      <c r="G119" s="14" t="s">
        <v>127</v>
      </c>
      <c r="H119" s="14"/>
      <c r="I119" s="14" t="n">
        <f aca="false">IF(E119="","",IF(OR(AND(H119="Plan A",$C$5="B"),AND(H119="Plan B",$C$5="A")),0,IF(OR(G119="per student",G119="per group",G119="per class"),E119*IF(B119="Year 7",$C$3,$C$4),E119)))</f>
        <v>1</v>
      </c>
      <c r="J119" s="15" t="s">
        <v>20</v>
      </c>
      <c r="K119" s="14" t="n">
        <v>1</v>
      </c>
      <c r="L119" s="14" t="n">
        <f aca="false">IF(OR(K119="",O119&lt;&gt;"",I119=""),"",ROUNDUP(I119*K119,0))</f>
        <v>1</v>
      </c>
      <c r="M119" s="15" t="s">
        <v>448</v>
      </c>
      <c r="N119" s="14"/>
      <c r="O119" s="15"/>
      <c r="P119" s="15" t="s">
        <v>45</v>
      </c>
      <c r="Q119" s="13" t="s">
        <v>449</v>
      </c>
      <c r="R119" s="14"/>
    </row>
    <row r="120" customFormat="false" ht="35.05" hidden="false" customHeight="false" outlineLevel="0" collapsed="false">
      <c r="A120" s="14" t="n">
        <v>2</v>
      </c>
      <c r="B120" s="15" t="s">
        <v>153</v>
      </c>
      <c r="C120" s="15" t="s">
        <v>40</v>
      </c>
      <c r="D120" s="15" t="s">
        <v>450</v>
      </c>
      <c r="E120" s="14" t="n">
        <v>1</v>
      </c>
      <c r="F120" s="15" t="s">
        <v>451</v>
      </c>
      <c r="G120" s="14" t="s">
        <v>57</v>
      </c>
      <c r="H120" s="14"/>
      <c r="I120" s="14" t="n">
        <f aca="false">IF(E120="","",IF(OR(AND(H120="Plan A",$C$5="B"),AND(H120="Plan B",$C$5="A")),0,IF(OR(G120="per student",G120="per group",G120="per class"),E120*IF(B120="Year 7",$C$3,$C$4),E120)))</f>
        <v>1</v>
      </c>
      <c r="J120" s="15" t="s">
        <v>13</v>
      </c>
      <c r="K120" s="14" t="n">
        <v>1</v>
      </c>
      <c r="L120" s="14" t="n">
        <f aca="false">IF(OR(K120="",O120&lt;&gt;"",I120=""),"",ROUNDUP(I120*K120,0))</f>
        <v>1</v>
      </c>
      <c r="M120" s="15" t="s">
        <v>452</v>
      </c>
      <c r="N120" s="14" t="s">
        <v>105</v>
      </c>
      <c r="O120" s="15"/>
      <c r="P120" s="15" t="s">
        <v>45</v>
      </c>
      <c r="Q120" s="13" t="s">
        <v>453</v>
      </c>
      <c r="R120" s="14"/>
    </row>
    <row r="121" customFormat="false" ht="35.05" hidden="false" customHeight="false" outlineLevel="0" collapsed="false">
      <c r="A121" s="14" t="n">
        <v>2</v>
      </c>
      <c r="B121" s="15" t="s">
        <v>153</v>
      </c>
      <c r="C121" s="15" t="s">
        <v>97</v>
      </c>
      <c r="D121" s="15" t="s">
        <v>454</v>
      </c>
      <c r="E121" s="14" t="n">
        <v>24</v>
      </c>
      <c r="F121" s="15" t="s">
        <v>455</v>
      </c>
      <c r="G121" s="14" t="s">
        <v>43</v>
      </c>
      <c r="H121" s="14"/>
      <c r="I121" s="14" t="n">
        <f aca="false">IF(E121="","",IF(OR(AND(H121="Plan A",$C$5="B"),AND(H121="Plan B",$C$5="A")),0,IF(OR(G121="per student",G121="per group",G121="per class"),E121*IF(B121="Year 7",$C$3,$C$4),E121)))</f>
        <v>24</v>
      </c>
      <c r="J121" s="15" t="s">
        <v>14</v>
      </c>
      <c r="K121" s="14" t="n">
        <v>0.5</v>
      </c>
      <c r="L121" s="14" t="n">
        <f aca="false">IF(OR(K121="",O121&lt;&gt;"",I121=""),"",ROUNDUP(I121*K121,0))</f>
        <v>12</v>
      </c>
      <c r="M121" s="15" t="s">
        <v>456</v>
      </c>
      <c r="N121" s="14"/>
      <c r="O121" s="15"/>
      <c r="P121" s="15" t="s">
        <v>77</v>
      </c>
      <c r="Q121" s="13" t="s">
        <v>457</v>
      </c>
      <c r="R121" s="14"/>
    </row>
    <row r="122" customFormat="false" ht="35.05" hidden="false" customHeight="false" outlineLevel="0" collapsed="false">
      <c r="A122" s="14" t="n">
        <v>2</v>
      </c>
      <c r="B122" s="15" t="s">
        <v>153</v>
      </c>
      <c r="C122" s="15" t="s">
        <v>97</v>
      </c>
      <c r="D122" s="15" t="s">
        <v>458</v>
      </c>
      <c r="E122" s="14" t="n">
        <v>6</v>
      </c>
      <c r="F122" s="15" t="s">
        <v>459</v>
      </c>
      <c r="G122" s="14" t="s">
        <v>66</v>
      </c>
      <c r="H122" s="14"/>
      <c r="I122" s="14" t="n">
        <f aca="false">IF(E122="","",IF(OR(AND(H122="Plan A",$C$5="B"),AND(H122="Plan B",$C$5="A")),0,IF(OR(G122="per student",G122="per group",G122="per class"),E122*IF(B122="Year 7",$C$3,$C$4),E122)))</f>
        <v>6</v>
      </c>
      <c r="J122" s="15"/>
      <c r="K122" s="14"/>
      <c r="L122" s="14" t="str">
        <f aca="false">IF(OR(K122="",O122&lt;&gt;"",I122=""),"",ROUNDUP(I122*K122,0))</f>
        <v/>
      </c>
      <c r="M122" s="15" t="s">
        <v>460</v>
      </c>
      <c r="N122" s="14"/>
      <c r="O122" s="15"/>
      <c r="P122" s="15" t="s">
        <v>77</v>
      </c>
      <c r="Q122" s="13" t="s">
        <v>461</v>
      </c>
      <c r="R122" s="14"/>
    </row>
    <row r="123" customFormat="false" ht="23.85" hidden="false" customHeight="false" outlineLevel="0" collapsed="false">
      <c r="A123" s="14" t="n">
        <v>2</v>
      </c>
      <c r="B123" s="15" t="s">
        <v>153</v>
      </c>
      <c r="C123" s="15" t="s">
        <v>97</v>
      </c>
      <c r="D123" s="15" t="s">
        <v>462</v>
      </c>
      <c r="E123" s="14" t="n">
        <v>24</v>
      </c>
      <c r="F123" s="15" t="s">
        <v>463</v>
      </c>
      <c r="G123" s="14" t="s">
        <v>66</v>
      </c>
      <c r="H123" s="14"/>
      <c r="I123" s="14" t="n">
        <f aca="false">IF(E123="","",IF(OR(AND(H123="Plan A",$C$5="B"),AND(H123="Plan B",$C$5="A")),0,IF(OR(G123="per student",G123="per group",G123="per class"),E123*IF(B123="Year 7",$C$3,$C$4),E123)))</f>
        <v>24</v>
      </c>
      <c r="J123" s="15"/>
      <c r="K123" s="14"/>
      <c r="L123" s="14" t="str">
        <f aca="false">IF(OR(K123="",O123&lt;&gt;"",I123=""),"",ROUNDUP(I123*K123,0))</f>
        <v/>
      </c>
      <c r="M123" s="15" t="s">
        <v>464</v>
      </c>
      <c r="N123" s="14"/>
      <c r="O123" s="15"/>
      <c r="P123" s="15" t="s">
        <v>77</v>
      </c>
      <c r="Q123" s="13" t="s">
        <v>465</v>
      </c>
      <c r="R123" s="14"/>
    </row>
    <row r="124" customFormat="false" ht="23.85" hidden="false" customHeight="false" outlineLevel="0" collapsed="false">
      <c r="A124" s="14" t="n">
        <v>2</v>
      </c>
      <c r="B124" s="15" t="s">
        <v>153</v>
      </c>
      <c r="C124" s="15" t="s">
        <v>97</v>
      </c>
      <c r="D124" s="15" t="s">
        <v>466</v>
      </c>
      <c r="E124" s="14" t="n">
        <v>24</v>
      </c>
      <c r="F124" s="15" t="s">
        <v>467</v>
      </c>
      <c r="G124" s="14" t="s">
        <v>66</v>
      </c>
      <c r="H124" s="14"/>
      <c r="I124" s="14" t="n">
        <f aca="false">IF(E124="","",IF(OR(AND(H124="Plan A",$C$5="B"),AND(H124="Plan B",$C$5="A")),0,IF(OR(G124="per student",G124="per group",G124="per class"),E124*IF(B124="Year 7",$C$3,$C$4),E124)))</f>
        <v>24</v>
      </c>
      <c r="J124" s="15"/>
      <c r="K124" s="14"/>
      <c r="L124" s="14" t="str">
        <f aca="false">IF(OR(K124="",O124&lt;&gt;"",I124=""),"",ROUNDUP(I124*K124,0))</f>
        <v/>
      </c>
      <c r="M124" s="15" t="s">
        <v>468</v>
      </c>
      <c r="N124" s="14"/>
      <c r="O124" s="15"/>
      <c r="P124" s="15" t="s">
        <v>77</v>
      </c>
      <c r="Q124" s="13" t="s">
        <v>469</v>
      </c>
      <c r="R124" s="14"/>
    </row>
    <row r="125" customFormat="false" ht="23.85" hidden="false" customHeight="false" outlineLevel="0" collapsed="false">
      <c r="A125" s="14" t="n">
        <v>2</v>
      </c>
      <c r="B125" s="15" t="s">
        <v>153</v>
      </c>
      <c r="C125" s="15" t="s">
        <v>97</v>
      </c>
      <c r="D125" s="15" t="s">
        <v>470</v>
      </c>
      <c r="E125" s="14" t="n">
        <v>24</v>
      </c>
      <c r="F125" s="15" t="s">
        <v>248</v>
      </c>
      <c r="G125" s="14" t="s">
        <v>43</v>
      </c>
      <c r="H125" s="14"/>
      <c r="I125" s="14" t="n">
        <f aca="false">IF(E125="","",IF(OR(AND(H125="Plan A",$C$5="B"),AND(H125="Plan B",$C$5="A")),0,IF(OR(G125="per student",G125="per group",G125="per class"),E125*IF(B125="Year 7",$C$3,$C$4),E125)))</f>
        <v>24</v>
      </c>
      <c r="J125" s="15"/>
      <c r="K125" s="14"/>
      <c r="L125" s="14" t="str">
        <f aca="false">IF(OR(K125="",O125&lt;&gt;"",I125=""),"",ROUNDUP(I125*K125,0))</f>
        <v/>
      </c>
      <c r="M125" s="15" t="s">
        <v>471</v>
      </c>
      <c r="N125" s="14"/>
      <c r="O125" s="15" t="s">
        <v>472</v>
      </c>
      <c r="P125" s="15" t="s">
        <v>376</v>
      </c>
      <c r="Q125" s="15"/>
      <c r="R125" s="14"/>
    </row>
    <row r="126" customFormat="false" ht="35.05" hidden="false" customHeight="false" outlineLevel="0" collapsed="false">
      <c r="A126" s="14" t="n">
        <v>2</v>
      </c>
      <c r="B126" s="15" t="s">
        <v>153</v>
      </c>
      <c r="C126" s="15" t="s">
        <v>97</v>
      </c>
      <c r="D126" s="15" t="s">
        <v>473</v>
      </c>
      <c r="E126" s="14" t="n">
        <v>24</v>
      </c>
      <c r="F126" s="15" t="s">
        <v>314</v>
      </c>
      <c r="G126" s="14" t="s">
        <v>43</v>
      </c>
      <c r="H126" s="14"/>
      <c r="I126" s="14" t="n">
        <f aca="false">IF(E126="","",IF(OR(AND(H126="Plan A",$C$5="B"),AND(H126="Plan B",$C$5="A")),0,IF(OR(G126="per student",G126="per group",G126="per class"),E126*IF(B126="Year 7",$C$3,$C$4),E126)))</f>
        <v>24</v>
      </c>
      <c r="J126" s="15"/>
      <c r="K126" s="14"/>
      <c r="L126" s="14" t="str">
        <f aca="false">IF(OR(K126="",O126&lt;&gt;"",I126=""),"",ROUNDUP(I126*K126,0))</f>
        <v/>
      </c>
      <c r="M126" s="15" t="s">
        <v>474</v>
      </c>
      <c r="N126" s="14"/>
      <c r="O126" s="15" t="s">
        <v>475</v>
      </c>
      <c r="P126" s="15" t="s">
        <v>376</v>
      </c>
      <c r="Q126" s="13" t="s">
        <v>476</v>
      </c>
      <c r="R126" s="14"/>
    </row>
    <row r="127" customFormat="false" ht="35.05" hidden="false" customHeight="false" outlineLevel="0" collapsed="false">
      <c r="A127" s="14" t="n">
        <v>2</v>
      </c>
      <c r="B127" s="15" t="s">
        <v>153</v>
      </c>
      <c r="C127" s="15" t="s">
        <v>97</v>
      </c>
      <c r="D127" s="15" t="s">
        <v>367</v>
      </c>
      <c r="E127" s="14" t="n">
        <v>24</v>
      </c>
      <c r="F127" s="15" t="s">
        <v>368</v>
      </c>
      <c r="G127" s="14" t="s">
        <v>43</v>
      </c>
      <c r="H127" s="14"/>
      <c r="I127" s="14" t="n">
        <f aca="false">IF(E127="","",IF(OR(AND(H127="Plan A",$C$5="B"),AND(H127="Plan B",$C$5="A")),0,IF(OR(G127="per student",G127="per group",G127="per class"),E127*IF(B127="Year 7",$C$3,$C$4),E127)))</f>
        <v>24</v>
      </c>
      <c r="J127" s="15"/>
      <c r="K127" s="14"/>
      <c r="L127" s="14" t="str">
        <f aca="false">IF(OR(K127="",O127&lt;&gt;"",I127=""),"",ROUNDUP(I127*K127,0))</f>
        <v/>
      </c>
      <c r="M127" s="15" t="s">
        <v>477</v>
      </c>
      <c r="N127" s="14"/>
      <c r="O127" s="15" t="s">
        <v>478</v>
      </c>
      <c r="P127" s="15" t="s">
        <v>376</v>
      </c>
      <c r="Q127" s="15"/>
      <c r="R127" s="14"/>
    </row>
    <row r="128" customFormat="false" ht="35.05" hidden="false" customHeight="false" outlineLevel="0" collapsed="false">
      <c r="A128" s="14" t="n">
        <v>2</v>
      </c>
      <c r="B128" s="15" t="s">
        <v>153</v>
      </c>
      <c r="C128" s="15" t="s">
        <v>97</v>
      </c>
      <c r="D128" s="15" t="s">
        <v>479</v>
      </c>
      <c r="E128" s="14" t="n">
        <v>6</v>
      </c>
      <c r="F128" s="15" t="s">
        <v>373</v>
      </c>
      <c r="G128" s="14" t="s">
        <v>66</v>
      </c>
      <c r="H128" s="14"/>
      <c r="I128" s="14" t="n">
        <f aca="false">IF(E128="","",IF(OR(AND(H128="Plan A",$C$5="B"),AND(H128="Plan B",$C$5="A")),0,IF(OR(G128="per student",G128="per group",G128="per class"),E128*IF(B128="Year 7",$C$3,$C$4),E128)))</f>
        <v>6</v>
      </c>
      <c r="J128" s="15"/>
      <c r="K128" s="14"/>
      <c r="L128" s="14" t="str">
        <f aca="false">IF(OR(K128="",O128&lt;&gt;"",I128=""),"",ROUNDUP(I128*K128,0))</f>
        <v/>
      </c>
      <c r="M128" s="15" t="s">
        <v>480</v>
      </c>
      <c r="N128" s="14"/>
      <c r="O128" s="15" t="s">
        <v>481</v>
      </c>
      <c r="P128" s="15" t="s">
        <v>376</v>
      </c>
      <c r="Q128" s="13" t="s">
        <v>377</v>
      </c>
      <c r="R128" s="14"/>
    </row>
    <row r="129" customFormat="false" ht="35.05" hidden="false" customHeight="false" outlineLevel="0" collapsed="false">
      <c r="A129" s="14" t="n">
        <v>2</v>
      </c>
      <c r="B129" s="15" t="s">
        <v>153</v>
      </c>
      <c r="C129" s="15" t="s">
        <v>97</v>
      </c>
      <c r="D129" s="15" t="s">
        <v>482</v>
      </c>
      <c r="E129" s="14" t="n">
        <v>6</v>
      </c>
      <c r="F129" s="15" t="s">
        <v>373</v>
      </c>
      <c r="G129" s="14" t="s">
        <v>66</v>
      </c>
      <c r="H129" s="14"/>
      <c r="I129" s="14" t="n">
        <f aca="false">IF(E129="","",IF(OR(AND(H129="Plan A",$C$5="B"),AND(H129="Plan B",$C$5="A")),0,IF(OR(G129="per student",G129="per group",G129="per class"),E129*IF(B129="Year 7",$C$3,$C$4),E129)))</f>
        <v>6</v>
      </c>
      <c r="J129" s="15"/>
      <c r="K129" s="14"/>
      <c r="L129" s="14" t="str">
        <f aca="false">IF(OR(K129="",O129&lt;&gt;"",I129=""),"",ROUNDUP(I129*K129,0))</f>
        <v/>
      </c>
      <c r="M129" s="15" t="s">
        <v>483</v>
      </c>
      <c r="N129" s="14"/>
      <c r="O129" s="15" t="s">
        <v>484</v>
      </c>
      <c r="P129" s="15" t="s">
        <v>376</v>
      </c>
      <c r="Q129" s="15"/>
      <c r="R129" s="14"/>
    </row>
    <row r="130" customFormat="false" ht="23.85" hidden="false" customHeight="false" outlineLevel="0" collapsed="false">
      <c r="A130" s="14" t="n">
        <v>2</v>
      </c>
      <c r="B130" s="15" t="s">
        <v>153</v>
      </c>
      <c r="C130" s="15" t="s">
        <v>97</v>
      </c>
      <c r="D130" s="15" t="s">
        <v>485</v>
      </c>
      <c r="E130" s="14" t="n">
        <v>24</v>
      </c>
      <c r="F130" s="15" t="s">
        <v>368</v>
      </c>
      <c r="G130" s="14" t="s">
        <v>43</v>
      </c>
      <c r="H130" s="14"/>
      <c r="I130" s="14" t="n">
        <f aca="false">IF(E130="","",IF(OR(AND(H130="Plan A",$C$5="B"),AND(H130="Plan B",$C$5="A")),0,IF(OR(G130="per student",G130="per group",G130="per class"),E130*IF(B130="Year 7",$C$3,$C$4),E130)))</f>
        <v>24</v>
      </c>
      <c r="J130" s="15"/>
      <c r="K130" s="14"/>
      <c r="L130" s="14" t="str">
        <f aca="false">IF(OR(K130="",O130&lt;&gt;"",I130=""),"",ROUNDUP(I130*K130,0))</f>
        <v/>
      </c>
      <c r="M130" s="15" t="s">
        <v>387</v>
      </c>
      <c r="N130" s="14"/>
      <c r="O130" s="15" t="s">
        <v>486</v>
      </c>
      <c r="P130" s="15" t="s">
        <v>376</v>
      </c>
      <c r="Q130" s="13" t="s">
        <v>487</v>
      </c>
      <c r="R130" s="14"/>
    </row>
    <row r="131" customFormat="false" ht="46.25" hidden="false" customHeight="false" outlineLevel="0" collapsed="false">
      <c r="A131" s="14" t="n">
        <v>2</v>
      </c>
      <c r="B131" s="15" t="s">
        <v>153</v>
      </c>
      <c r="C131" s="15" t="s">
        <v>97</v>
      </c>
      <c r="D131" s="15" t="s">
        <v>382</v>
      </c>
      <c r="E131" s="14" t="n">
        <v>24</v>
      </c>
      <c r="F131" s="15" t="s">
        <v>117</v>
      </c>
      <c r="G131" s="14" t="s">
        <v>43</v>
      </c>
      <c r="H131" s="14"/>
      <c r="I131" s="14" t="n">
        <f aca="false">IF(E131="","",IF(OR(AND(H131="Plan A",$C$5="B"),AND(H131="Plan B",$C$5="A")),0,IF(OR(G131="per student",G131="per group",G131="per class"),E131*IF(B131="Year 7",$C$3,$C$4),E131)))</f>
        <v>24</v>
      </c>
      <c r="J131" s="15"/>
      <c r="K131" s="14"/>
      <c r="L131" s="14" t="str">
        <f aca="false">IF(OR(K131="",O131&lt;&gt;"",I131=""),"",ROUNDUP(I131*K131,0))</f>
        <v/>
      </c>
      <c r="M131" s="15" t="s">
        <v>488</v>
      </c>
      <c r="N131" s="14"/>
      <c r="O131" s="15" t="s">
        <v>489</v>
      </c>
      <c r="P131" s="15" t="s">
        <v>376</v>
      </c>
      <c r="Q131" s="13" t="s">
        <v>490</v>
      </c>
      <c r="R131" s="14"/>
    </row>
    <row r="132" customFormat="false" ht="23.85" hidden="false" customHeight="false" outlineLevel="0" collapsed="false">
      <c r="A132" s="14" t="n">
        <v>2</v>
      </c>
      <c r="B132" s="15" t="s">
        <v>153</v>
      </c>
      <c r="C132" s="15" t="s">
        <v>124</v>
      </c>
      <c r="D132" s="15" t="s">
        <v>491</v>
      </c>
      <c r="E132" s="14" t="n">
        <v>12</v>
      </c>
      <c r="F132" s="15" t="s">
        <v>492</v>
      </c>
      <c r="G132" s="14" t="s">
        <v>66</v>
      </c>
      <c r="H132" s="14"/>
      <c r="I132" s="14" t="n">
        <f aca="false">IF(E132="","",IF(OR(AND(H132="Plan A",$C$5="B"),AND(H132="Plan B",$C$5="A")),0,IF(OR(G132="per student",G132="per group",G132="per class"),E132*IF(B132="Year 7",$C$3,$C$4),E132)))</f>
        <v>12</v>
      </c>
      <c r="J132" s="15"/>
      <c r="K132" s="14"/>
      <c r="L132" s="14" t="str">
        <f aca="false">IF(OR(K132="",O132&lt;&gt;"",I132=""),"",ROUNDUP(I132*K132,0))</f>
        <v/>
      </c>
      <c r="M132" s="15" t="s">
        <v>493</v>
      </c>
      <c r="N132" s="14"/>
      <c r="O132" s="15"/>
      <c r="P132" s="15" t="s">
        <v>77</v>
      </c>
      <c r="Q132" s="13" t="s">
        <v>494</v>
      </c>
      <c r="R132" s="14"/>
    </row>
    <row r="133" customFormat="false" ht="15" hidden="false" customHeight="false" outlineLevel="0" collapsed="false">
      <c r="A133" s="14" t="n">
        <v>2</v>
      </c>
      <c r="B133" s="15" t="s">
        <v>153</v>
      </c>
      <c r="C133" s="15" t="s">
        <v>124</v>
      </c>
      <c r="D133" s="15" t="s">
        <v>495</v>
      </c>
      <c r="E133" s="14" t="n">
        <v>6</v>
      </c>
      <c r="F133" s="15" t="s">
        <v>496</v>
      </c>
      <c r="G133" s="14" t="s">
        <v>66</v>
      </c>
      <c r="H133" s="14"/>
      <c r="I133" s="14" t="n">
        <f aca="false">IF(E133="","",IF(OR(AND(H133="Plan A",$C$5="B"),AND(H133="Plan B",$C$5="A")),0,IF(OR(G133="per student",G133="per group",G133="per class"),E133*IF(B133="Year 7",$C$3,$C$4),E133)))</f>
        <v>6</v>
      </c>
      <c r="J133" s="15"/>
      <c r="K133" s="14"/>
      <c r="L133" s="14" t="str">
        <f aca="false">IF(OR(K133="",O133&lt;&gt;"",I133=""),"",ROUNDUP(I133*K133,0))</f>
        <v/>
      </c>
      <c r="M133" s="15" t="s">
        <v>497</v>
      </c>
      <c r="N133" s="14"/>
      <c r="O133" s="15"/>
      <c r="P133" s="15" t="s">
        <v>77</v>
      </c>
      <c r="Q133" s="15"/>
      <c r="R133" s="14"/>
    </row>
    <row r="134" customFormat="false" ht="35.05" hidden="false" customHeight="false" outlineLevel="0" collapsed="false">
      <c r="A134" s="14" t="n">
        <v>2</v>
      </c>
      <c r="B134" s="15" t="s">
        <v>153</v>
      </c>
      <c r="C134" s="15" t="s">
        <v>124</v>
      </c>
      <c r="D134" s="15" t="s">
        <v>498</v>
      </c>
      <c r="E134" s="14"/>
      <c r="F134" s="15" t="s">
        <v>499</v>
      </c>
      <c r="G134" s="14" t="s">
        <v>66</v>
      </c>
      <c r="H134" s="14"/>
      <c r="I134" s="14" t="str">
        <f aca="false">IF(E134="","",IF(OR(AND(H134="Plan A",$C$5="B"),AND(H134="Plan B",$C$5="A")),0,IF(OR(G134="per student",G134="per group",G134="per class"),E134*IF(B134="Year 7",$C$3,$C$4),E134)))</f>
        <v/>
      </c>
      <c r="J134" s="15"/>
      <c r="K134" s="14"/>
      <c r="L134" s="14" t="str">
        <f aca="false">IF(OR(K134="",O134&lt;&gt;"",I134=""),"",ROUNDUP(I134*K134,0))</f>
        <v/>
      </c>
      <c r="M134" s="15" t="s">
        <v>500</v>
      </c>
      <c r="N134" s="14"/>
      <c r="O134" s="15"/>
      <c r="P134" s="13" t="s">
        <v>91</v>
      </c>
      <c r="Q134" s="13" t="s">
        <v>501</v>
      </c>
      <c r="R134" s="14"/>
    </row>
    <row r="135" customFormat="false" ht="23.85" hidden="false" customHeight="false" outlineLevel="0" collapsed="false">
      <c r="A135" s="14" t="n">
        <v>2</v>
      </c>
      <c r="B135" s="15" t="s">
        <v>153</v>
      </c>
      <c r="C135" s="15" t="s">
        <v>124</v>
      </c>
      <c r="D135" s="15" t="s">
        <v>502</v>
      </c>
      <c r="E135" s="14" t="n">
        <v>1</v>
      </c>
      <c r="F135" s="15" t="s">
        <v>503</v>
      </c>
      <c r="G135" s="14" t="s">
        <v>75</v>
      </c>
      <c r="H135" s="14"/>
      <c r="I135" s="14" t="n">
        <f aca="false">IF(E135="","",IF(OR(AND(H135="Plan A",$C$5="B"),AND(H135="Plan B",$C$5="A")),0,IF(OR(G135="per student",G135="per group",G135="per class"),E135*IF(B135="Year 7",$C$3,$C$4),E135)))</f>
        <v>1</v>
      </c>
      <c r="J135" s="15"/>
      <c r="K135" s="14"/>
      <c r="L135" s="14" t="str">
        <f aca="false">IF(OR(K135="",O135&lt;&gt;"",I135=""),"",ROUNDUP(I135*K135,0))</f>
        <v/>
      </c>
      <c r="M135" s="15" t="s">
        <v>504</v>
      </c>
      <c r="N135" s="14"/>
      <c r="O135" s="15"/>
      <c r="P135" s="15" t="s">
        <v>133</v>
      </c>
      <c r="Q135" s="13" t="s">
        <v>505</v>
      </c>
      <c r="R135" s="14"/>
    </row>
    <row r="136" customFormat="false" ht="35.05" hidden="false" customHeight="false" outlineLevel="0" collapsed="false">
      <c r="A136" s="14" t="n">
        <v>2</v>
      </c>
      <c r="B136" s="15" t="s">
        <v>153</v>
      </c>
      <c r="C136" s="15" t="s">
        <v>124</v>
      </c>
      <c r="D136" s="15" t="s">
        <v>506</v>
      </c>
      <c r="E136" s="14" t="n">
        <v>1</v>
      </c>
      <c r="F136" s="15" t="s">
        <v>270</v>
      </c>
      <c r="G136" s="14" t="s">
        <v>57</v>
      </c>
      <c r="H136" s="14"/>
      <c r="I136" s="14" t="n">
        <f aca="false">IF(E136="","",IF(OR(AND(H136="Plan A",$C$5="B"),AND(H136="Plan B",$C$5="A")),0,IF(OR(G136="per student",G136="per group",G136="per class"),E136*IF(B136="Year 7",$C$3,$C$4),E136)))</f>
        <v>1</v>
      </c>
      <c r="J136" s="15"/>
      <c r="K136" s="14"/>
      <c r="L136" s="14" t="str">
        <f aca="false">IF(OR(K136="",O136&lt;&gt;"",I136=""),"",ROUNDUP(I136*K136,0))</f>
        <v/>
      </c>
      <c r="M136" s="15" t="s">
        <v>507</v>
      </c>
      <c r="N136" s="14" t="s">
        <v>105</v>
      </c>
      <c r="O136" s="15" t="s">
        <v>508</v>
      </c>
      <c r="P136" s="13" t="s">
        <v>91</v>
      </c>
      <c r="Q136" s="13" t="s">
        <v>509</v>
      </c>
      <c r="R136" s="14"/>
    </row>
    <row r="137" customFormat="false" ht="15" hidden="false" customHeight="false" outlineLevel="0" collapsed="false">
      <c r="A137" s="14" t="n">
        <v>2</v>
      </c>
      <c r="B137" s="15" t="s">
        <v>153</v>
      </c>
      <c r="C137" s="15" t="s">
        <v>124</v>
      </c>
      <c r="D137" s="15" t="s">
        <v>125</v>
      </c>
      <c r="E137" s="14" t="n">
        <v>1</v>
      </c>
      <c r="F137" s="15" t="s">
        <v>267</v>
      </c>
      <c r="G137" s="14" t="s">
        <v>127</v>
      </c>
      <c r="H137" s="14"/>
      <c r="I137" s="14" t="n">
        <f aca="false">IF(E137="","",IF(OR(AND(H137="Plan A",$C$5="B"),AND(H137="Plan B",$C$5="A")),0,IF(OR(G137="per student",G137="per group",G137="per class"),E137*IF(B137="Year 7",$C$3,$C$4),E137)))</f>
        <v>1</v>
      </c>
      <c r="J137" s="15"/>
      <c r="K137" s="14"/>
      <c r="L137" s="14" t="str">
        <f aca="false">IF(OR(K137="",O137&lt;&gt;"",I137=""),"",ROUNDUP(I137*K137,0))</f>
        <v/>
      </c>
      <c r="M137" s="15" t="s">
        <v>510</v>
      </c>
      <c r="N137" s="14"/>
      <c r="O137" s="15" t="s">
        <v>391</v>
      </c>
      <c r="P137" s="15" t="s">
        <v>376</v>
      </c>
      <c r="Q137" s="15"/>
      <c r="R137" s="14"/>
    </row>
    <row r="138" customFormat="false" ht="35.05" hidden="false" customHeight="false" outlineLevel="0" collapsed="false">
      <c r="A138" s="14" t="n">
        <v>2</v>
      </c>
      <c r="B138" s="15" t="s">
        <v>153</v>
      </c>
      <c r="C138" s="15" t="s">
        <v>294</v>
      </c>
      <c r="D138" s="15" t="s">
        <v>511</v>
      </c>
      <c r="E138" s="14"/>
      <c r="F138" s="15" t="s">
        <v>512</v>
      </c>
      <c r="G138" s="14" t="s">
        <v>66</v>
      </c>
      <c r="H138" s="14"/>
      <c r="I138" s="14" t="str">
        <f aca="false">IF(E138="","",IF(OR(AND(H138="Plan A",$C$5="B"),AND(H138="Plan B",$C$5="A")),0,IF(OR(G138="per student",G138="per group",G138="per class"),E138*IF(B138="Year 7",$C$3,$C$4),E138)))</f>
        <v/>
      </c>
      <c r="J138" s="15"/>
      <c r="K138" s="14"/>
      <c r="L138" s="14" t="str">
        <f aca="false">IF(OR(K138="",O138&lt;&gt;"",I138=""),"",ROUNDUP(I138*K138,0))</f>
        <v/>
      </c>
      <c r="M138" s="15" t="s">
        <v>513</v>
      </c>
      <c r="N138" s="14"/>
      <c r="O138" s="15"/>
      <c r="P138" s="13" t="s">
        <v>91</v>
      </c>
      <c r="Q138" s="13" t="s">
        <v>514</v>
      </c>
      <c r="R138" s="14"/>
    </row>
    <row r="139" customFormat="false" ht="38.05" hidden="false" customHeight="false" outlineLevel="0" collapsed="false">
      <c r="A139" s="14" t="n">
        <v>2</v>
      </c>
      <c r="B139" s="15" t="s">
        <v>153</v>
      </c>
      <c r="C139" s="15" t="s">
        <v>144</v>
      </c>
      <c r="D139" s="15" t="s">
        <v>515</v>
      </c>
      <c r="E139" s="14" t="n">
        <v>1</v>
      </c>
      <c r="F139" s="15" t="s">
        <v>516</v>
      </c>
      <c r="G139" s="14" t="s">
        <v>127</v>
      </c>
      <c r="H139" s="14"/>
      <c r="I139" s="14" t="n">
        <f aca="false">IF(E139="","",IF(OR(AND(H139="Plan A",$C$5="B"),AND(H139="Plan B",$C$5="A")),0,IF(OR(G139="per student",G139="per group",G139="per class"),E139*IF(B139="Year 7",$C$3,$C$4),E139)))</f>
        <v>1</v>
      </c>
      <c r="J139" s="15"/>
      <c r="K139" s="14"/>
      <c r="L139" s="14" t="str">
        <f aca="false">IF(OR(K139="",O139&lt;&gt;"",I139=""),"",ROUNDUP(I139*K139,0))</f>
        <v/>
      </c>
      <c r="M139" s="15" t="s">
        <v>517</v>
      </c>
      <c r="N139" s="14"/>
      <c r="O139" s="15"/>
      <c r="P139" s="15" t="s">
        <v>138</v>
      </c>
      <c r="Q139" s="13" t="s">
        <v>518</v>
      </c>
      <c r="R139" s="14"/>
    </row>
    <row r="140" customFormat="false" ht="23.85" hidden="false" customHeight="false" outlineLevel="0" collapsed="false">
      <c r="A140" s="14" t="n">
        <v>2</v>
      </c>
      <c r="B140" s="15" t="s">
        <v>153</v>
      </c>
      <c r="C140" s="15" t="s">
        <v>144</v>
      </c>
      <c r="D140" s="15" t="s">
        <v>519</v>
      </c>
      <c r="E140" s="14" t="n">
        <v>1</v>
      </c>
      <c r="F140" s="15" t="s">
        <v>520</v>
      </c>
      <c r="G140" s="14" t="s">
        <v>57</v>
      </c>
      <c r="H140" s="14"/>
      <c r="I140" s="14" t="n">
        <f aca="false">IF(E140="","",IF(OR(AND(H140="Plan A",$C$5="B"),AND(H140="Plan B",$C$5="A")),0,IF(OR(G140="per student",G140="per group",G140="per class"),E140*IF(B140="Year 7",$C$3,$C$4),E140)))</f>
        <v>1</v>
      </c>
      <c r="J140" s="15"/>
      <c r="K140" s="14"/>
      <c r="L140" s="14" t="str">
        <f aca="false">IF(OR(K140="",O140&lt;&gt;"",I140=""),"",ROUNDUP(I140*K140,0))</f>
        <v/>
      </c>
      <c r="M140" s="15" t="s">
        <v>521</v>
      </c>
      <c r="N140" s="14" t="s">
        <v>105</v>
      </c>
      <c r="O140" s="15"/>
      <c r="P140" s="13" t="s">
        <v>91</v>
      </c>
      <c r="Q140" s="13" t="s">
        <v>522</v>
      </c>
      <c r="R140" s="14"/>
    </row>
    <row r="141" customFormat="false" ht="46.25" hidden="false" customHeight="false" outlineLevel="0" collapsed="false">
      <c r="A141" s="11" t="n">
        <v>3</v>
      </c>
      <c r="B141" s="12" t="s">
        <v>39</v>
      </c>
      <c r="C141" s="12" t="s">
        <v>40</v>
      </c>
      <c r="D141" s="12" t="s">
        <v>523</v>
      </c>
      <c r="E141" s="11" t="n">
        <v>24</v>
      </c>
      <c r="F141" s="12" t="s">
        <v>524</v>
      </c>
      <c r="G141" s="11" t="s">
        <v>43</v>
      </c>
      <c r="H141" s="11"/>
      <c r="I141" s="11" t="n">
        <f aca="false">IF(E141="","",IF(OR(AND(H141="Plan A",$C$5="B"),AND(H141="Plan B",$C$5="A")),0,IF(OR(G141="per student",G141="per group",G141="per class"),E141*IF(B141="Year 7",$C$3,$C$4),E141)))</f>
        <v>24</v>
      </c>
      <c r="J141" s="12" t="s">
        <v>13</v>
      </c>
      <c r="K141" s="11" t="n">
        <v>3</v>
      </c>
      <c r="L141" s="11" t="n">
        <f aca="false">IF(OR(K141="",O141&lt;&gt;"",I141=""),"",ROUNDUP(I141*K141,0))</f>
        <v>72</v>
      </c>
      <c r="M141" s="12" t="s">
        <v>525</v>
      </c>
      <c r="N141" s="11"/>
      <c r="O141" s="12"/>
      <c r="P141" s="12" t="s">
        <v>45</v>
      </c>
      <c r="Q141" s="13" t="s">
        <v>526</v>
      </c>
      <c r="R141" s="11"/>
    </row>
    <row r="142" customFormat="false" ht="57.45" hidden="false" customHeight="false" outlineLevel="0" collapsed="false">
      <c r="A142" s="11" t="n">
        <v>3</v>
      </c>
      <c r="B142" s="12" t="s">
        <v>39</v>
      </c>
      <c r="C142" s="12" t="s">
        <v>40</v>
      </c>
      <c r="D142" s="12" t="s">
        <v>527</v>
      </c>
      <c r="E142" s="11" t="n">
        <v>6</v>
      </c>
      <c r="F142" s="12" t="s">
        <v>528</v>
      </c>
      <c r="G142" s="11" t="s">
        <v>66</v>
      </c>
      <c r="H142" s="11"/>
      <c r="I142" s="11" t="n">
        <f aca="false">IF(E142="","",IF(OR(AND(H142="Plan A",$C$5="B"),AND(H142="Plan B",$C$5="A")),0,IF(OR(G142="per student",G142="per group",G142="per class"),E142*IF(B142="Year 7",$C$3,$C$4),E142)))</f>
        <v>6</v>
      </c>
      <c r="J142" s="12" t="s">
        <v>13</v>
      </c>
      <c r="K142" s="11" t="n">
        <v>1</v>
      </c>
      <c r="L142" s="11" t="n">
        <f aca="false">IF(OR(K142="",O142&lt;&gt;"",I142=""),"",ROUNDUP(I142*K142,0))</f>
        <v>6</v>
      </c>
      <c r="M142" s="12" t="s">
        <v>529</v>
      </c>
      <c r="N142" s="11"/>
      <c r="O142" s="12"/>
      <c r="P142" s="12" t="s">
        <v>45</v>
      </c>
      <c r="Q142" s="13" t="s">
        <v>530</v>
      </c>
      <c r="R142" s="11"/>
    </row>
    <row r="143" customFormat="false" ht="35.05" hidden="false" customHeight="false" outlineLevel="0" collapsed="false">
      <c r="A143" s="11" t="n">
        <v>3</v>
      </c>
      <c r="B143" s="12" t="s">
        <v>39</v>
      </c>
      <c r="C143" s="12" t="s">
        <v>40</v>
      </c>
      <c r="D143" s="12" t="s">
        <v>531</v>
      </c>
      <c r="E143" s="11" t="n">
        <v>1</v>
      </c>
      <c r="F143" s="12" t="s">
        <v>180</v>
      </c>
      <c r="G143" s="11" t="s">
        <v>57</v>
      </c>
      <c r="H143" s="11"/>
      <c r="I143" s="11" t="n">
        <f aca="false">IF(E143="","",IF(OR(AND(H143="Plan A",$C$5="B"),AND(H143="Plan B",$C$5="A")),0,IF(OR(G143="per student",G143="per group",G143="per class"),E143*IF(B143="Year 7",$C$3,$C$4),E143)))</f>
        <v>1</v>
      </c>
      <c r="J143" s="12" t="s">
        <v>20</v>
      </c>
      <c r="K143" s="11" t="n">
        <v>1</v>
      </c>
      <c r="L143" s="11" t="n">
        <f aca="false">IF(OR(K143="",O143&lt;&gt;"",I143=""),"",ROUNDUP(I143*K143,0))</f>
        <v>1</v>
      </c>
      <c r="M143" s="12" t="s">
        <v>532</v>
      </c>
      <c r="N143" s="11"/>
      <c r="O143" s="12"/>
      <c r="P143" s="12" t="s">
        <v>45</v>
      </c>
      <c r="Q143" s="13" t="s">
        <v>533</v>
      </c>
      <c r="R143" s="11"/>
    </row>
    <row r="144" customFormat="false" ht="57.45" hidden="false" customHeight="false" outlineLevel="0" collapsed="false">
      <c r="A144" s="11" t="n">
        <v>3</v>
      </c>
      <c r="B144" s="12" t="s">
        <v>39</v>
      </c>
      <c r="C144" s="12" t="s">
        <v>97</v>
      </c>
      <c r="D144" s="12" t="s">
        <v>534</v>
      </c>
      <c r="E144" s="11" t="n">
        <v>9</v>
      </c>
      <c r="F144" s="12" t="s">
        <v>535</v>
      </c>
      <c r="G144" s="11" t="s">
        <v>66</v>
      </c>
      <c r="H144" s="11"/>
      <c r="I144" s="11" t="n">
        <f aca="false">IF(E144="","",IF(OR(AND(H144="Plan A",$C$5="B"),AND(H144="Plan B",$C$5="A")),0,IF(OR(G144="per student",G144="per group",G144="per class"),E144*IF(B144="Year 7",$C$3,$C$4),E144)))</f>
        <v>9</v>
      </c>
      <c r="J144" s="12" t="s">
        <v>14</v>
      </c>
      <c r="K144" s="11" t="n">
        <v>1</v>
      </c>
      <c r="L144" s="11" t="n">
        <f aca="false">IF(OR(K144="",O144&lt;&gt;"",I144=""),"",ROUNDUP(I144*K144,0))</f>
        <v>9</v>
      </c>
      <c r="M144" s="12" t="s">
        <v>536</v>
      </c>
      <c r="N144" s="11"/>
      <c r="O144" s="12"/>
      <c r="P144" s="12" t="s">
        <v>77</v>
      </c>
      <c r="Q144" s="13" t="s">
        <v>537</v>
      </c>
      <c r="R144" s="11"/>
    </row>
    <row r="145" customFormat="false" ht="23.85" hidden="false" customHeight="false" outlineLevel="0" collapsed="false">
      <c r="A145" s="11" t="n">
        <v>3</v>
      </c>
      <c r="B145" s="12" t="s">
        <v>39</v>
      </c>
      <c r="C145" s="12" t="s">
        <v>97</v>
      </c>
      <c r="D145" s="12" t="s">
        <v>538</v>
      </c>
      <c r="E145" s="11" t="n">
        <v>6</v>
      </c>
      <c r="F145" s="12" t="s">
        <v>355</v>
      </c>
      <c r="G145" s="11" t="s">
        <v>66</v>
      </c>
      <c r="H145" s="11"/>
      <c r="I145" s="11" t="n">
        <f aca="false">IF(E145="","",IF(OR(AND(H145="Plan A",$C$5="B"),AND(H145="Plan B",$C$5="A")),0,IF(OR(G145="per student",G145="per group",G145="per class"),E145*IF(B145="Year 7",$C$3,$C$4),E145)))</f>
        <v>6</v>
      </c>
      <c r="J145" s="12"/>
      <c r="K145" s="11"/>
      <c r="L145" s="11" t="str">
        <f aca="false">IF(OR(K145="",O145&lt;&gt;"",I145=""),"",ROUNDUP(I145*K145,0))</f>
        <v/>
      </c>
      <c r="M145" s="12" t="s">
        <v>539</v>
      </c>
      <c r="N145" s="11"/>
      <c r="O145" s="12"/>
      <c r="P145" s="12" t="s">
        <v>77</v>
      </c>
      <c r="Q145" s="13" t="s">
        <v>540</v>
      </c>
      <c r="R145" s="11"/>
    </row>
    <row r="146" customFormat="false" ht="35.05" hidden="false" customHeight="false" outlineLevel="0" collapsed="false">
      <c r="A146" s="11" t="n">
        <v>3</v>
      </c>
      <c r="B146" s="12" t="s">
        <v>39</v>
      </c>
      <c r="C146" s="12" t="s">
        <v>97</v>
      </c>
      <c r="D146" s="12" t="s">
        <v>253</v>
      </c>
      <c r="E146" s="11" t="n">
        <v>1</v>
      </c>
      <c r="F146" s="12" t="s">
        <v>357</v>
      </c>
      <c r="G146" s="11" t="s">
        <v>75</v>
      </c>
      <c r="H146" s="11"/>
      <c r="I146" s="11" t="n">
        <f aca="false">IF(E146="","",IF(OR(AND(H146="Plan A",$C$5="B"),AND(H146="Plan B",$C$5="A")),0,IF(OR(G146="per student",G146="per group",G146="per class"),E146*IF(B146="Year 7",$C$3,$C$4),E146)))</f>
        <v>1</v>
      </c>
      <c r="J146" s="12"/>
      <c r="K146" s="11"/>
      <c r="L146" s="11" t="str">
        <f aca="false">IF(OR(K146="",O146&lt;&gt;"",I146=""),"",ROUNDUP(I146*K146,0))</f>
        <v/>
      </c>
      <c r="M146" s="12" t="s">
        <v>541</v>
      </c>
      <c r="N146" s="11"/>
      <c r="O146" s="12"/>
      <c r="P146" s="12" t="s">
        <v>77</v>
      </c>
      <c r="Q146" s="13" t="s">
        <v>542</v>
      </c>
      <c r="R146" s="11"/>
    </row>
    <row r="147" customFormat="false" ht="23.85" hidden="false" customHeight="false" outlineLevel="0" collapsed="false">
      <c r="A147" s="11" t="n">
        <v>3</v>
      </c>
      <c r="B147" s="12" t="s">
        <v>39</v>
      </c>
      <c r="C147" s="12" t="s">
        <v>97</v>
      </c>
      <c r="D147" s="12" t="s">
        <v>360</v>
      </c>
      <c r="E147" s="11" t="n">
        <v>1</v>
      </c>
      <c r="F147" s="12" t="s">
        <v>361</v>
      </c>
      <c r="G147" s="11" t="s">
        <v>75</v>
      </c>
      <c r="H147" s="11"/>
      <c r="I147" s="11" t="n">
        <f aca="false">IF(E147="","",IF(OR(AND(H147="Plan A",$C$5="B"),AND(H147="Plan B",$C$5="A")),0,IF(OR(G147="per student",G147="per group",G147="per class"),E147*IF(B147="Year 7",$C$3,$C$4),E147)))</f>
        <v>1</v>
      </c>
      <c r="J147" s="12"/>
      <c r="K147" s="11"/>
      <c r="L147" s="11" t="str">
        <f aca="false">IF(OR(K147="",O147&lt;&gt;"",I147=""),"",ROUNDUP(I147*K147,0))</f>
        <v/>
      </c>
      <c r="M147" s="12" t="s">
        <v>543</v>
      </c>
      <c r="N147" s="11"/>
      <c r="O147" s="12" t="s">
        <v>544</v>
      </c>
      <c r="P147" s="12" t="s">
        <v>376</v>
      </c>
      <c r="Q147" s="13" t="s">
        <v>545</v>
      </c>
      <c r="R147" s="11"/>
    </row>
    <row r="148" customFormat="false" ht="35.05" hidden="false" customHeight="false" outlineLevel="0" collapsed="false">
      <c r="A148" s="11" t="n">
        <v>3</v>
      </c>
      <c r="B148" s="12" t="s">
        <v>39</v>
      </c>
      <c r="C148" s="12" t="s">
        <v>97</v>
      </c>
      <c r="D148" s="12" t="s">
        <v>120</v>
      </c>
      <c r="E148" s="11" t="n">
        <v>24</v>
      </c>
      <c r="F148" s="12" t="s">
        <v>546</v>
      </c>
      <c r="G148" s="11" t="s">
        <v>43</v>
      </c>
      <c r="H148" s="11"/>
      <c r="I148" s="11" t="n">
        <f aca="false">IF(E148="","",IF(OR(AND(H148="Plan A",$C$5="B"),AND(H148="Plan B",$C$5="A")),0,IF(OR(G148="per student",G148="per group",G148="per class"),E148*IF(B148="Year 7",$C$3,$C$4),E148)))</f>
        <v>24</v>
      </c>
      <c r="J148" s="12"/>
      <c r="K148" s="11"/>
      <c r="L148" s="11" t="str">
        <f aca="false">IF(OR(K148="",O148&lt;&gt;"",I148=""),"",ROUNDUP(I148*K148,0))</f>
        <v/>
      </c>
      <c r="M148" s="12" t="s">
        <v>547</v>
      </c>
      <c r="N148" s="11"/>
      <c r="O148" s="12" t="s">
        <v>548</v>
      </c>
      <c r="P148" s="12" t="s">
        <v>376</v>
      </c>
      <c r="Q148" s="13" t="s">
        <v>549</v>
      </c>
      <c r="R148" s="11"/>
    </row>
    <row r="149" customFormat="false" ht="35.05" hidden="false" customHeight="false" outlineLevel="0" collapsed="false">
      <c r="A149" s="11" t="n">
        <v>3</v>
      </c>
      <c r="B149" s="12" t="s">
        <v>39</v>
      </c>
      <c r="C149" s="12" t="s">
        <v>97</v>
      </c>
      <c r="D149" s="12" t="s">
        <v>550</v>
      </c>
      <c r="E149" s="11" t="n">
        <v>6</v>
      </c>
      <c r="F149" s="12" t="s">
        <v>551</v>
      </c>
      <c r="G149" s="11" t="s">
        <v>66</v>
      </c>
      <c r="H149" s="11"/>
      <c r="I149" s="11" t="n">
        <f aca="false">IF(E149="","",IF(OR(AND(H149="Plan A",$C$5="B"),AND(H149="Plan B",$C$5="A")),0,IF(OR(G149="per student",G149="per group",G149="per class"),E149*IF(B149="Year 7",$C$3,$C$4),E149)))</f>
        <v>6</v>
      </c>
      <c r="J149" s="12"/>
      <c r="K149" s="11"/>
      <c r="L149" s="11" t="str">
        <f aca="false">IF(OR(K149="",O149&lt;&gt;"",I149=""),"",ROUNDUP(I149*K149,0))</f>
        <v/>
      </c>
      <c r="M149" s="12" t="s">
        <v>552</v>
      </c>
      <c r="N149" s="11"/>
      <c r="O149" s="12" t="s">
        <v>553</v>
      </c>
      <c r="P149" s="12" t="s">
        <v>376</v>
      </c>
      <c r="Q149" s="13" t="s">
        <v>554</v>
      </c>
      <c r="R149" s="11"/>
    </row>
    <row r="150" customFormat="false" ht="35.05" hidden="false" customHeight="false" outlineLevel="0" collapsed="false">
      <c r="A150" s="11" t="n">
        <v>3</v>
      </c>
      <c r="B150" s="12" t="s">
        <v>39</v>
      </c>
      <c r="C150" s="12" t="s">
        <v>97</v>
      </c>
      <c r="D150" s="12" t="s">
        <v>555</v>
      </c>
      <c r="E150" s="11" t="n">
        <v>30</v>
      </c>
      <c r="F150" s="12" t="s">
        <v>556</v>
      </c>
      <c r="G150" s="11" t="s">
        <v>43</v>
      </c>
      <c r="H150" s="11"/>
      <c r="I150" s="11" t="n">
        <f aca="false">IF(E150="","",IF(OR(AND(H150="Plan A",$C$5="B"),AND(H150="Plan B",$C$5="A")),0,IF(OR(G150="per student",G150="per group",G150="per class"),E150*IF(B150="Year 7",$C$3,$C$4),E150)))</f>
        <v>30</v>
      </c>
      <c r="J150" s="12"/>
      <c r="K150" s="11"/>
      <c r="L150" s="11" t="str">
        <f aca="false">IF(OR(K150="",O150&lt;&gt;"",I150=""),"",ROUNDUP(I150*K150,0))</f>
        <v/>
      </c>
      <c r="M150" s="12" t="s">
        <v>557</v>
      </c>
      <c r="N150" s="11"/>
      <c r="O150" s="12" t="s">
        <v>553</v>
      </c>
      <c r="P150" s="12" t="s">
        <v>376</v>
      </c>
      <c r="Q150" s="12"/>
      <c r="R150" s="11"/>
    </row>
    <row r="151" customFormat="false" ht="35.05" hidden="false" customHeight="false" outlineLevel="0" collapsed="false">
      <c r="A151" s="11" t="n">
        <v>3</v>
      </c>
      <c r="B151" s="12" t="s">
        <v>39</v>
      </c>
      <c r="C151" s="12" t="s">
        <v>97</v>
      </c>
      <c r="D151" s="12" t="s">
        <v>558</v>
      </c>
      <c r="E151" s="11" t="n">
        <v>6</v>
      </c>
      <c r="F151" s="12" t="s">
        <v>373</v>
      </c>
      <c r="G151" s="11" t="s">
        <v>66</v>
      </c>
      <c r="H151" s="11"/>
      <c r="I151" s="11" t="n">
        <f aca="false">IF(E151="","",IF(OR(AND(H151="Plan A",$C$5="B"),AND(H151="Plan B",$C$5="A")),0,IF(OR(G151="per student",G151="per group",G151="per class"),E151*IF(B151="Year 7",$C$3,$C$4),E151)))</f>
        <v>6</v>
      </c>
      <c r="J151" s="12"/>
      <c r="K151" s="11"/>
      <c r="L151" s="11" t="str">
        <f aca="false">IF(OR(K151="",O151&lt;&gt;"",I151=""),"",ROUNDUP(I151*K151,0))</f>
        <v/>
      </c>
      <c r="M151" s="12" t="s">
        <v>559</v>
      </c>
      <c r="N151" s="11"/>
      <c r="O151" s="12" t="s">
        <v>560</v>
      </c>
      <c r="P151" s="12" t="s">
        <v>376</v>
      </c>
      <c r="Q151" s="13" t="s">
        <v>561</v>
      </c>
      <c r="R151" s="11"/>
    </row>
    <row r="152" customFormat="false" ht="35.05" hidden="false" customHeight="false" outlineLevel="0" collapsed="false">
      <c r="A152" s="11" t="n">
        <v>3</v>
      </c>
      <c r="B152" s="12" t="s">
        <v>39</v>
      </c>
      <c r="C152" s="12" t="s">
        <v>97</v>
      </c>
      <c r="D152" s="12" t="s">
        <v>562</v>
      </c>
      <c r="E152" s="11" t="n">
        <v>4</v>
      </c>
      <c r="F152" s="12" t="s">
        <v>563</v>
      </c>
      <c r="G152" s="11" t="s">
        <v>75</v>
      </c>
      <c r="H152" s="11"/>
      <c r="I152" s="11" t="n">
        <f aca="false">IF(E152="","",IF(OR(AND(H152="Plan A",$C$5="B"),AND(H152="Plan B",$C$5="A")),0,IF(OR(G152="per student",G152="per group",G152="per class"),E152*IF(B152="Year 7",$C$3,$C$4),E152)))</f>
        <v>4</v>
      </c>
      <c r="J152" s="12"/>
      <c r="K152" s="11"/>
      <c r="L152" s="11" t="str">
        <f aca="false">IF(OR(K152="",O152&lt;&gt;"",I152=""),"",ROUNDUP(I152*K152,0))</f>
        <v/>
      </c>
      <c r="M152" s="12" t="s">
        <v>564</v>
      </c>
      <c r="N152" s="11"/>
      <c r="O152" s="12" t="s">
        <v>565</v>
      </c>
      <c r="P152" s="12" t="s">
        <v>376</v>
      </c>
      <c r="Q152" s="12"/>
      <c r="R152" s="11"/>
    </row>
    <row r="153" customFormat="false" ht="23.85" hidden="false" customHeight="false" outlineLevel="0" collapsed="false">
      <c r="A153" s="11" t="n">
        <v>3</v>
      </c>
      <c r="B153" s="12" t="s">
        <v>39</v>
      </c>
      <c r="C153" s="12" t="s">
        <v>97</v>
      </c>
      <c r="D153" s="12" t="s">
        <v>566</v>
      </c>
      <c r="E153" s="11" t="n">
        <v>24</v>
      </c>
      <c r="F153" s="12" t="s">
        <v>567</v>
      </c>
      <c r="G153" s="11" t="s">
        <v>43</v>
      </c>
      <c r="H153" s="11"/>
      <c r="I153" s="11" t="n">
        <f aca="false">IF(E153="","",IF(OR(AND(H153="Plan A",$C$5="B"),AND(H153="Plan B",$C$5="A")),0,IF(OR(G153="per student",G153="per group",G153="per class"),E153*IF(B153="Year 7",$C$3,$C$4),E153)))</f>
        <v>24</v>
      </c>
      <c r="J153" s="12"/>
      <c r="K153" s="11"/>
      <c r="L153" s="11" t="str">
        <f aca="false">IF(OR(K153="",O153&lt;&gt;"",I153=""),"",ROUNDUP(I153*K153,0))</f>
        <v/>
      </c>
      <c r="M153" s="12" t="s">
        <v>568</v>
      </c>
      <c r="N153" s="11"/>
      <c r="O153" s="12" t="s">
        <v>569</v>
      </c>
      <c r="P153" s="12" t="s">
        <v>376</v>
      </c>
      <c r="Q153" s="13" t="s">
        <v>570</v>
      </c>
      <c r="R153" s="11"/>
    </row>
    <row r="154" customFormat="false" ht="23.85" hidden="false" customHeight="false" outlineLevel="0" collapsed="false">
      <c r="A154" s="11" t="n">
        <v>3</v>
      </c>
      <c r="B154" s="12" t="s">
        <v>39</v>
      </c>
      <c r="C154" s="12" t="s">
        <v>97</v>
      </c>
      <c r="D154" s="12" t="s">
        <v>571</v>
      </c>
      <c r="E154" s="11" t="n">
        <v>28</v>
      </c>
      <c r="F154" s="12" t="s">
        <v>572</v>
      </c>
      <c r="G154" s="11" t="s">
        <v>43</v>
      </c>
      <c r="H154" s="11"/>
      <c r="I154" s="11" t="n">
        <f aca="false">IF(E154="","",IF(OR(AND(H154="Plan A",$C$5="B"),AND(H154="Plan B",$C$5="A")),0,IF(OR(G154="per student",G154="per group",G154="per class"),E154*IF(B154="Year 7",$C$3,$C$4),E154)))</f>
        <v>28</v>
      </c>
      <c r="J154" s="12"/>
      <c r="K154" s="11"/>
      <c r="L154" s="11" t="str">
        <f aca="false">IF(OR(K154="",O154&lt;&gt;"",I154=""),"",ROUNDUP(I154*K154,0))</f>
        <v/>
      </c>
      <c r="M154" s="12" t="s">
        <v>573</v>
      </c>
      <c r="N154" s="11" t="s">
        <v>105</v>
      </c>
      <c r="O154" s="12" t="s">
        <v>574</v>
      </c>
      <c r="P154" s="12" t="s">
        <v>376</v>
      </c>
      <c r="Q154" s="13" t="s">
        <v>575</v>
      </c>
      <c r="R154" s="11"/>
    </row>
    <row r="155" customFormat="false" ht="23.85" hidden="false" customHeight="false" outlineLevel="0" collapsed="false">
      <c r="A155" s="11" t="n">
        <v>3</v>
      </c>
      <c r="B155" s="12" t="s">
        <v>39</v>
      </c>
      <c r="C155" s="12" t="s">
        <v>124</v>
      </c>
      <c r="D155" s="12" t="s">
        <v>576</v>
      </c>
      <c r="E155" s="11" t="n">
        <v>26</v>
      </c>
      <c r="F155" s="12" t="s">
        <v>577</v>
      </c>
      <c r="G155" s="11" t="s">
        <v>66</v>
      </c>
      <c r="H155" s="11"/>
      <c r="I155" s="11" t="n">
        <f aca="false">IF(E155="","",IF(OR(AND(H155="Plan A",$C$5="B"),AND(H155="Plan B",$C$5="A")),0,IF(OR(G155="per student",G155="per group",G155="per class"),E155*IF(B155="Year 7",$C$3,$C$4),E155)))</f>
        <v>26</v>
      </c>
      <c r="J155" s="12"/>
      <c r="K155" s="11"/>
      <c r="L155" s="11" t="str">
        <f aca="false">IF(OR(K155="",O155&lt;&gt;"",I155=""),"",ROUNDUP(I155*K155,0))</f>
        <v/>
      </c>
      <c r="M155" s="12" t="s">
        <v>578</v>
      </c>
      <c r="N155" s="11"/>
      <c r="O155" s="12"/>
      <c r="P155" s="12" t="s">
        <v>77</v>
      </c>
      <c r="Q155" s="13" t="s">
        <v>579</v>
      </c>
      <c r="R155" s="11"/>
    </row>
    <row r="156" customFormat="false" ht="15" hidden="false" customHeight="false" outlineLevel="0" collapsed="false">
      <c r="A156" s="11" t="n">
        <v>3</v>
      </c>
      <c r="B156" s="12" t="s">
        <v>39</v>
      </c>
      <c r="C156" s="12" t="s">
        <v>124</v>
      </c>
      <c r="D156" s="12" t="s">
        <v>580</v>
      </c>
      <c r="E156" s="11" t="n">
        <v>12</v>
      </c>
      <c r="F156" s="12" t="s">
        <v>581</v>
      </c>
      <c r="G156" s="11" t="s">
        <v>66</v>
      </c>
      <c r="H156" s="11"/>
      <c r="I156" s="11" t="n">
        <f aca="false">IF(E156="","",IF(OR(AND(H156="Plan A",$C$5="B"),AND(H156="Plan B",$C$5="A")),0,IF(OR(G156="per student",G156="per group",G156="per class"),E156*IF(B156="Year 7",$C$3,$C$4),E156)))</f>
        <v>12</v>
      </c>
      <c r="J156" s="12"/>
      <c r="K156" s="11"/>
      <c r="L156" s="11" t="str">
        <f aca="false">IF(OR(K156="",O156&lt;&gt;"",I156=""),"",ROUNDUP(I156*K156,0))</f>
        <v/>
      </c>
      <c r="M156" s="12" t="s">
        <v>582</v>
      </c>
      <c r="N156" s="11"/>
      <c r="O156" s="12"/>
      <c r="P156" s="12" t="s">
        <v>77</v>
      </c>
      <c r="Q156" s="13" t="s">
        <v>583</v>
      </c>
      <c r="R156" s="11"/>
    </row>
    <row r="157" customFormat="false" ht="15" hidden="false" customHeight="false" outlineLevel="0" collapsed="false">
      <c r="A157" s="11" t="n">
        <v>3</v>
      </c>
      <c r="B157" s="12" t="s">
        <v>39</v>
      </c>
      <c r="C157" s="12" t="s">
        <v>124</v>
      </c>
      <c r="D157" s="12" t="s">
        <v>584</v>
      </c>
      <c r="E157" s="11" t="n">
        <v>6</v>
      </c>
      <c r="F157" s="12" t="s">
        <v>585</v>
      </c>
      <c r="G157" s="11" t="s">
        <v>66</v>
      </c>
      <c r="H157" s="11"/>
      <c r="I157" s="11" t="n">
        <f aca="false">IF(E157="","",IF(OR(AND(H157="Plan A",$C$5="B"),AND(H157="Plan B",$C$5="A")),0,IF(OR(G157="per student",G157="per group",G157="per class"),E157*IF(B157="Year 7",$C$3,$C$4),E157)))</f>
        <v>6</v>
      </c>
      <c r="J157" s="12"/>
      <c r="K157" s="11"/>
      <c r="L157" s="11" t="str">
        <f aca="false">IF(OR(K157="",O157&lt;&gt;"",I157=""),"",ROUNDUP(I157*K157,0))</f>
        <v/>
      </c>
      <c r="M157" s="12" t="s">
        <v>586</v>
      </c>
      <c r="N157" s="11"/>
      <c r="O157" s="12"/>
      <c r="P157" s="12" t="s">
        <v>77</v>
      </c>
      <c r="Q157" s="13" t="s">
        <v>583</v>
      </c>
      <c r="R157" s="11"/>
    </row>
    <row r="158" customFormat="false" ht="23.85" hidden="false" customHeight="false" outlineLevel="0" collapsed="false">
      <c r="A158" s="11" t="n">
        <v>3</v>
      </c>
      <c r="B158" s="12" t="s">
        <v>39</v>
      </c>
      <c r="C158" s="12" t="s">
        <v>124</v>
      </c>
      <c r="D158" s="12" t="s">
        <v>587</v>
      </c>
      <c r="E158" s="11" t="n">
        <v>6</v>
      </c>
      <c r="F158" s="12" t="s">
        <v>588</v>
      </c>
      <c r="G158" s="11" t="s">
        <v>66</v>
      </c>
      <c r="H158" s="11"/>
      <c r="I158" s="11" t="n">
        <f aca="false">IF(E158="","",IF(OR(AND(H158="Plan A",$C$5="B"),AND(H158="Plan B",$C$5="A")),0,IF(OR(G158="per student",G158="per group",G158="per class"),E158*IF(B158="Year 7",$C$3,$C$4),E158)))</f>
        <v>6</v>
      </c>
      <c r="J158" s="12"/>
      <c r="K158" s="11"/>
      <c r="L158" s="11" t="str">
        <f aca="false">IF(OR(K158="",O158&lt;&gt;"",I158=""),"",ROUNDUP(I158*K158,0))</f>
        <v/>
      </c>
      <c r="M158" s="12" t="s">
        <v>589</v>
      </c>
      <c r="N158" s="11"/>
      <c r="O158" s="12"/>
      <c r="P158" s="12" t="s">
        <v>77</v>
      </c>
      <c r="Q158" s="12"/>
      <c r="R158" s="11"/>
    </row>
    <row r="159" customFormat="false" ht="46.25" hidden="false" customHeight="false" outlineLevel="0" collapsed="false">
      <c r="A159" s="11" t="n">
        <v>3</v>
      </c>
      <c r="B159" s="12" t="s">
        <v>39</v>
      </c>
      <c r="C159" s="12" t="s">
        <v>124</v>
      </c>
      <c r="D159" s="12" t="s">
        <v>590</v>
      </c>
      <c r="E159" s="11" t="n">
        <v>6</v>
      </c>
      <c r="F159" s="12" t="s">
        <v>591</v>
      </c>
      <c r="G159" s="11" t="s">
        <v>66</v>
      </c>
      <c r="H159" s="11"/>
      <c r="I159" s="11" t="n">
        <f aca="false">IF(E159="","",IF(OR(AND(H159="Plan A",$C$5="B"),AND(H159="Plan B",$C$5="A")),0,IF(OR(G159="per student",G159="per group",G159="per class"),E159*IF(B159="Year 7",$C$3,$C$4),E159)))</f>
        <v>6</v>
      </c>
      <c r="J159" s="12"/>
      <c r="K159" s="11"/>
      <c r="L159" s="11" t="str">
        <f aca="false">IF(OR(K159="",O159&lt;&gt;"",I159=""),"",ROUNDUP(I159*K159,0))</f>
        <v/>
      </c>
      <c r="M159" s="12" t="s">
        <v>592</v>
      </c>
      <c r="N159" s="11"/>
      <c r="O159" s="12"/>
      <c r="P159" s="13" t="s">
        <v>91</v>
      </c>
      <c r="Q159" s="13" t="s">
        <v>593</v>
      </c>
      <c r="R159" s="11"/>
    </row>
    <row r="160" customFormat="false" ht="23.85" hidden="false" customHeight="false" outlineLevel="0" collapsed="false">
      <c r="A160" s="11" t="n">
        <v>3</v>
      </c>
      <c r="B160" s="12" t="s">
        <v>39</v>
      </c>
      <c r="C160" s="12" t="s">
        <v>124</v>
      </c>
      <c r="D160" s="12" t="s">
        <v>125</v>
      </c>
      <c r="E160" s="11" t="n">
        <v>1</v>
      </c>
      <c r="F160" s="12" t="s">
        <v>267</v>
      </c>
      <c r="G160" s="11" t="s">
        <v>127</v>
      </c>
      <c r="H160" s="11"/>
      <c r="I160" s="11" t="n">
        <f aca="false">IF(E160="","",IF(OR(AND(H160="Plan A",$C$5="B"),AND(H160="Plan B",$C$5="A")),0,IF(OR(G160="per student",G160="per group",G160="per class"),E160*IF(B160="Year 7",$C$3,$C$4),E160)))</f>
        <v>1</v>
      </c>
      <c r="J160" s="12"/>
      <c r="K160" s="11"/>
      <c r="L160" s="11" t="str">
        <f aca="false">IF(OR(K160="",O160&lt;&gt;"",I160=""),"",ROUNDUP(I160*K160,0))</f>
        <v/>
      </c>
      <c r="M160" s="12" t="s">
        <v>594</v>
      </c>
      <c r="N160" s="11"/>
      <c r="O160" s="12" t="s">
        <v>595</v>
      </c>
      <c r="P160" s="12" t="s">
        <v>376</v>
      </c>
      <c r="Q160" s="12"/>
      <c r="R160" s="11"/>
    </row>
    <row r="161" customFormat="false" ht="46.25" hidden="false" customHeight="false" outlineLevel="0" collapsed="false">
      <c r="A161" s="11" t="n">
        <v>3</v>
      </c>
      <c r="B161" s="12" t="s">
        <v>39</v>
      </c>
      <c r="C161" s="12" t="s">
        <v>144</v>
      </c>
      <c r="D161" s="12" t="s">
        <v>596</v>
      </c>
      <c r="E161" s="11" t="n">
        <v>2</v>
      </c>
      <c r="F161" s="12" t="s">
        <v>597</v>
      </c>
      <c r="G161" s="11" t="s">
        <v>57</v>
      </c>
      <c r="H161" s="11"/>
      <c r="I161" s="11" t="n">
        <f aca="false">IF(E161="","",IF(OR(AND(H161="Plan A",$C$5="B"),AND(H161="Plan B",$C$5="A")),0,IF(OR(G161="per student",G161="per group",G161="per class"),E161*IF(B161="Year 7",$C$3,$C$4),E161)))</f>
        <v>2</v>
      </c>
      <c r="J161" s="12"/>
      <c r="K161" s="11"/>
      <c r="L161" s="11" t="str">
        <f aca="false">IF(OR(K161="",O161&lt;&gt;"",I161=""),"",ROUNDUP(I161*K161,0))</f>
        <v/>
      </c>
      <c r="M161" s="12" t="s">
        <v>598</v>
      </c>
      <c r="N161" s="11"/>
      <c r="O161" s="12"/>
      <c r="P161" s="12" t="s">
        <v>77</v>
      </c>
      <c r="Q161" s="13" t="s">
        <v>599</v>
      </c>
      <c r="R161" s="11"/>
    </row>
    <row r="162" customFormat="false" ht="23.85" hidden="false" customHeight="false" outlineLevel="0" collapsed="false">
      <c r="A162" s="11" t="n">
        <v>3</v>
      </c>
      <c r="B162" s="12" t="s">
        <v>39</v>
      </c>
      <c r="C162" s="12" t="s">
        <v>144</v>
      </c>
      <c r="D162" s="12" t="s">
        <v>600</v>
      </c>
      <c r="E162" s="11" t="n">
        <v>6</v>
      </c>
      <c r="F162" s="12" t="s">
        <v>601</v>
      </c>
      <c r="G162" s="11" t="s">
        <v>75</v>
      </c>
      <c r="H162" s="11"/>
      <c r="I162" s="11" t="n">
        <f aca="false">IF(E162="","",IF(OR(AND(H162="Plan A",$C$5="B"),AND(H162="Plan B",$C$5="A")),0,IF(OR(G162="per student",G162="per group",G162="per class"),E162*IF(B162="Year 7",$C$3,$C$4),E162)))</f>
        <v>6</v>
      </c>
      <c r="J162" s="12"/>
      <c r="K162" s="11"/>
      <c r="L162" s="11" t="str">
        <f aca="false">IF(OR(K162="",O162&lt;&gt;"",I162=""),"",ROUNDUP(I162*K162,0))</f>
        <v/>
      </c>
      <c r="M162" s="12" t="s">
        <v>602</v>
      </c>
      <c r="N162" s="11"/>
      <c r="O162" s="12"/>
      <c r="P162" s="12" t="s">
        <v>77</v>
      </c>
      <c r="Q162" s="13" t="s">
        <v>603</v>
      </c>
      <c r="R162" s="11"/>
    </row>
    <row r="163" customFormat="false" ht="68.65" hidden="false" customHeight="false" outlineLevel="0" collapsed="false">
      <c r="A163" s="11" t="n">
        <v>3</v>
      </c>
      <c r="B163" s="12" t="s">
        <v>153</v>
      </c>
      <c r="C163" s="12" t="s">
        <v>40</v>
      </c>
      <c r="D163" s="12" t="s">
        <v>604</v>
      </c>
      <c r="E163" s="11" t="n">
        <v>24</v>
      </c>
      <c r="F163" s="12" t="s">
        <v>605</v>
      </c>
      <c r="G163" s="11" t="s">
        <v>43</v>
      </c>
      <c r="H163" s="11"/>
      <c r="I163" s="11" t="n">
        <f aca="false">IF(E163="","",IF(OR(AND(H163="Plan A",$C$5="B"),AND(H163="Plan B",$C$5="A")),0,IF(OR(G163="per student",G163="per group",G163="per class"),E163*IF(B163="Year 7",$C$3,$C$4),E163)))</f>
        <v>24</v>
      </c>
      <c r="J163" s="12" t="s">
        <v>13</v>
      </c>
      <c r="K163" s="11" t="n">
        <v>2</v>
      </c>
      <c r="L163" s="11" t="n">
        <f aca="false">IF(OR(K163="",O163&lt;&gt;"",I163=""),"",ROUNDUP(I163*K163,0))</f>
        <v>48</v>
      </c>
      <c r="M163" s="12" t="s">
        <v>606</v>
      </c>
      <c r="N163" s="11"/>
      <c r="O163" s="12"/>
      <c r="P163" s="12" t="s">
        <v>45</v>
      </c>
      <c r="Q163" s="13" t="s">
        <v>607</v>
      </c>
      <c r="R163" s="11"/>
    </row>
    <row r="164" customFormat="false" ht="35.05" hidden="false" customHeight="false" outlineLevel="0" collapsed="false">
      <c r="A164" s="11" t="n">
        <v>3</v>
      </c>
      <c r="B164" s="12" t="s">
        <v>153</v>
      </c>
      <c r="C164" s="12" t="s">
        <v>40</v>
      </c>
      <c r="D164" s="12" t="s">
        <v>608</v>
      </c>
      <c r="E164" s="11"/>
      <c r="F164" s="12" t="s">
        <v>609</v>
      </c>
      <c r="G164" s="11" t="s">
        <v>127</v>
      </c>
      <c r="H164" s="11"/>
      <c r="I164" s="11" t="str">
        <f aca="false">IF(E164="","",IF(OR(AND(H164="Plan A",$C$5="B"),AND(H164="Plan B",$C$5="A")),0,IF(OR(G164="per student",G164="per group",G164="per class"),E164*IF(B164="Year 7",$C$3,$C$4),E164)))</f>
        <v/>
      </c>
      <c r="J164" s="12" t="s">
        <v>20</v>
      </c>
      <c r="K164" s="11" t="n">
        <v>1</v>
      </c>
      <c r="L164" s="11" t="str">
        <f aca="false">IF(OR(K164="",O164&lt;&gt;"",I164=""),"",ROUNDUP(I164*K164,0))</f>
        <v/>
      </c>
      <c r="M164" s="12" t="s">
        <v>610</v>
      </c>
      <c r="N164" s="11"/>
      <c r="O164" s="12"/>
      <c r="P164" s="12" t="s">
        <v>45</v>
      </c>
      <c r="Q164" s="13" t="s">
        <v>611</v>
      </c>
      <c r="R164" s="11"/>
    </row>
    <row r="165" customFormat="false" ht="46.25" hidden="false" customHeight="false" outlineLevel="0" collapsed="false">
      <c r="A165" s="11" t="n">
        <v>3</v>
      </c>
      <c r="B165" s="12" t="s">
        <v>153</v>
      </c>
      <c r="C165" s="12" t="s">
        <v>40</v>
      </c>
      <c r="D165" s="12" t="s">
        <v>612</v>
      </c>
      <c r="E165" s="11" t="n">
        <v>1</v>
      </c>
      <c r="F165" s="12" t="s">
        <v>613</v>
      </c>
      <c r="G165" s="11" t="s">
        <v>57</v>
      </c>
      <c r="H165" s="11"/>
      <c r="I165" s="11" t="n">
        <f aca="false">IF(E165="","",IF(OR(AND(H165="Plan A",$C$5="B"),AND(H165="Plan B",$C$5="A")),0,IF(OR(G165="per student",G165="per group",G165="per class"),E165*IF(B165="Year 7",$C$3,$C$4),E165)))</f>
        <v>1</v>
      </c>
      <c r="J165" s="12" t="s">
        <v>13</v>
      </c>
      <c r="K165" s="11" t="n">
        <v>1</v>
      </c>
      <c r="L165" s="11" t="n">
        <f aca="false">IF(OR(K165="",O165&lt;&gt;"",I165=""),"",ROUNDUP(I165*K165,0))</f>
        <v>1</v>
      </c>
      <c r="M165" s="12" t="s">
        <v>614</v>
      </c>
      <c r="N165" s="11"/>
      <c r="O165" s="12"/>
      <c r="P165" s="12" t="s">
        <v>45</v>
      </c>
      <c r="Q165" s="13" t="s">
        <v>615</v>
      </c>
      <c r="R165" s="11"/>
    </row>
    <row r="166" customFormat="false" ht="23.85" hidden="false" customHeight="false" outlineLevel="0" collapsed="false">
      <c r="A166" s="11" t="n">
        <v>3</v>
      </c>
      <c r="B166" s="12" t="s">
        <v>153</v>
      </c>
      <c r="C166" s="12" t="s">
        <v>97</v>
      </c>
      <c r="D166" s="12" t="s">
        <v>616</v>
      </c>
      <c r="E166" s="11" t="n">
        <v>6</v>
      </c>
      <c r="F166" s="12" t="s">
        <v>617</v>
      </c>
      <c r="G166" s="11" t="s">
        <v>66</v>
      </c>
      <c r="H166" s="11"/>
      <c r="I166" s="11" t="n">
        <f aca="false">IF(E166="","",IF(OR(AND(H166="Plan A",$C$5="B"),AND(H166="Plan B",$C$5="A")),0,IF(OR(G166="per student",G166="per group",G166="per class"),E166*IF(B166="Year 7",$C$3,$C$4),E166)))</f>
        <v>6</v>
      </c>
      <c r="J166" s="12" t="s">
        <v>20</v>
      </c>
      <c r="K166" s="11" t="n">
        <v>1</v>
      </c>
      <c r="L166" s="11" t="n">
        <f aca="false">IF(OR(K166="",O166&lt;&gt;"",I166=""),"",ROUNDUP(I166*K166,0))</f>
        <v>6</v>
      </c>
      <c r="M166" s="12" t="s">
        <v>618</v>
      </c>
      <c r="N166" s="11"/>
      <c r="O166" s="12"/>
      <c r="P166" s="12" t="s">
        <v>45</v>
      </c>
      <c r="Q166" s="13" t="s">
        <v>619</v>
      </c>
      <c r="R166" s="11"/>
    </row>
    <row r="167" customFormat="false" ht="23.85" hidden="false" customHeight="false" outlineLevel="0" collapsed="false">
      <c r="A167" s="11" t="n">
        <v>3</v>
      </c>
      <c r="B167" s="12" t="s">
        <v>153</v>
      </c>
      <c r="C167" s="12" t="s">
        <v>97</v>
      </c>
      <c r="D167" s="12" t="s">
        <v>243</v>
      </c>
      <c r="E167" s="11" t="n">
        <v>6</v>
      </c>
      <c r="F167" s="12" t="s">
        <v>241</v>
      </c>
      <c r="G167" s="11" t="s">
        <v>66</v>
      </c>
      <c r="H167" s="11"/>
      <c r="I167" s="11" t="n">
        <f aca="false">IF(E167="","",IF(OR(AND(H167="Plan A",$C$5="B"),AND(H167="Plan B",$C$5="A")),0,IF(OR(G167="per student",G167="per group",G167="per class"),E167*IF(B167="Year 7",$C$3,$C$4),E167)))</f>
        <v>6</v>
      </c>
      <c r="J167" s="12"/>
      <c r="K167" s="11"/>
      <c r="L167" s="11" t="str">
        <f aca="false">IF(OR(K167="",O167&lt;&gt;"",I167=""),"",ROUNDUP(I167*K167,0))</f>
        <v/>
      </c>
      <c r="M167" s="12" t="s">
        <v>620</v>
      </c>
      <c r="N167" s="11"/>
      <c r="O167" s="12"/>
      <c r="P167" s="12" t="s">
        <v>77</v>
      </c>
      <c r="Q167" s="12"/>
      <c r="R167" s="11"/>
    </row>
    <row r="168" customFormat="false" ht="35.05" hidden="false" customHeight="false" outlineLevel="0" collapsed="false">
      <c r="A168" s="11" t="n">
        <v>3</v>
      </c>
      <c r="B168" s="12" t="s">
        <v>153</v>
      </c>
      <c r="C168" s="12" t="s">
        <v>97</v>
      </c>
      <c r="D168" s="12" t="s">
        <v>621</v>
      </c>
      <c r="E168" s="11" t="n">
        <v>30</v>
      </c>
      <c r="F168" s="12" t="s">
        <v>248</v>
      </c>
      <c r="G168" s="11" t="s">
        <v>66</v>
      </c>
      <c r="H168" s="11"/>
      <c r="I168" s="11" t="n">
        <f aca="false">IF(E168="","",IF(OR(AND(H168="Plan A",$C$5="B"),AND(H168="Plan B",$C$5="A")),0,IF(OR(G168="per student",G168="per group",G168="per class"),E168*IF(B168="Year 7",$C$3,$C$4),E168)))</f>
        <v>30</v>
      </c>
      <c r="J168" s="12"/>
      <c r="K168" s="11"/>
      <c r="L168" s="11" t="str">
        <f aca="false">IF(OR(K168="",O168&lt;&gt;"",I168=""),"",ROUNDUP(I168*K168,0))</f>
        <v/>
      </c>
      <c r="M168" s="12" t="s">
        <v>622</v>
      </c>
      <c r="N168" s="11"/>
      <c r="O168" s="12"/>
      <c r="P168" s="12" t="s">
        <v>77</v>
      </c>
      <c r="Q168" s="13" t="s">
        <v>623</v>
      </c>
      <c r="R168" s="11"/>
    </row>
    <row r="169" customFormat="false" ht="23.85" hidden="false" customHeight="false" outlineLevel="0" collapsed="false">
      <c r="A169" s="11" t="n">
        <v>3</v>
      </c>
      <c r="B169" s="12" t="s">
        <v>153</v>
      </c>
      <c r="C169" s="12" t="s">
        <v>97</v>
      </c>
      <c r="D169" s="12" t="s">
        <v>624</v>
      </c>
      <c r="E169" s="11" t="n">
        <v>24</v>
      </c>
      <c r="F169" s="12" t="s">
        <v>248</v>
      </c>
      <c r="G169" s="11" t="s">
        <v>43</v>
      </c>
      <c r="H169" s="11"/>
      <c r="I169" s="11" t="n">
        <f aca="false">IF(E169="","",IF(OR(AND(H169="Plan A",$C$5="B"),AND(H169="Plan B",$C$5="A")),0,IF(OR(G169="per student",G169="per group",G169="per class"),E169*IF(B169="Year 7",$C$3,$C$4),E169)))</f>
        <v>24</v>
      </c>
      <c r="J169" s="12"/>
      <c r="K169" s="11"/>
      <c r="L169" s="11" t="str">
        <f aca="false">IF(OR(K169="",O169&lt;&gt;"",I169=""),"",ROUNDUP(I169*K169,0))</f>
        <v/>
      </c>
      <c r="M169" s="12" t="s">
        <v>625</v>
      </c>
      <c r="N169" s="11"/>
      <c r="O169" s="12" t="s">
        <v>472</v>
      </c>
      <c r="P169" s="12" t="s">
        <v>376</v>
      </c>
      <c r="Q169" s="13" t="s">
        <v>626</v>
      </c>
      <c r="R169" s="11"/>
    </row>
    <row r="170" customFormat="false" ht="35.05" hidden="false" customHeight="false" outlineLevel="0" collapsed="false">
      <c r="A170" s="11" t="n">
        <v>3</v>
      </c>
      <c r="B170" s="12" t="s">
        <v>153</v>
      </c>
      <c r="C170" s="12" t="s">
        <v>97</v>
      </c>
      <c r="D170" s="12" t="s">
        <v>458</v>
      </c>
      <c r="E170" s="11" t="n">
        <v>6</v>
      </c>
      <c r="F170" s="12" t="s">
        <v>627</v>
      </c>
      <c r="G170" s="11" t="s">
        <v>66</v>
      </c>
      <c r="H170" s="11"/>
      <c r="I170" s="11" t="n">
        <f aca="false">IF(E170="","",IF(OR(AND(H170="Plan A",$C$5="B"),AND(H170="Plan B",$C$5="A")),0,IF(OR(G170="per student",G170="per group",G170="per class"),E170*IF(B170="Year 7",$C$3,$C$4),E170)))</f>
        <v>6</v>
      </c>
      <c r="J170" s="12"/>
      <c r="K170" s="11"/>
      <c r="L170" s="11" t="str">
        <f aca="false">IF(OR(K170="",O170&lt;&gt;"",I170=""),"",ROUNDUP(I170*K170,0))</f>
        <v/>
      </c>
      <c r="M170" s="12" t="s">
        <v>628</v>
      </c>
      <c r="N170" s="11"/>
      <c r="O170" s="12" t="s">
        <v>629</v>
      </c>
      <c r="P170" s="13" t="s">
        <v>91</v>
      </c>
      <c r="Q170" s="13" t="s">
        <v>630</v>
      </c>
      <c r="R170" s="11"/>
    </row>
    <row r="171" customFormat="false" ht="35.05" hidden="false" customHeight="false" outlineLevel="0" collapsed="false">
      <c r="A171" s="11" t="n">
        <v>3</v>
      </c>
      <c r="B171" s="12" t="s">
        <v>153</v>
      </c>
      <c r="C171" s="12" t="s">
        <v>97</v>
      </c>
      <c r="D171" s="12" t="s">
        <v>631</v>
      </c>
      <c r="E171" s="11"/>
      <c r="F171" s="12" t="s">
        <v>632</v>
      </c>
      <c r="G171" s="11" t="s">
        <v>66</v>
      </c>
      <c r="H171" s="11"/>
      <c r="I171" s="11" t="str">
        <f aca="false">IF(E171="","",IF(OR(AND(H171="Plan A",$C$5="B"),AND(H171="Plan B",$C$5="A")),0,IF(OR(G171="per student",G171="per group",G171="per class"),E171*IF(B171="Year 7",$C$3,$C$4),E171)))</f>
        <v/>
      </c>
      <c r="J171" s="12"/>
      <c r="K171" s="11"/>
      <c r="L171" s="11" t="str">
        <f aca="false">IF(OR(K171="",O171&lt;&gt;"",I171=""),"",ROUNDUP(I171*K171,0))</f>
        <v/>
      </c>
      <c r="M171" s="12" t="s">
        <v>633</v>
      </c>
      <c r="N171" s="11" t="s">
        <v>105</v>
      </c>
      <c r="O171" s="12"/>
      <c r="P171" s="13" t="s">
        <v>91</v>
      </c>
      <c r="Q171" s="13" t="s">
        <v>634</v>
      </c>
      <c r="R171" s="11"/>
    </row>
    <row r="172" customFormat="false" ht="23.85" hidden="false" customHeight="false" outlineLevel="0" collapsed="false">
      <c r="A172" s="11" t="n">
        <v>3</v>
      </c>
      <c r="B172" s="12" t="s">
        <v>153</v>
      </c>
      <c r="C172" s="12" t="s">
        <v>97</v>
      </c>
      <c r="D172" s="12" t="s">
        <v>253</v>
      </c>
      <c r="E172" s="11" t="n">
        <v>1</v>
      </c>
      <c r="F172" s="12" t="s">
        <v>357</v>
      </c>
      <c r="G172" s="11" t="s">
        <v>57</v>
      </c>
      <c r="H172" s="11"/>
      <c r="I172" s="11" t="n">
        <f aca="false">IF(E172="","",IF(OR(AND(H172="Plan A",$C$5="B"),AND(H172="Plan B",$C$5="A")),0,IF(OR(G172="per student",G172="per group",G172="per class"),E172*IF(B172="Year 7",$C$3,$C$4),E172)))</f>
        <v>1</v>
      </c>
      <c r="J172" s="12"/>
      <c r="K172" s="11"/>
      <c r="L172" s="11" t="str">
        <f aca="false">IF(OR(K172="",O172&lt;&gt;"",I172=""),"",ROUNDUP(I172*K172,0))</f>
        <v/>
      </c>
      <c r="M172" s="12" t="s">
        <v>635</v>
      </c>
      <c r="N172" s="11"/>
      <c r="O172" s="12" t="s">
        <v>636</v>
      </c>
      <c r="P172" s="12" t="s">
        <v>376</v>
      </c>
      <c r="Q172" s="12"/>
      <c r="R172" s="11"/>
    </row>
    <row r="173" customFormat="false" ht="23.85" hidden="false" customHeight="false" outlineLevel="0" collapsed="false">
      <c r="A173" s="11" t="n">
        <v>3</v>
      </c>
      <c r="B173" s="12" t="s">
        <v>153</v>
      </c>
      <c r="C173" s="12" t="s">
        <v>97</v>
      </c>
      <c r="D173" s="12" t="s">
        <v>637</v>
      </c>
      <c r="E173" s="11" t="n">
        <v>24</v>
      </c>
      <c r="F173" s="12" t="s">
        <v>314</v>
      </c>
      <c r="G173" s="11" t="s">
        <v>43</v>
      </c>
      <c r="H173" s="11"/>
      <c r="I173" s="11" t="n">
        <f aca="false">IF(E173="","",IF(OR(AND(H173="Plan A",$C$5="B"),AND(H173="Plan B",$C$5="A")),0,IF(OR(G173="per student",G173="per group",G173="per class"),E173*IF(B173="Year 7",$C$3,$C$4),E173)))</f>
        <v>24</v>
      </c>
      <c r="J173" s="12"/>
      <c r="K173" s="11"/>
      <c r="L173" s="11" t="str">
        <f aca="false">IF(OR(K173="",O173&lt;&gt;"",I173=""),"",ROUNDUP(I173*K173,0))</f>
        <v/>
      </c>
      <c r="M173" s="12" t="s">
        <v>638</v>
      </c>
      <c r="N173" s="11"/>
      <c r="O173" s="12" t="s">
        <v>475</v>
      </c>
      <c r="P173" s="12" t="s">
        <v>376</v>
      </c>
      <c r="Q173" s="12"/>
      <c r="R173" s="11"/>
    </row>
    <row r="174" customFormat="false" ht="35.05" hidden="false" customHeight="false" outlineLevel="0" collapsed="false">
      <c r="A174" s="11" t="n">
        <v>3</v>
      </c>
      <c r="B174" s="12" t="s">
        <v>153</v>
      </c>
      <c r="C174" s="12" t="s">
        <v>97</v>
      </c>
      <c r="D174" s="12" t="s">
        <v>367</v>
      </c>
      <c r="E174" s="11" t="n">
        <v>24</v>
      </c>
      <c r="F174" s="12" t="s">
        <v>368</v>
      </c>
      <c r="G174" s="11" t="s">
        <v>43</v>
      </c>
      <c r="H174" s="11"/>
      <c r="I174" s="11" t="n">
        <f aca="false">IF(E174="","",IF(OR(AND(H174="Plan A",$C$5="B"),AND(H174="Plan B",$C$5="A")),0,IF(OR(G174="per student",G174="per group",G174="per class"),E174*IF(B174="Year 7",$C$3,$C$4),E174)))</f>
        <v>24</v>
      </c>
      <c r="J174" s="12"/>
      <c r="K174" s="11"/>
      <c r="L174" s="11" t="str">
        <f aca="false">IF(OR(K174="",O174&lt;&gt;"",I174=""),"",ROUNDUP(I174*K174,0))</f>
        <v/>
      </c>
      <c r="M174" s="12" t="s">
        <v>639</v>
      </c>
      <c r="N174" s="11"/>
      <c r="O174" s="12" t="s">
        <v>640</v>
      </c>
      <c r="P174" s="12" t="s">
        <v>376</v>
      </c>
      <c r="Q174" s="12"/>
      <c r="R174" s="11"/>
    </row>
    <row r="175" customFormat="false" ht="46.25" hidden="false" customHeight="false" outlineLevel="0" collapsed="false">
      <c r="A175" s="11" t="n">
        <v>3</v>
      </c>
      <c r="B175" s="12" t="s">
        <v>153</v>
      </c>
      <c r="C175" s="12" t="s">
        <v>97</v>
      </c>
      <c r="D175" s="12" t="s">
        <v>641</v>
      </c>
      <c r="E175" s="11" t="n">
        <v>6</v>
      </c>
      <c r="F175" s="12" t="s">
        <v>373</v>
      </c>
      <c r="G175" s="11" t="s">
        <v>66</v>
      </c>
      <c r="H175" s="11"/>
      <c r="I175" s="11" t="n">
        <f aca="false">IF(E175="","",IF(OR(AND(H175="Plan A",$C$5="B"),AND(H175="Plan B",$C$5="A")),0,IF(OR(G175="per student",G175="per group",G175="per class"),E175*IF(B175="Year 7",$C$3,$C$4),E175)))</f>
        <v>6</v>
      </c>
      <c r="J175" s="12"/>
      <c r="K175" s="11"/>
      <c r="L175" s="11" t="str">
        <f aca="false">IF(OR(K175="",O175&lt;&gt;"",I175=""),"",ROUNDUP(I175*K175,0))</f>
        <v/>
      </c>
      <c r="M175" s="12" t="s">
        <v>642</v>
      </c>
      <c r="N175" s="11"/>
      <c r="O175" s="12" t="s">
        <v>643</v>
      </c>
      <c r="P175" s="12" t="s">
        <v>376</v>
      </c>
      <c r="Q175" s="13" t="s">
        <v>377</v>
      </c>
      <c r="R175" s="11"/>
    </row>
    <row r="176" customFormat="false" ht="35.05" hidden="false" customHeight="false" outlineLevel="0" collapsed="false">
      <c r="A176" s="11" t="n">
        <v>3</v>
      </c>
      <c r="B176" s="12" t="s">
        <v>153</v>
      </c>
      <c r="C176" s="12" t="s">
        <v>97</v>
      </c>
      <c r="D176" s="12" t="s">
        <v>482</v>
      </c>
      <c r="E176" s="11" t="n">
        <v>6</v>
      </c>
      <c r="F176" s="12" t="s">
        <v>373</v>
      </c>
      <c r="G176" s="11" t="s">
        <v>66</v>
      </c>
      <c r="H176" s="11"/>
      <c r="I176" s="11" t="n">
        <f aca="false">IF(E176="","",IF(OR(AND(H176="Plan A",$C$5="B"),AND(H176="Plan B",$C$5="A")),0,IF(OR(G176="per student",G176="per group",G176="per class"),E176*IF(B176="Year 7",$C$3,$C$4),E176)))</f>
        <v>6</v>
      </c>
      <c r="J176" s="12"/>
      <c r="K176" s="11"/>
      <c r="L176" s="11" t="str">
        <f aca="false">IF(OR(K176="",O176&lt;&gt;"",I176=""),"",ROUNDUP(I176*K176,0))</f>
        <v/>
      </c>
      <c r="M176" s="12" t="s">
        <v>644</v>
      </c>
      <c r="N176" s="11"/>
      <c r="O176" s="12" t="s">
        <v>484</v>
      </c>
      <c r="P176" s="12" t="s">
        <v>376</v>
      </c>
      <c r="Q176" s="13" t="s">
        <v>645</v>
      </c>
      <c r="R176" s="11"/>
    </row>
    <row r="177" customFormat="false" ht="23.85" hidden="false" customHeight="false" outlineLevel="0" collapsed="false">
      <c r="A177" s="11" t="n">
        <v>3</v>
      </c>
      <c r="B177" s="12" t="s">
        <v>153</v>
      </c>
      <c r="C177" s="12" t="s">
        <v>97</v>
      </c>
      <c r="D177" s="12" t="s">
        <v>485</v>
      </c>
      <c r="E177" s="11" t="n">
        <v>24</v>
      </c>
      <c r="F177" s="12" t="s">
        <v>368</v>
      </c>
      <c r="G177" s="11" t="s">
        <v>43</v>
      </c>
      <c r="H177" s="11"/>
      <c r="I177" s="11" t="n">
        <f aca="false">IF(E177="","",IF(OR(AND(H177="Plan A",$C$5="B"),AND(H177="Plan B",$C$5="A")),0,IF(OR(G177="per student",G177="per group",G177="per class"),E177*IF(B177="Year 7",$C$3,$C$4),E177)))</f>
        <v>24</v>
      </c>
      <c r="J177" s="12"/>
      <c r="K177" s="11"/>
      <c r="L177" s="11" t="str">
        <f aca="false">IF(OR(K177="",O177&lt;&gt;"",I177=""),"",ROUNDUP(I177*K177,0))</f>
        <v/>
      </c>
      <c r="M177" s="12" t="s">
        <v>646</v>
      </c>
      <c r="N177" s="11"/>
      <c r="O177" s="12" t="s">
        <v>647</v>
      </c>
      <c r="P177" s="12" t="s">
        <v>376</v>
      </c>
      <c r="Q177" s="13" t="s">
        <v>648</v>
      </c>
      <c r="R177" s="11"/>
    </row>
    <row r="178" customFormat="false" ht="57.45" hidden="false" customHeight="false" outlineLevel="0" collapsed="false">
      <c r="A178" s="11" t="n">
        <v>3</v>
      </c>
      <c r="B178" s="12" t="s">
        <v>153</v>
      </c>
      <c r="C178" s="12" t="s">
        <v>124</v>
      </c>
      <c r="D178" s="12" t="s">
        <v>649</v>
      </c>
      <c r="E178" s="11" t="n">
        <v>24</v>
      </c>
      <c r="F178" s="12" t="s">
        <v>650</v>
      </c>
      <c r="G178" s="11" t="s">
        <v>66</v>
      </c>
      <c r="H178" s="11"/>
      <c r="I178" s="11" t="n">
        <f aca="false">IF(E178="","",IF(OR(AND(H178="Plan A",$C$5="B"),AND(H178="Plan B",$C$5="A")),0,IF(OR(G178="per student",G178="per group",G178="per class"),E178*IF(B178="Year 7",$C$3,$C$4),E178)))</f>
        <v>24</v>
      </c>
      <c r="J178" s="12"/>
      <c r="K178" s="11"/>
      <c r="L178" s="11" t="str">
        <f aca="false">IF(OR(K178="",O178&lt;&gt;"",I178=""),"",ROUNDUP(I178*K178,0))</f>
        <v/>
      </c>
      <c r="M178" s="12" t="s">
        <v>651</v>
      </c>
      <c r="N178" s="11"/>
      <c r="O178" s="12"/>
      <c r="P178" s="12" t="s">
        <v>77</v>
      </c>
      <c r="Q178" s="13" t="s">
        <v>652</v>
      </c>
      <c r="R178" s="11"/>
    </row>
    <row r="179" customFormat="false" ht="23.85" hidden="false" customHeight="false" outlineLevel="0" collapsed="false">
      <c r="A179" s="11" t="n">
        <v>3</v>
      </c>
      <c r="B179" s="12" t="s">
        <v>153</v>
      </c>
      <c r="C179" s="12" t="s">
        <v>124</v>
      </c>
      <c r="D179" s="12" t="s">
        <v>653</v>
      </c>
      <c r="E179" s="11" t="n">
        <v>8</v>
      </c>
      <c r="F179" s="12" t="s">
        <v>260</v>
      </c>
      <c r="G179" s="11" t="s">
        <v>57</v>
      </c>
      <c r="H179" s="11"/>
      <c r="I179" s="11" t="n">
        <f aca="false">IF(E179="","",IF(OR(AND(H179="Plan A",$C$5="B"),AND(H179="Plan B",$C$5="A")),0,IF(OR(G179="per student",G179="per group",G179="per class"),E179*IF(B179="Year 7",$C$3,$C$4),E179)))</f>
        <v>8</v>
      </c>
      <c r="J179" s="12"/>
      <c r="K179" s="11"/>
      <c r="L179" s="11" t="str">
        <f aca="false">IF(OR(K179="",O179&lt;&gt;"",I179=""),"",ROUNDUP(I179*K179,0))</f>
        <v/>
      </c>
      <c r="M179" s="12" t="s">
        <v>654</v>
      </c>
      <c r="N179" s="11"/>
      <c r="O179" s="12" t="s">
        <v>655</v>
      </c>
      <c r="P179" s="12" t="s">
        <v>376</v>
      </c>
      <c r="Q179" s="13" t="s">
        <v>656</v>
      </c>
      <c r="R179" s="11"/>
    </row>
    <row r="180" customFormat="false" ht="23.85" hidden="false" customHeight="false" outlineLevel="0" collapsed="false">
      <c r="A180" s="11" t="n">
        <v>3</v>
      </c>
      <c r="B180" s="12" t="s">
        <v>153</v>
      </c>
      <c r="C180" s="12" t="s">
        <v>124</v>
      </c>
      <c r="D180" s="12" t="s">
        <v>657</v>
      </c>
      <c r="E180" s="11" t="n">
        <v>30</v>
      </c>
      <c r="F180" s="12" t="s">
        <v>264</v>
      </c>
      <c r="G180" s="11" t="s">
        <v>66</v>
      </c>
      <c r="H180" s="11"/>
      <c r="I180" s="11" t="n">
        <f aca="false">IF(E180="","",IF(OR(AND(H180="Plan A",$C$5="B"),AND(H180="Plan B",$C$5="A")),0,IF(OR(G180="per student",G180="per group",G180="per class"),E180*IF(B180="Year 7",$C$3,$C$4),E180)))</f>
        <v>30</v>
      </c>
      <c r="J180" s="12"/>
      <c r="K180" s="11"/>
      <c r="L180" s="11" t="str">
        <f aca="false">IF(OR(K180="",O180&lt;&gt;"",I180=""),"",ROUNDUP(I180*K180,0))</f>
        <v/>
      </c>
      <c r="M180" s="12" t="s">
        <v>658</v>
      </c>
      <c r="N180" s="11"/>
      <c r="O180" s="12"/>
      <c r="P180" s="12" t="s">
        <v>77</v>
      </c>
      <c r="Q180" s="12"/>
      <c r="R180" s="11"/>
    </row>
    <row r="181" customFormat="false" ht="23.85" hidden="false" customHeight="false" outlineLevel="0" collapsed="false">
      <c r="A181" s="11" t="n">
        <v>3</v>
      </c>
      <c r="B181" s="12" t="s">
        <v>153</v>
      </c>
      <c r="C181" s="12" t="s">
        <v>124</v>
      </c>
      <c r="D181" s="12" t="s">
        <v>659</v>
      </c>
      <c r="E181" s="11" t="n">
        <v>6</v>
      </c>
      <c r="F181" s="12" t="s">
        <v>660</v>
      </c>
      <c r="G181" s="11" t="s">
        <v>66</v>
      </c>
      <c r="H181" s="11"/>
      <c r="I181" s="11" t="n">
        <f aca="false">IF(E181="","",IF(OR(AND(H181="Plan A",$C$5="B"),AND(H181="Plan B",$C$5="A")),0,IF(OR(G181="per student",G181="per group",G181="per class"),E181*IF(B181="Year 7",$C$3,$C$4),E181)))</f>
        <v>6</v>
      </c>
      <c r="J181" s="12"/>
      <c r="K181" s="11"/>
      <c r="L181" s="11" t="str">
        <f aca="false">IF(OR(K181="",O181&lt;&gt;"",I181=""),"",ROUNDUP(I181*K181,0))</f>
        <v/>
      </c>
      <c r="M181" s="12" t="s">
        <v>661</v>
      </c>
      <c r="N181" s="11"/>
      <c r="O181" s="12"/>
      <c r="P181" s="12" t="s">
        <v>77</v>
      </c>
      <c r="Q181" s="12"/>
      <c r="R181" s="11"/>
    </row>
    <row r="182" customFormat="false" ht="15" hidden="false" customHeight="false" outlineLevel="0" collapsed="false">
      <c r="A182" s="11" t="n">
        <v>3</v>
      </c>
      <c r="B182" s="12" t="s">
        <v>153</v>
      </c>
      <c r="C182" s="12" t="s">
        <v>124</v>
      </c>
      <c r="D182" s="12" t="s">
        <v>662</v>
      </c>
      <c r="E182" s="11" t="n">
        <v>6</v>
      </c>
      <c r="F182" s="12" t="s">
        <v>663</v>
      </c>
      <c r="G182" s="11" t="s">
        <v>66</v>
      </c>
      <c r="H182" s="11"/>
      <c r="I182" s="11" t="n">
        <f aca="false">IF(E182="","",IF(OR(AND(H182="Plan A",$C$5="B"),AND(H182="Plan B",$C$5="A")),0,IF(OR(G182="per student",G182="per group",G182="per class"),E182*IF(B182="Year 7",$C$3,$C$4),E182)))</f>
        <v>6</v>
      </c>
      <c r="J182" s="12"/>
      <c r="K182" s="11"/>
      <c r="L182" s="11" t="str">
        <f aca="false">IF(OR(K182="",O182&lt;&gt;"",I182=""),"",ROUNDUP(I182*K182,0))</f>
        <v/>
      </c>
      <c r="M182" s="12" t="s">
        <v>664</v>
      </c>
      <c r="N182" s="11"/>
      <c r="O182" s="12"/>
      <c r="P182" s="12" t="s">
        <v>77</v>
      </c>
      <c r="Q182" s="13" t="s">
        <v>665</v>
      </c>
      <c r="R182" s="11"/>
    </row>
    <row r="183" customFormat="false" ht="15" hidden="false" customHeight="false" outlineLevel="0" collapsed="false">
      <c r="A183" s="11" t="n">
        <v>3</v>
      </c>
      <c r="B183" s="12" t="s">
        <v>153</v>
      </c>
      <c r="C183" s="12" t="s">
        <v>124</v>
      </c>
      <c r="D183" s="12" t="s">
        <v>495</v>
      </c>
      <c r="E183" s="11" t="n">
        <v>6</v>
      </c>
      <c r="F183" s="12" t="s">
        <v>591</v>
      </c>
      <c r="G183" s="11" t="s">
        <v>66</v>
      </c>
      <c r="H183" s="11"/>
      <c r="I183" s="11" t="n">
        <f aca="false">IF(E183="","",IF(OR(AND(H183="Plan A",$C$5="B"),AND(H183="Plan B",$C$5="A")),0,IF(OR(G183="per student",G183="per group",G183="per class"),E183*IF(B183="Year 7",$C$3,$C$4),E183)))</f>
        <v>6</v>
      </c>
      <c r="J183" s="12"/>
      <c r="K183" s="11"/>
      <c r="L183" s="11" t="str">
        <f aca="false">IF(OR(K183="",O183&lt;&gt;"",I183=""),"",ROUNDUP(I183*K183,0))</f>
        <v/>
      </c>
      <c r="M183" s="12" t="s">
        <v>666</v>
      </c>
      <c r="N183" s="11"/>
      <c r="O183" s="12"/>
      <c r="P183" s="12" t="s">
        <v>77</v>
      </c>
      <c r="Q183" s="12"/>
      <c r="R183" s="11"/>
    </row>
    <row r="184" customFormat="false" ht="23.85" hidden="false" customHeight="false" outlineLevel="0" collapsed="false">
      <c r="A184" s="11" t="n">
        <v>3</v>
      </c>
      <c r="B184" s="12" t="s">
        <v>153</v>
      </c>
      <c r="C184" s="12" t="s">
        <v>124</v>
      </c>
      <c r="D184" s="12" t="s">
        <v>498</v>
      </c>
      <c r="E184" s="11"/>
      <c r="F184" s="12" t="s">
        <v>667</v>
      </c>
      <c r="G184" s="11" t="s">
        <v>66</v>
      </c>
      <c r="H184" s="11"/>
      <c r="I184" s="11" t="str">
        <f aca="false">IF(E184="","",IF(OR(AND(H184="Plan A",$C$5="B"),AND(H184="Plan B",$C$5="A")),0,IF(OR(G184="per student",G184="per group",G184="per class"),E184*IF(B184="Year 7",$C$3,$C$4),E184)))</f>
        <v/>
      </c>
      <c r="J184" s="12"/>
      <c r="K184" s="11"/>
      <c r="L184" s="11" t="str">
        <f aca="false">IF(OR(K184="",O184&lt;&gt;"",I184=""),"",ROUNDUP(I184*K184,0))</f>
        <v/>
      </c>
      <c r="M184" s="12" t="s">
        <v>668</v>
      </c>
      <c r="N184" s="11"/>
      <c r="O184" s="12"/>
      <c r="P184" s="13" t="s">
        <v>91</v>
      </c>
      <c r="Q184" s="13" t="s">
        <v>669</v>
      </c>
      <c r="R184" s="11"/>
    </row>
    <row r="185" customFormat="false" ht="23.85" hidden="false" customHeight="false" outlineLevel="0" collapsed="false">
      <c r="A185" s="11" t="n">
        <v>3</v>
      </c>
      <c r="B185" s="12" t="s">
        <v>153</v>
      </c>
      <c r="C185" s="12" t="s">
        <v>124</v>
      </c>
      <c r="D185" s="12" t="s">
        <v>670</v>
      </c>
      <c r="E185" s="11"/>
      <c r="F185" s="12" t="s">
        <v>671</v>
      </c>
      <c r="G185" s="11" t="s">
        <v>57</v>
      </c>
      <c r="H185" s="11"/>
      <c r="I185" s="11" t="str">
        <f aca="false">IF(E185="","",IF(OR(AND(H185="Plan A",$C$5="B"),AND(H185="Plan B",$C$5="A")),0,IF(OR(G185="per student",G185="per group",G185="per class"),E185*IF(B185="Year 7",$C$3,$C$4),E185)))</f>
        <v/>
      </c>
      <c r="J185" s="12"/>
      <c r="K185" s="11"/>
      <c r="L185" s="11" t="str">
        <f aca="false">IF(OR(K185="",O185&lt;&gt;"",I185=""),"",ROUNDUP(I185*K185,0))</f>
        <v/>
      </c>
      <c r="M185" s="12" t="s">
        <v>672</v>
      </c>
      <c r="N185" s="11"/>
      <c r="O185" s="12"/>
      <c r="P185" s="12" t="s">
        <v>138</v>
      </c>
      <c r="Q185" s="13" t="s">
        <v>673</v>
      </c>
      <c r="R185" s="11"/>
    </row>
    <row r="186" customFormat="false" ht="15" hidden="false" customHeight="false" outlineLevel="0" collapsed="false">
      <c r="A186" s="11" t="n">
        <v>3</v>
      </c>
      <c r="B186" s="12" t="s">
        <v>153</v>
      </c>
      <c r="C186" s="12" t="s">
        <v>124</v>
      </c>
      <c r="D186" s="12" t="s">
        <v>125</v>
      </c>
      <c r="E186" s="11" t="n">
        <v>1</v>
      </c>
      <c r="F186" s="12" t="s">
        <v>267</v>
      </c>
      <c r="G186" s="11" t="s">
        <v>127</v>
      </c>
      <c r="H186" s="11"/>
      <c r="I186" s="11" t="n">
        <f aca="false">IF(E186="","",IF(OR(AND(H186="Plan A",$C$5="B"),AND(H186="Plan B",$C$5="A")),0,IF(OR(G186="per student",G186="per group",G186="per class"),E186*IF(B186="Year 7",$C$3,$C$4),E186)))</f>
        <v>1</v>
      </c>
      <c r="J186" s="12"/>
      <c r="K186" s="11"/>
      <c r="L186" s="11" t="str">
        <f aca="false">IF(OR(K186="",O186&lt;&gt;"",I186=""),"",ROUNDUP(I186*K186,0))</f>
        <v/>
      </c>
      <c r="M186" s="12" t="s">
        <v>674</v>
      </c>
      <c r="N186" s="11"/>
      <c r="O186" s="12" t="s">
        <v>391</v>
      </c>
      <c r="P186" s="12" t="s">
        <v>376</v>
      </c>
      <c r="Q186" s="12"/>
      <c r="R186" s="11"/>
    </row>
    <row r="187" customFormat="false" ht="35.05" hidden="false" customHeight="false" outlineLevel="0" collapsed="false">
      <c r="A187" s="11" t="n">
        <v>3</v>
      </c>
      <c r="B187" s="12" t="s">
        <v>153</v>
      </c>
      <c r="C187" s="12" t="s">
        <v>294</v>
      </c>
      <c r="D187" s="12" t="s">
        <v>675</v>
      </c>
      <c r="E187" s="11" t="n">
        <v>44</v>
      </c>
      <c r="F187" s="12" t="s">
        <v>296</v>
      </c>
      <c r="G187" s="11" t="s">
        <v>127</v>
      </c>
      <c r="H187" s="11"/>
      <c r="I187" s="11" t="n">
        <f aca="false">IF(E187="","",IF(OR(AND(H187="Plan A",$C$5="B"),AND(H187="Plan B",$C$5="A")),0,IF(OR(G187="per student",G187="per group",G187="per class"),E187*IF(B187="Year 7",$C$3,$C$4),E187)))</f>
        <v>44</v>
      </c>
      <c r="J187" s="12"/>
      <c r="K187" s="11"/>
      <c r="L187" s="11" t="str">
        <f aca="false">IF(OR(K187="",O187&lt;&gt;"",I187=""),"",ROUNDUP(I187*K187,0))</f>
        <v/>
      </c>
      <c r="M187" s="12" t="s">
        <v>676</v>
      </c>
      <c r="N187" s="11"/>
      <c r="O187" s="12"/>
      <c r="P187" s="12" t="s">
        <v>77</v>
      </c>
      <c r="Q187" s="13" t="s">
        <v>677</v>
      </c>
      <c r="R187" s="11"/>
    </row>
    <row r="188" customFormat="false" ht="23.85" hidden="false" customHeight="false" outlineLevel="0" collapsed="false">
      <c r="A188" s="11" t="n">
        <v>3</v>
      </c>
      <c r="B188" s="12" t="s">
        <v>153</v>
      </c>
      <c r="C188" s="12" t="s">
        <v>294</v>
      </c>
      <c r="D188" s="12" t="s">
        <v>678</v>
      </c>
      <c r="E188" s="11" t="n">
        <v>12</v>
      </c>
      <c r="F188" s="12" t="s">
        <v>397</v>
      </c>
      <c r="G188" s="11" t="s">
        <v>66</v>
      </c>
      <c r="H188" s="11"/>
      <c r="I188" s="11" t="n">
        <f aca="false">IF(E188="","",IF(OR(AND(H188="Plan A",$C$5="B"),AND(H188="Plan B",$C$5="A")),0,IF(OR(G188="per student",G188="per group",G188="per class"),E188*IF(B188="Year 7",$C$3,$C$4),E188)))</f>
        <v>12</v>
      </c>
      <c r="J188" s="12"/>
      <c r="K188" s="11"/>
      <c r="L188" s="11" t="str">
        <f aca="false">IF(OR(K188="",O188&lt;&gt;"",I188=""),"",ROUNDUP(I188*K188,0))</f>
        <v/>
      </c>
      <c r="M188" s="12" t="s">
        <v>679</v>
      </c>
      <c r="N188" s="11"/>
      <c r="O188" s="12"/>
      <c r="P188" s="12" t="s">
        <v>77</v>
      </c>
      <c r="Q188" s="13" t="s">
        <v>680</v>
      </c>
      <c r="R188" s="11"/>
    </row>
    <row r="189" customFormat="false" ht="35.05" hidden="false" customHeight="false" outlineLevel="0" collapsed="false">
      <c r="A189" s="11" t="n">
        <v>3</v>
      </c>
      <c r="B189" s="12" t="s">
        <v>153</v>
      </c>
      <c r="C189" s="12" t="s">
        <v>144</v>
      </c>
      <c r="D189" s="12" t="s">
        <v>681</v>
      </c>
      <c r="E189" s="11" t="n">
        <v>8</v>
      </c>
      <c r="F189" s="12" t="s">
        <v>296</v>
      </c>
      <c r="G189" s="11" t="s">
        <v>127</v>
      </c>
      <c r="H189" s="11"/>
      <c r="I189" s="11" t="n">
        <f aca="false">IF(E189="","",IF(OR(AND(H189="Plan A",$C$5="B"),AND(H189="Plan B",$C$5="A")),0,IF(OR(G189="per student",G189="per group",G189="per class"),E189*IF(B189="Year 7",$C$3,$C$4),E189)))</f>
        <v>8</v>
      </c>
      <c r="J189" s="12"/>
      <c r="K189" s="11"/>
      <c r="L189" s="11" t="str">
        <f aca="false">IF(OR(K189="",O189&lt;&gt;"",I189=""),"",ROUNDUP(I189*K189,0))</f>
        <v/>
      </c>
      <c r="M189" s="12" t="s">
        <v>682</v>
      </c>
      <c r="N189" s="11"/>
      <c r="O189" s="12"/>
      <c r="P189" s="12" t="s">
        <v>77</v>
      </c>
      <c r="Q189" s="13" t="s">
        <v>683</v>
      </c>
      <c r="R189" s="11"/>
    </row>
    <row r="190" customFormat="false" ht="23.85" hidden="false" customHeight="false" outlineLevel="0" collapsed="false">
      <c r="A190" s="11" t="n">
        <v>3</v>
      </c>
      <c r="B190" s="12" t="s">
        <v>153</v>
      </c>
      <c r="C190" s="12" t="s">
        <v>144</v>
      </c>
      <c r="D190" s="12" t="s">
        <v>684</v>
      </c>
      <c r="E190" s="11" t="n">
        <v>24</v>
      </c>
      <c r="F190" s="12" t="s">
        <v>685</v>
      </c>
      <c r="G190" s="11" t="s">
        <v>127</v>
      </c>
      <c r="H190" s="11"/>
      <c r="I190" s="11" t="n">
        <f aca="false">IF(E190="","",IF(OR(AND(H190="Plan A",$C$5="B"),AND(H190="Plan B",$C$5="A")),0,IF(OR(G190="per student",G190="per group",G190="per class"),E190*IF(B190="Year 7",$C$3,$C$4),E190)))</f>
        <v>24</v>
      </c>
      <c r="J190" s="12"/>
      <c r="K190" s="11"/>
      <c r="L190" s="11" t="str">
        <f aca="false">IF(OR(K190="",O190&lt;&gt;"",I190=""),"",ROUNDUP(I190*K190,0))</f>
        <v/>
      </c>
      <c r="M190" s="12" t="s">
        <v>686</v>
      </c>
      <c r="N190" s="11" t="s">
        <v>105</v>
      </c>
      <c r="O190" s="12"/>
      <c r="P190" s="13" t="s">
        <v>91</v>
      </c>
      <c r="Q190" s="13" t="s">
        <v>687</v>
      </c>
      <c r="R190" s="11"/>
    </row>
    <row r="191" customFormat="false" ht="23.85" hidden="false" customHeight="false" outlineLevel="0" collapsed="false">
      <c r="A191" s="11" t="n">
        <v>3</v>
      </c>
      <c r="B191" s="12" t="s">
        <v>153</v>
      </c>
      <c r="C191" s="12" t="s">
        <v>144</v>
      </c>
      <c r="D191" s="12" t="s">
        <v>688</v>
      </c>
      <c r="E191" s="11" t="n">
        <v>4</v>
      </c>
      <c r="F191" s="12" t="s">
        <v>296</v>
      </c>
      <c r="G191" s="11" t="s">
        <v>57</v>
      </c>
      <c r="H191" s="11"/>
      <c r="I191" s="11" t="n">
        <f aca="false">IF(E191="","",IF(OR(AND(H191="Plan A",$C$5="B"),AND(H191="Plan B",$C$5="A")),0,IF(OR(G191="per student",G191="per group",G191="per class"),E191*IF(B191="Year 7",$C$3,$C$4),E191)))</f>
        <v>4</v>
      </c>
      <c r="J191" s="12"/>
      <c r="K191" s="11"/>
      <c r="L191" s="11" t="str">
        <f aca="false">IF(OR(K191="",O191&lt;&gt;"",I191=""),"",ROUNDUP(I191*K191,0))</f>
        <v/>
      </c>
      <c r="M191" s="12" t="s">
        <v>689</v>
      </c>
      <c r="N191" s="11"/>
      <c r="O191" s="12" t="s">
        <v>690</v>
      </c>
      <c r="P191" s="12" t="s">
        <v>376</v>
      </c>
      <c r="Q191" s="13" t="s">
        <v>691</v>
      </c>
      <c r="R191" s="11"/>
    </row>
    <row r="192" customFormat="false" ht="35.05" hidden="false" customHeight="false" outlineLevel="0" collapsed="false">
      <c r="A192" s="11" t="n">
        <v>3</v>
      </c>
      <c r="B192" s="12" t="s">
        <v>153</v>
      </c>
      <c r="C192" s="12" t="s">
        <v>144</v>
      </c>
      <c r="D192" s="12" t="s">
        <v>692</v>
      </c>
      <c r="E192" s="11" t="n">
        <v>1</v>
      </c>
      <c r="F192" s="12" t="s">
        <v>318</v>
      </c>
      <c r="G192" s="11" t="s">
        <v>57</v>
      </c>
      <c r="H192" s="11"/>
      <c r="I192" s="11" t="n">
        <f aca="false">IF(E192="","",IF(OR(AND(H192="Plan A",$C$5="B"),AND(H192="Plan B",$C$5="A")),0,IF(OR(G192="per student",G192="per group",G192="per class"),E192*IF(B192="Year 7",$C$3,$C$4),E192)))</f>
        <v>1</v>
      </c>
      <c r="J192" s="12"/>
      <c r="K192" s="11"/>
      <c r="L192" s="11" t="str">
        <f aca="false">IF(OR(K192="",O192&lt;&gt;"",I192=""),"",ROUNDUP(I192*K192,0))</f>
        <v/>
      </c>
      <c r="M192" s="12" t="s">
        <v>693</v>
      </c>
      <c r="N192" s="11"/>
      <c r="O192" s="12" t="s">
        <v>694</v>
      </c>
      <c r="P192" s="12" t="s">
        <v>376</v>
      </c>
      <c r="Q192" s="12"/>
      <c r="R192" s="11"/>
    </row>
    <row r="193" customFormat="false" ht="57.45" hidden="false" customHeight="false" outlineLevel="0" collapsed="false">
      <c r="A193" s="14" t="n">
        <v>4</v>
      </c>
      <c r="B193" s="15" t="s">
        <v>39</v>
      </c>
      <c r="C193" s="15" t="s">
        <v>40</v>
      </c>
      <c r="D193" s="15" t="s">
        <v>695</v>
      </c>
      <c r="E193" s="14" t="n">
        <v>24</v>
      </c>
      <c r="F193" s="15" t="s">
        <v>696</v>
      </c>
      <c r="G193" s="14" t="s">
        <v>43</v>
      </c>
      <c r="H193" s="14"/>
      <c r="I193" s="14" t="n">
        <f aca="false">IF(E193="","",IF(OR(AND(H193="Plan A",$C$5="B"),AND(H193="Plan B",$C$5="A")),0,IF(OR(G193="per student",G193="per group",G193="per class"),E193*IF(B193="Year 7",$C$3,$C$4),E193)))</f>
        <v>24</v>
      </c>
      <c r="J193" s="15" t="s">
        <v>13</v>
      </c>
      <c r="K193" s="14" t="n">
        <v>3</v>
      </c>
      <c r="L193" s="14" t="n">
        <f aca="false">IF(OR(K193="",O193&lt;&gt;"",I193=""),"",ROUNDUP(I193*K193,0))</f>
        <v>72</v>
      </c>
      <c r="M193" s="15" t="s">
        <v>697</v>
      </c>
      <c r="N193" s="14"/>
      <c r="O193" s="15"/>
      <c r="P193" s="15" t="s">
        <v>45</v>
      </c>
      <c r="Q193" s="13" t="s">
        <v>698</v>
      </c>
      <c r="R193" s="14"/>
    </row>
    <row r="194" customFormat="false" ht="46.25" hidden="false" customHeight="false" outlineLevel="0" collapsed="false">
      <c r="A194" s="14" t="n">
        <v>4</v>
      </c>
      <c r="B194" s="15" t="s">
        <v>39</v>
      </c>
      <c r="C194" s="15" t="s">
        <v>40</v>
      </c>
      <c r="D194" s="15" t="s">
        <v>699</v>
      </c>
      <c r="E194" s="14" t="n">
        <v>6</v>
      </c>
      <c r="F194" s="15" t="s">
        <v>700</v>
      </c>
      <c r="G194" s="14" t="s">
        <v>66</v>
      </c>
      <c r="H194" s="14"/>
      <c r="I194" s="14" t="n">
        <f aca="false">IF(E194="","",IF(OR(AND(H194="Plan A",$C$5="B"),AND(H194="Plan B",$C$5="A")),0,IF(OR(G194="per student",G194="per group",G194="per class"),E194*IF(B194="Year 7",$C$3,$C$4),E194)))</f>
        <v>6</v>
      </c>
      <c r="J194" s="15" t="s">
        <v>20</v>
      </c>
      <c r="K194" s="14" t="n">
        <v>1</v>
      </c>
      <c r="L194" s="14" t="n">
        <f aca="false">IF(OR(K194="",O194&lt;&gt;"",I194=""),"",ROUNDUP(I194*K194,0))</f>
        <v>6</v>
      </c>
      <c r="M194" s="15" t="s">
        <v>701</v>
      </c>
      <c r="N194" s="14"/>
      <c r="O194" s="15"/>
      <c r="P194" s="15" t="s">
        <v>45</v>
      </c>
      <c r="Q194" s="13" t="s">
        <v>702</v>
      </c>
      <c r="R194" s="14"/>
    </row>
    <row r="195" customFormat="false" ht="23.85" hidden="false" customHeight="false" outlineLevel="0" collapsed="false">
      <c r="A195" s="14" t="n">
        <v>4</v>
      </c>
      <c r="B195" s="15" t="s">
        <v>39</v>
      </c>
      <c r="C195" s="15" t="s">
        <v>40</v>
      </c>
      <c r="D195" s="15" t="s">
        <v>446</v>
      </c>
      <c r="E195" s="14" t="n">
        <v>1</v>
      </c>
      <c r="F195" s="15" t="s">
        <v>191</v>
      </c>
      <c r="G195" s="14" t="s">
        <v>127</v>
      </c>
      <c r="H195" s="14"/>
      <c r="I195" s="14" t="n">
        <f aca="false">IF(E195="","",IF(OR(AND(H195="Plan A",$C$5="B"),AND(H195="Plan B",$C$5="A")),0,IF(OR(G195="per student",G195="per group",G195="per class"),E195*IF(B195="Year 7",$C$3,$C$4),E195)))</f>
        <v>1</v>
      </c>
      <c r="J195" s="15" t="s">
        <v>20</v>
      </c>
      <c r="K195" s="14" t="n">
        <v>1</v>
      </c>
      <c r="L195" s="14" t="n">
        <f aca="false">IF(OR(K195="",O195&lt;&gt;"",I195=""),"",ROUNDUP(I195*K195,0))</f>
        <v>1</v>
      </c>
      <c r="M195" s="15" t="s">
        <v>703</v>
      </c>
      <c r="N195" s="14"/>
      <c r="O195" s="15"/>
      <c r="P195" s="15" t="s">
        <v>45</v>
      </c>
      <c r="Q195" s="15"/>
      <c r="R195" s="14"/>
    </row>
    <row r="196" customFormat="false" ht="57.45" hidden="false" customHeight="false" outlineLevel="0" collapsed="false">
      <c r="A196" s="14" t="n">
        <v>4</v>
      </c>
      <c r="B196" s="15" t="s">
        <v>39</v>
      </c>
      <c r="C196" s="15" t="s">
        <v>97</v>
      </c>
      <c r="D196" s="15" t="s">
        <v>704</v>
      </c>
      <c r="E196" s="14" t="n">
        <v>3</v>
      </c>
      <c r="F196" s="15" t="s">
        <v>705</v>
      </c>
      <c r="G196" s="14" t="s">
        <v>127</v>
      </c>
      <c r="H196" s="14"/>
      <c r="I196" s="14" t="n">
        <f aca="false">IF(E196="","",IF(OR(AND(H196="Plan A",$C$5="B"),AND(H196="Plan B",$C$5="A")),0,IF(OR(G196="per student",G196="per group",G196="per class"),E196*IF(B196="Year 7",$C$3,$C$4),E196)))</f>
        <v>3</v>
      </c>
      <c r="J196" s="15" t="s">
        <v>14</v>
      </c>
      <c r="K196" s="14" t="n">
        <v>1</v>
      </c>
      <c r="L196" s="14" t="n">
        <f aca="false">IF(OR(K196="",O196&lt;&gt;"",I196=""),"",ROUNDUP(I196*K196,0))</f>
        <v>3</v>
      </c>
      <c r="M196" s="15" t="s">
        <v>706</v>
      </c>
      <c r="N196" s="14"/>
      <c r="O196" s="15"/>
      <c r="P196" s="13" t="s">
        <v>91</v>
      </c>
      <c r="Q196" s="13" t="s">
        <v>707</v>
      </c>
      <c r="R196" s="14"/>
    </row>
    <row r="197" customFormat="false" ht="23.85" hidden="false" customHeight="false" outlineLevel="0" collapsed="false">
      <c r="A197" s="14" t="n">
        <v>4</v>
      </c>
      <c r="B197" s="15" t="s">
        <v>39</v>
      </c>
      <c r="C197" s="15" t="s">
        <v>97</v>
      </c>
      <c r="D197" s="15" t="s">
        <v>243</v>
      </c>
      <c r="E197" s="14" t="n">
        <v>6</v>
      </c>
      <c r="F197" s="15" t="s">
        <v>241</v>
      </c>
      <c r="G197" s="14" t="s">
        <v>66</v>
      </c>
      <c r="H197" s="14"/>
      <c r="I197" s="14" t="n">
        <f aca="false">IF(E197="","",IF(OR(AND(H197="Plan A",$C$5="B"),AND(H197="Plan B",$C$5="A")),0,IF(OR(G197="per student",G197="per group",G197="per class"),E197*IF(B197="Year 7",$C$3,$C$4),E197)))</f>
        <v>6</v>
      </c>
      <c r="J197" s="15"/>
      <c r="K197" s="14"/>
      <c r="L197" s="14" t="str">
        <f aca="false">IF(OR(K197="",O197&lt;&gt;"",I197=""),"",ROUNDUP(I197*K197,0))</f>
        <v/>
      </c>
      <c r="M197" s="15" t="s">
        <v>708</v>
      </c>
      <c r="N197" s="14" t="s">
        <v>105</v>
      </c>
      <c r="O197" s="15"/>
      <c r="P197" s="15" t="s">
        <v>77</v>
      </c>
      <c r="Q197" s="13" t="s">
        <v>709</v>
      </c>
      <c r="R197" s="14"/>
    </row>
    <row r="198" customFormat="false" ht="23.85" hidden="false" customHeight="false" outlineLevel="0" collapsed="false">
      <c r="A198" s="14" t="n">
        <v>4</v>
      </c>
      <c r="B198" s="15" t="s">
        <v>39</v>
      </c>
      <c r="C198" s="15" t="s">
        <v>97</v>
      </c>
      <c r="D198" s="15" t="s">
        <v>710</v>
      </c>
      <c r="E198" s="14" t="n">
        <v>12</v>
      </c>
      <c r="F198" s="15" t="s">
        <v>711</v>
      </c>
      <c r="G198" s="14" t="s">
        <v>66</v>
      </c>
      <c r="H198" s="14"/>
      <c r="I198" s="14" t="n">
        <f aca="false">IF(E198="","",IF(OR(AND(H198="Plan A",$C$5="B"),AND(H198="Plan B",$C$5="A")),0,IF(OR(G198="per student",G198="per group",G198="per class"),E198*IF(B198="Year 7",$C$3,$C$4),E198)))</f>
        <v>12</v>
      </c>
      <c r="J198" s="15"/>
      <c r="K198" s="14"/>
      <c r="L198" s="14" t="str">
        <f aca="false">IF(OR(K198="",O198&lt;&gt;"",I198=""),"",ROUNDUP(I198*K198,0))</f>
        <v/>
      </c>
      <c r="M198" s="15" t="s">
        <v>712</v>
      </c>
      <c r="N198" s="14"/>
      <c r="O198" s="15"/>
      <c r="P198" s="15" t="s">
        <v>77</v>
      </c>
      <c r="Q198" s="13" t="s">
        <v>713</v>
      </c>
      <c r="R198" s="14"/>
    </row>
    <row r="199" customFormat="false" ht="23.85" hidden="false" customHeight="false" outlineLevel="0" collapsed="false">
      <c r="A199" s="14" t="n">
        <v>4</v>
      </c>
      <c r="B199" s="15" t="s">
        <v>39</v>
      </c>
      <c r="C199" s="15" t="s">
        <v>97</v>
      </c>
      <c r="D199" s="15" t="s">
        <v>253</v>
      </c>
      <c r="E199" s="14" t="n">
        <v>1</v>
      </c>
      <c r="F199" s="15" t="s">
        <v>357</v>
      </c>
      <c r="G199" s="14" t="s">
        <v>75</v>
      </c>
      <c r="H199" s="14"/>
      <c r="I199" s="14" t="n">
        <f aca="false">IF(E199="","",IF(OR(AND(H199="Plan A",$C$5="B"),AND(H199="Plan B",$C$5="A")),0,IF(OR(G199="per student",G199="per group",G199="per class"),E199*IF(B199="Year 7",$C$3,$C$4),E199)))</f>
        <v>1</v>
      </c>
      <c r="J199" s="15"/>
      <c r="K199" s="14"/>
      <c r="L199" s="14" t="str">
        <f aca="false">IF(OR(K199="",O199&lt;&gt;"",I199=""),"",ROUNDUP(I199*K199,0))</f>
        <v/>
      </c>
      <c r="M199" s="15" t="s">
        <v>714</v>
      </c>
      <c r="N199" s="14"/>
      <c r="O199" s="15" t="s">
        <v>715</v>
      </c>
      <c r="P199" s="13" t="s">
        <v>91</v>
      </c>
      <c r="Q199" s="13" t="s">
        <v>716</v>
      </c>
      <c r="R199" s="14"/>
    </row>
    <row r="200" customFormat="false" ht="35.05" hidden="false" customHeight="false" outlineLevel="0" collapsed="false">
      <c r="A200" s="14" t="n">
        <v>4</v>
      </c>
      <c r="B200" s="15" t="s">
        <v>39</v>
      </c>
      <c r="C200" s="15" t="s">
        <v>97</v>
      </c>
      <c r="D200" s="15" t="s">
        <v>717</v>
      </c>
      <c r="E200" s="14" t="n">
        <v>6</v>
      </c>
      <c r="F200" s="15" t="s">
        <v>355</v>
      </c>
      <c r="G200" s="14" t="s">
        <v>66</v>
      </c>
      <c r="H200" s="14"/>
      <c r="I200" s="14" t="n">
        <f aca="false">IF(E200="","",IF(OR(AND(H200="Plan A",$C$5="B"),AND(H200="Plan B",$C$5="A")),0,IF(OR(G200="per student",G200="per group",G200="per class"),E200*IF(B200="Year 7",$C$3,$C$4),E200)))</f>
        <v>6</v>
      </c>
      <c r="J200" s="15"/>
      <c r="K200" s="14"/>
      <c r="L200" s="14" t="str">
        <f aca="false">IF(OR(K200="",O200&lt;&gt;"",I200=""),"",ROUNDUP(I200*K200,0))</f>
        <v/>
      </c>
      <c r="M200" s="15" t="s">
        <v>718</v>
      </c>
      <c r="N200" s="14"/>
      <c r="O200" s="15" t="s">
        <v>719</v>
      </c>
      <c r="P200" s="13" t="s">
        <v>91</v>
      </c>
      <c r="Q200" s="13" t="s">
        <v>720</v>
      </c>
      <c r="R200" s="14"/>
    </row>
    <row r="201" customFormat="false" ht="23.85" hidden="false" customHeight="false" outlineLevel="0" collapsed="false">
      <c r="A201" s="14" t="n">
        <v>4</v>
      </c>
      <c r="B201" s="15" t="s">
        <v>39</v>
      </c>
      <c r="C201" s="15" t="s">
        <v>97</v>
      </c>
      <c r="D201" s="15" t="s">
        <v>367</v>
      </c>
      <c r="E201" s="14" t="n">
        <v>24</v>
      </c>
      <c r="F201" s="15" t="s">
        <v>368</v>
      </c>
      <c r="G201" s="14" t="s">
        <v>43</v>
      </c>
      <c r="H201" s="14"/>
      <c r="I201" s="14" t="n">
        <f aca="false">IF(E201="","",IF(OR(AND(H201="Plan A",$C$5="B"),AND(H201="Plan B",$C$5="A")),0,IF(OR(G201="per student",G201="per group",G201="per class"),E201*IF(B201="Year 7",$C$3,$C$4),E201)))</f>
        <v>24</v>
      </c>
      <c r="J201" s="15"/>
      <c r="K201" s="14"/>
      <c r="L201" s="14" t="str">
        <f aca="false">IF(OR(K201="",O201&lt;&gt;"",I201=""),"",ROUNDUP(I201*K201,0))</f>
        <v/>
      </c>
      <c r="M201" s="15" t="s">
        <v>721</v>
      </c>
      <c r="N201" s="14"/>
      <c r="O201" s="15" t="s">
        <v>370</v>
      </c>
      <c r="P201" s="13" t="s">
        <v>91</v>
      </c>
      <c r="Q201" s="13" t="s">
        <v>722</v>
      </c>
      <c r="R201" s="14"/>
    </row>
    <row r="202" customFormat="false" ht="35.05" hidden="false" customHeight="false" outlineLevel="0" collapsed="false">
      <c r="A202" s="14" t="n">
        <v>4</v>
      </c>
      <c r="B202" s="15" t="s">
        <v>39</v>
      </c>
      <c r="C202" s="15" t="s">
        <v>97</v>
      </c>
      <c r="D202" s="15" t="s">
        <v>120</v>
      </c>
      <c r="E202" s="14" t="n">
        <v>24</v>
      </c>
      <c r="F202" s="15" t="s">
        <v>248</v>
      </c>
      <c r="G202" s="14" t="s">
        <v>43</v>
      </c>
      <c r="H202" s="14"/>
      <c r="I202" s="14" t="n">
        <f aca="false">IF(E202="","",IF(OR(AND(H202="Plan A",$C$5="B"),AND(H202="Plan B",$C$5="A")),0,IF(OR(G202="per student",G202="per group",G202="per class"),E202*IF(B202="Year 7",$C$3,$C$4),E202)))</f>
        <v>24</v>
      </c>
      <c r="J202" s="15"/>
      <c r="K202" s="14"/>
      <c r="L202" s="14" t="str">
        <f aca="false">IF(OR(K202="",O202&lt;&gt;"",I202=""),"",ROUNDUP(I202*K202,0))</f>
        <v/>
      </c>
      <c r="M202" s="15" t="s">
        <v>723</v>
      </c>
      <c r="N202" s="14"/>
      <c r="O202" s="15" t="s">
        <v>724</v>
      </c>
      <c r="P202" s="15" t="s">
        <v>376</v>
      </c>
      <c r="Q202" s="13" t="s">
        <v>725</v>
      </c>
      <c r="R202" s="14"/>
    </row>
    <row r="203" customFormat="false" ht="35.05" hidden="false" customHeight="false" outlineLevel="0" collapsed="false">
      <c r="A203" s="14" t="n">
        <v>4</v>
      </c>
      <c r="B203" s="15" t="s">
        <v>39</v>
      </c>
      <c r="C203" s="15" t="s">
        <v>97</v>
      </c>
      <c r="D203" s="15" t="s">
        <v>726</v>
      </c>
      <c r="E203" s="14" t="n">
        <v>6</v>
      </c>
      <c r="F203" s="15" t="s">
        <v>373</v>
      </c>
      <c r="G203" s="14" t="s">
        <v>66</v>
      </c>
      <c r="H203" s="14"/>
      <c r="I203" s="14" t="n">
        <f aca="false">IF(E203="","",IF(OR(AND(H203="Plan A",$C$5="B"),AND(H203="Plan B",$C$5="A")),0,IF(OR(G203="per student",G203="per group",G203="per class"),E203*IF(B203="Year 7",$C$3,$C$4),E203)))</f>
        <v>6</v>
      </c>
      <c r="J203" s="15"/>
      <c r="K203" s="14"/>
      <c r="L203" s="14" t="str">
        <f aca="false">IF(OR(K203="",O203&lt;&gt;"",I203=""),"",ROUNDUP(I203*K203,0))</f>
        <v/>
      </c>
      <c r="M203" s="15" t="s">
        <v>727</v>
      </c>
      <c r="N203" s="14"/>
      <c r="O203" s="15" t="s">
        <v>481</v>
      </c>
      <c r="P203" s="15" t="s">
        <v>376</v>
      </c>
      <c r="Q203" s="13" t="s">
        <v>728</v>
      </c>
      <c r="R203" s="14"/>
    </row>
    <row r="204" customFormat="false" ht="35.05" hidden="false" customHeight="false" outlineLevel="0" collapsed="false">
      <c r="A204" s="14" t="n">
        <v>4</v>
      </c>
      <c r="B204" s="15" t="s">
        <v>39</v>
      </c>
      <c r="C204" s="15" t="s">
        <v>97</v>
      </c>
      <c r="D204" s="15" t="s">
        <v>729</v>
      </c>
      <c r="E204" s="14" t="n">
        <v>6</v>
      </c>
      <c r="F204" s="15" t="s">
        <v>373</v>
      </c>
      <c r="G204" s="14" t="s">
        <v>66</v>
      </c>
      <c r="H204" s="14"/>
      <c r="I204" s="14" t="n">
        <f aca="false">IF(E204="","",IF(OR(AND(H204="Plan A",$C$5="B"),AND(H204="Plan B",$C$5="A")),0,IF(OR(G204="per student",G204="per group",G204="per class"),E204*IF(B204="Year 7",$C$3,$C$4),E204)))</f>
        <v>6</v>
      </c>
      <c r="J204" s="15"/>
      <c r="K204" s="14"/>
      <c r="L204" s="14" t="str">
        <f aca="false">IF(OR(K204="",O204&lt;&gt;"",I204=""),"",ROUNDUP(I204*K204,0))</f>
        <v/>
      </c>
      <c r="M204" s="15" t="s">
        <v>730</v>
      </c>
      <c r="N204" s="14"/>
      <c r="O204" s="15" t="s">
        <v>484</v>
      </c>
      <c r="P204" s="15" t="s">
        <v>376</v>
      </c>
      <c r="Q204" s="13" t="s">
        <v>731</v>
      </c>
      <c r="R204" s="14"/>
    </row>
    <row r="205" customFormat="false" ht="35.05" hidden="false" customHeight="false" outlineLevel="0" collapsed="false">
      <c r="A205" s="14" t="n">
        <v>4</v>
      </c>
      <c r="B205" s="15" t="s">
        <v>39</v>
      </c>
      <c r="C205" s="15" t="s">
        <v>97</v>
      </c>
      <c r="D205" s="15" t="s">
        <v>386</v>
      </c>
      <c r="E205" s="14" t="n">
        <v>24</v>
      </c>
      <c r="F205" s="15" t="s">
        <v>368</v>
      </c>
      <c r="G205" s="14" t="s">
        <v>43</v>
      </c>
      <c r="H205" s="14"/>
      <c r="I205" s="14" t="n">
        <f aca="false">IF(E205="","",IF(OR(AND(H205="Plan A",$C$5="B"),AND(H205="Plan B",$C$5="A")),0,IF(OR(G205="per student",G205="per group",G205="per class"),E205*IF(B205="Year 7",$C$3,$C$4),E205)))</f>
        <v>24</v>
      </c>
      <c r="J205" s="15"/>
      <c r="K205" s="14"/>
      <c r="L205" s="14" t="str">
        <f aca="false">IF(OR(K205="",O205&lt;&gt;"",I205=""),"",ROUNDUP(I205*K205,0))</f>
        <v/>
      </c>
      <c r="M205" s="15" t="s">
        <v>732</v>
      </c>
      <c r="N205" s="14"/>
      <c r="O205" s="15" t="s">
        <v>733</v>
      </c>
      <c r="P205" s="15" t="s">
        <v>376</v>
      </c>
      <c r="Q205" s="13" t="s">
        <v>734</v>
      </c>
      <c r="R205" s="14"/>
    </row>
    <row r="206" customFormat="false" ht="35.05" hidden="false" customHeight="false" outlineLevel="0" collapsed="false">
      <c r="A206" s="14" t="n">
        <v>4</v>
      </c>
      <c r="B206" s="15" t="s">
        <v>39</v>
      </c>
      <c r="C206" s="15" t="s">
        <v>124</v>
      </c>
      <c r="D206" s="15" t="s">
        <v>584</v>
      </c>
      <c r="E206" s="14" t="n">
        <v>7</v>
      </c>
      <c r="F206" s="15" t="s">
        <v>585</v>
      </c>
      <c r="G206" s="14" t="s">
        <v>66</v>
      </c>
      <c r="H206" s="14"/>
      <c r="I206" s="14" t="n">
        <f aca="false">IF(E206="","",IF(OR(AND(H206="Plan A",$C$5="B"),AND(H206="Plan B",$C$5="A")),0,IF(OR(G206="per student",G206="per group",G206="per class"),E206*IF(B206="Year 7",$C$3,$C$4),E206)))</f>
        <v>7</v>
      </c>
      <c r="J206" s="15"/>
      <c r="K206" s="14"/>
      <c r="L206" s="14" t="str">
        <f aca="false">IF(OR(K206="",O206&lt;&gt;"",I206=""),"",ROUNDUP(I206*K206,0))</f>
        <v/>
      </c>
      <c r="M206" s="15" t="s">
        <v>735</v>
      </c>
      <c r="N206" s="14"/>
      <c r="O206" s="15"/>
      <c r="P206" s="15" t="s">
        <v>77</v>
      </c>
      <c r="Q206" s="13" t="s">
        <v>736</v>
      </c>
      <c r="R206" s="14"/>
    </row>
    <row r="207" customFormat="false" ht="15" hidden="false" customHeight="false" outlineLevel="0" collapsed="false">
      <c r="A207" s="14" t="n">
        <v>4</v>
      </c>
      <c r="B207" s="15" t="s">
        <v>39</v>
      </c>
      <c r="C207" s="15" t="s">
        <v>124</v>
      </c>
      <c r="D207" s="15" t="s">
        <v>737</v>
      </c>
      <c r="E207" s="14" t="n">
        <v>1</v>
      </c>
      <c r="F207" s="15" t="s">
        <v>273</v>
      </c>
      <c r="G207" s="14" t="s">
        <v>127</v>
      </c>
      <c r="H207" s="14"/>
      <c r="I207" s="14" t="n">
        <f aca="false">IF(E207="","",IF(OR(AND(H207="Plan A",$C$5="B"),AND(H207="Plan B",$C$5="A")),0,IF(OR(G207="per student",G207="per group",G207="per class"),E207*IF(B207="Year 7",$C$3,$C$4),E207)))</f>
        <v>1</v>
      </c>
      <c r="J207" s="15"/>
      <c r="K207" s="14"/>
      <c r="L207" s="14" t="str">
        <f aca="false">IF(OR(K207="",O207&lt;&gt;"",I207=""),"",ROUNDUP(I207*K207,0))</f>
        <v/>
      </c>
      <c r="M207" s="15" t="s">
        <v>738</v>
      </c>
      <c r="N207" s="14"/>
      <c r="O207" s="15"/>
      <c r="P207" s="15" t="s">
        <v>77</v>
      </c>
      <c r="Q207" s="15"/>
      <c r="R207" s="14"/>
    </row>
    <row r="208" customFormat="false" ht="15" hidden="false" customHeight="false" outlineLevel="0" collapsed="false">
      <c r="A208" s="14" t="n">
        <v>4</v>
      </c>
      <c r="B208" s="15" t="s">
        <v>39</v>
      </c>
      <c r="C208" s="15" t="s">
        <v>124</v>
      </c>
      <c r="D208" s="15" t="s">
        <v>739</v>
      </c>
      <c r="E208" s="14" t="n">
        <v>1</v>
      </c>
      <c r="F208" s="15" t="s">
        <v>740</v>
      </c>
      <c r="G208" s="14" t="s">
        <v>75</v>
      </c>
      <c r="H208" s="14"/>
      <c r="I208" s="14" t="n">
        <f aca="false">IF(E208="","",IF(OR(AND(H208="Plan A",$C$5="B"),AND(H208="Plan B",$C$5="A")),0,IF(OR(G208="per student",G208="per group",G208="per class"),E208*IF(B208="Year 7",$C$3,$C$4),E208)))</f>
        <v>1</v>
      </c>
      <c r="J208" s="15"/>
      <c r="K208" s="14"/>
      <c r="L208" s="14" t="str">
        <f aca="false">IF(OR(K208="",O208&lt;&gt;"",I208=""),"",ROUNDUP(I208*K208,0))</f>
        <v/>
      </c>
      <c r="M208" s="15" t="s">
        <v>741</v>
      </c>
      <c r="N208" s="14"/>
      <c r="O208" s="15"/>
      <c r="P208" s="15" t="s">
        <v>77</v>
      </c>
      <c r="Q208" s="15"/>
      <c r="R208" s="14"/>
    </row>
    <row r="209" customFormat="false" ht="15" hidden="false" customHeight="false" outlineLevel="0" collapsed="false">
      <c r="A209" s="14" t="n">
        <v>4</v>
      </c>
      <c r="B209" s="15" t="s">
        <v>39</v>
      </c>
      <c r="C209" s="15" t="s">
        <v>124</v>
      </c>
      <c r="D209" s="15" t="s">
        <v>580</v>
      </c>
      <c r="E209" s="14" t="n">
        <v>6</v>
      </c>
      <c r="F209" s="15" t="s">
        <v>581</v>
      </c>
      <c r="G209" s="14" t="s">
        <v>66</v>
      </c>
      <c r="H209" s="14"/>
      <c r="I209" s="14" t="n">
        <f aca="false">IF(E209="","",IF(OR(AND(H209="Plan A",$C$5="B"),AND(H209="Plan B",$C$5="A")),0,IF(OR(G209="per student",G209="per group",G209="per class"),E209*IF(B209="Year 7",$C$3,$C$4),E209)))</f>
        <v>6</v>
      </c>
      <c r="J209" s="15"/>
      <c r="K209" s="14"/>
      <c r="L209" s="14" t="str">
        <f aca="false">IF(OR(K209="",O209&lt;&gt;"",I209=""),"",ROUNDUP(I209*K209,0))</f>
        <v/>
      </c>
      <c r="M209" s="15" t="s">
        <v>742</v>
      </c>
      <c r="N209" s="14"/>
      <c r="O209" s="15"/>
      <c r="P209" s="15" t="s">
        <v>77</v>
      </c>
      <c r="Q209" s="13" t="s">
        <v>743</v>
      </c>
      <c r="R209" s="14"/>
    </row>
    <row r="210" customFormat="false" ht="15" hidden="false" customHeight="false" outlineLevel="0" collapsed="false">
      <c r="A210" s="14" t="n">
        <v>4</v>
      </c>
      <c r="B210" s="15" t="s">
        <v>39</v>
      </c>
      <c r="C210" s="15" t="s">
        <v>124</v>
      </c>
      <c r="D210" s="15" t="s">
        <v>125</v>
      </c>
      <c r="E210" s="14" t="n">
        <v>1</v>
      </c>
      <c r="F210" s="15" t="s">
        <v>267</v>
      </c>
      <c r="G210" s="14" t="s">
        <v>127</v>
      </c>
      <c r="H210" s="14"/>
      <c r="I210" s="14" t="n">
        <f aca="false">IF(E210="","",IF(OR(AND(H210="Plan A",$C$5="B"),AND(H210="Plan B",$C$5="A")),0,IF(OR(G210="per student",G210="per group",G210="per class"),E210*IF(B210="Year 7",$C$3,$C$4),E210)))</f>
        <v>1</v>
      </c>
      <c r="J210" s="15"/>
      <c r="K210" s="14"/>
      <c r="L210" s="14" t="str">
        <f aca="false">IF(OR(K210="",O210&lt;&gt;"",I210=""),"",ROUNDUP(I210*K210,0))</f>
        <v/>
      </c>
      <c r="M210" s="15" t="s">
        <v>744</v>
      </c>
      <c r="N210" s="14"/>
      <c r="O210" s="15" t="s">
        <v>391</v>
      </c>
      <c r="P210" s="15" t="s">
        <v>376</v>
      </c>
      <c r="Q210" s="15"/>
      <c r="R210" s="14"/>
    </row>
    <row r="211" customFormat="false" ht="35.05" hidden="false" customHeight="false" outlineLevel="0" collapsed="false">
      <c r="A211" s="14" t="n">
        <v>4</v>
      </c>
      <c r="B211" s="15" t="s">
        <v>39</v>
      </c>
      <c r="C211" s="15" t="s">
        <v>144</v>
      </c>
      <c r="D211" s="15" t="s">
        <v>745</v>
      </c>
      <c r="E211" s="14" t="n">
        <v>18</v>
      </c>
      <c r="F211" s="15" t="s">
        <v>597</v>
      </c>
      <c r="G211" s="14" t="s">
        <v>66</v>
      </c>
      <c r="H211" s="14"/>
      <c r="I211" s="14" t="n">
        <f aca="false">IF(E211="","",IF(OR(AND(H211="Plan A",$C$5="B"),AND(H211="Plan B",$C$5="A")),0,IF(OR(G211="per student",G211="per group",G211="per class"),E211*IF(B211="Year 7",$C$3,$C$4),E211)))</f>
        <v>18</v>
      </c>
      <c r="J211" s="15"/>
      <c r="K211" s="14"/>
      <c r="L211" s="14" t="str">
        <f aca="false">IF(OR(K211="",O211&lt;&gt;"",I211=""),"",ROUNDUP(I211*K211,0))</f>
        <v/>
      </c>
      <c r="M211" s="15" t="s">
        <v>746</v>
      </c>
      <c r="N211" s="14"/>
      <c r="O211" s="15" t="s">
        <v>747</v>
      </c>
      <c r="P211" s="15" t="s">
        <v>376</v>
      </c>
      <c r="Q211" s="13" t="s">
        <v>748</v>
      </c>
      <c r="R211" s="14"/>
    </row>
    <row r="212" customFormat="false" ht="23.85" hidden="false" customHeight="false" outlineLevel="0" collapsed="false">
      <c r="A212" s="14" t="n">
        <v>4</v>
      </c>
      <c r="B212" s="15" t="s">
        <v>39</v>
      </c>
      <c r="C212" s="15" t="s">
        <v>144</v>
      </c>
      <c r="D212" s="15" t="s">
        <v>749</v>
      </c>
      <c r="E212" s="14" t="n">
        <v>1</v>
      </c>
      <c r="F212" s="15" t="s">
        <v>750</v>
      </c>
      <c r="G212" s="14" t="s">
        <v>57</v>
      </c>
      <c r="H212" s="14"/>
      <c r="I212" s="14" t="n">
        <f aca="false">IF(E212="","",IF(OR(AND(H212="Plan A",$C$5="B"),AND(H212="Plan B",$C$5="A")),0,IF(OR(G212="per student",G212="per group",G212="per class"),E212*IF(B212="Year 7",$C$3,$C$4),E212)))</f>
        <v>1</v>
      </c>
      <c r="J212" s="15"/>
      <c r="K212" s="14"/>
      <c r="L212" s="14" t="str">
        <f aca="false">IF(OR(K212="",O212&lt;&gt;"",I212=""),"",ROUNDUP(I212*K212,0))</f>
        <v/>
      </c>
      <c r="M212" s="15" t="s">
        <v>751</v>
      </c>
      <c r="N212" s="14"/>
      <c r="O212" s="15" t="s">
        <v>752</v>
      </c>
      <c r="P212" s="13" t="s">
        <v>91</v>
      </c>
      <c r="Q212" s="13" t="s">
        <v>753</v>
      </c>
      <c r="R212" s="14"/>
    </row>
    <row r="213" customFormat="false" ht="35.05" hidden="false" customHeight="false" outlineLevel="0" collapsed="false">
      <c r="A213" s="14" t="n">
        <v>4</v>
      </c>
      <c r="B213" s="15" t="s">
        <v>39</v>
      </c>
      <c r="C213" s="15" t="s">
        <v>144</v>
      </c>
      <c r="D213" s="15" t="s">
        <v>754</v>
      </c>
      <c r="E213" s="14" t="n">
        <v>6</v>
      </c>
      <c r="F213" s="15" t="s">
        <v>601</v>
      </c>
      <c r="G213" s="14" t="s">
        <v>75</v>
      </c>
      <c r="H213" s="14"/>
      <c r="I213" s="14" t="n">
        <f aca="false">IF(E213="","",IF(OR(AND(H213="Plan A",$C$5="B"),AND(H213="Plan B",$C$5="A")),0,IF(OR(G213="per student",G213="per group",G213="per class"),E213*IF(B213="Year 7",$C$3,$C$4),E213)))</f>
        <v>6</v>
      </c>
      <c r="J213" s="15"/>
      <c r="K213" s="14"/>
      <c r="L213" s="14" t="str">
        <f aca="false">IF(OR(K213="",O213&lt;&gt;"",I213=""),"",ROUNDUP(I213*K213,0))</f>
        <v/>
      </c>
      <c r="M213" s="15" t="s">
        <v>755</v>
      </c>
      <c r="N213" s="14"/>
      <c r="O213" s="15" t="s">
        <v>756</v>
      </c>
      <c r="P213" s="13" t="s">
        <v>91</v>
      </c>
      <c r="Q213" s="13" t="s">
        <v>757</v>
      </c>
      <c r="R213" s="14"/>
    </row>
    <row r="214" customFormat="false" ht="91" hidden="false" customHeight="false" outlineLevel="0" collapsed="false">
      <c r="A214" s="14" t="n">
        <v>4</v>
      </c>
      <c r="B214" s="15" t="s">
        <v>153</v>
      </c>
      <c r="C214" s="15" t="s">
        <v>40</v>
      </c>
      <c r="D214" s="15" t="s">
        <v>758</v>
      </c>
      <c r="E214" s="14" t="n">
        <v>24</v>
      </c>
      <c r="F214" s="15" t="s">
        <v>759</v>
      </c>
      <c r="G214" s="14" t="s">
        <v>43</v>
      </c>
      <c r="H214" s="14"/>
      <c r="I214" s="14" t="n">
        <f aca="false">IF(E214="","",IF(OR(AND(H214="Plan A",$C$5="B"),AND(H214="Plan B",$C$5="A")),0,IF(OR(G214="per student",G214="per group",G214="per class"),E214*IF(B214="Year 7",$C$3,$C$4),E214)))</f>
        <v>24</v>
      </c>
      <c r="J214" s="15" t="s">
        <v>13</v>
      </c>
      <c r="K214" s="14" t="n">
        <v>2</v>
      </c>
      <c r="L214" s="14" t="n">
        <f aca="false">IF(OR(K214="",O214&lt;&gt;"",I214=""),"",ROUNDUP(I214*K214,0))</f>
        <v>48</v>
      </c>
      <c r="M214" s="15" t="s">
        <v>760</v>
      </c>
      <c r="N214" s="14"/>
      <c r="O214" s="15"/>
      <c r="P214" s="15" t="s">
        <v>45</v>
      </c>
      <c r="Q214" s="13" t="s">
        <v>761</v>
      </c>
      <c r="R214" s="14"/>
    </row>
    <row r="215" customFormat="false" ht="35.05" hidden="false" customHeight="false" outlineLevel="0" collapsed="false">
      <c r="A215" s="14" t="n">
        <v>4</v>
      </c>
      <c r="B215" s="15" t="s">
        <v>153</v>
      </c>
      <c r="C215" s="15" t="s">
        <v>40</v>
      </c>
      <c r="D215" s="15" t="s">
        <v>762</v>
      </c>
      <c r="E215" s="14" t="n">
        <v>6</v>
      </c>
      <c r="F215" s="15" t="s">
        <v>763</v>
      </c>
      <c r="G215" s="14" t="s">
        <v>66</v>
      </c>
      <c r="H215" s="14"/>
      <c r="I215" s="14" t="n">
        <f aca="false">IF(E215="","",IF(OR(AND(H215="Plan A",$C$5="B"),AND(H215="Plan B",$C$5="A")),0,IF(OR(G215="per student",G215="per group",G215="per class"),E215*IF(B215="Year 7",$C$3,$C$4),E215)))</f>
        <v>6</v>
      </c>
      <c r="J215" s="15" t="s">
        <v>20</v>
      </c>
      <c r="K215" s="14" t="n">
        <v>1</v>
      </c>
      <c r="L215" s="14" t="n">
        <f aca="false">IF(OR(K215="",O215&lt;&gt;"",I215=""),"",ROUNDUP(I215*K215,0))</f>
        <v>6</v>
      </c>
      <c r="M215" s="15" t="s">
        <v>764</v>
      </c>
      <c r="N215" s="14"/>
      <c r="O215" s="15"/>
      <c r="P215" s="15" t="s">
        <v>45</v>
      </c>
      <c r="Q215" s="13" t="s">
        <v>765</v>
      </c>
      <c r="R215" s="14"/>
    </row>
    <row r="216" customFormat="false" ht="68.65" hidden="false" customHeight="false" outlineLevel="0" collapsed="false">
      <c r="A216" s="14" t="n">
        <v>4</v>
      </c>
      <c r="B216" s="15" t="s">
        <v>153</v>
      </c>
      <c r="C216" s="15" t="s">
        <v>40</v>
      </c>
      <c r="D216" s="15" t="s">
        <v>766</v>
      </c>
      <c r="E216" s="14" t="n">
        <v>1</v>
      </c>
      <c r="F216" s="15" t="s">
        <v>767</v>
      </c>
      <c r="G216" s="14" t="s">
        <v>127</v>
      </c>
      <c r="H216" s="14"/>
      <c r="I216" s="14" t="n">
        <f aca="false">IF(E216="","",IF(OR(AND(H216="Plan A",$C$5="B"),AND(H216="Plan B",$C$5="A")),0,IF(OR(G216="per student",G216="per group",G216="per class"),E216*IF(B216="Year 7",$C$3,$C$4),E216)))</f>
        <v>1</v>
      </c>
      <c r="J216" s="15" t="s">
        <v>20</v>
      </c>
      <c r="K216" s="14" t="n">
        <v>1</v>
      </c>
      <c r="L216" s="14" t="n">
        <f aca="false">IF(OR(K216="",O216&lt;&gt;"",I216=""),"",ROUNDUP(I216*K216,0))</f>
        <v>1</v>
      </c>
      <c r="M216" s="15" t="s">
        <v>768</v>
      </c>
      <c r="N216" s="14"/>
      <c r="O216" s="15"/>
      <c r="P216" s="15" t="s">
        <v>45</v>
      </c>
      <c r="Q216" s="13" t="s">
        <v>769</v>
      </c>
      <c r="R216" s="14"/>
    </row>
    <row r="217" customFormat="false" ht="35.05" hidden="false" customHeight="false" outlineLevel="0" collapsed="false">
      <c r="A217" s="14" t="n">
        <v>4</v>
      </c>
      <c r="B217" s="15" t="s">
        <v>153</v>
      </c>
      <c r="C217" s="15" t="s">
        <v>40</v>
      </c>
      <c r="D217" s="15" t="s">
        <v>770</v>
      </c>
      <c r="E217" s="14" t="n">
        <v>1</v>
      </c>
      <c r="F217" s="15" t="s">
        <v>771</v>
      </c>
      <c r="G217" s="14" t="s">
        <v>75</v>
      </c>
      <c r="H217" s="14"/>
      <c r="I217" s="14" t="n">
        <f aca="false">IF(E217="","",IF(OR(AND(H217="Plan A",$C$5="B"),AND(H217="Plan B",$C$5="A")),0,IF(OR(G217="per student",G217="per group",G217="per class"),E217*IF(B217="Year 7",$C$3,$C$4),E217)))</f>
        <v>1</v>
      </c>
      <c r="J217" s="15" t="s">
        <v>18</v>
      </c>
      <c r="K217" s="14" t="n">
        <v>1</v>
      </c>
      <c r="L217" s="14" t="n">
        <f aca="false">IF(OR(K217="",O217&lt;&gt;"",I217=""),"",ROUNDUP(I217*K217,0))</f>
        <v>1</v>
      </c>
      <c r="M217" s="15" t="s">
        <v>772</v>
      </c>
      <c r="N217" s="14"/>
      <c r="O217" s="15"/>
      <c r="P217" s="15" t="s">
        <v>77</v>
      </c>
      <c r="Q217" s="13" t="s">
        <v>773</v>
      </c>
      <c r="R217" s="14"/>
    </row>
    <row r="218" customFormat="false" ht="23.85" hidden="false" customHeight="false" outlineLevel="0" collapsed="false">
      <c r="A218" s="14" t="n">
        <v>4</v>
      </c>
      <c r="B218" s="15" t="s">
        <v>153</v>
      </c>
      <c r="C218" s="15" t="s">
        <v>97</v>
      </c>
      <c r="D218" s="15" t="s">
        <v>243</v>
      </c>
      <c r="E218" s="14" t="n">
        <v>6</v>
      </c>
      <c r="F218" s="15" t="s">
        <v>241</v>
      </c>
      <c r="G218" s="14" t="s">
        <v>66</v>
      </c>
      <c r="H218" s="14"/>
      <c r="I218" s="14" t="n">
        <f aca="false">IF(E218="","",IF(OR(AND(H218="Plan A",$C$5="B"),AND(H218="Plan B",$C$5="A")),0,IF(OR(G218="per student",G218="per group",G218="per class"),E218*IF(B218="Year 7",$C$3,$C$4),E218)))</f>
        <v>6</v>
      </c>
      <c r="J218" s="15"/>
      <c r="K218" s="14"/>
      <c r="L218" s="14" t="str">
        <f aca="false">IF(OR(K218="",O218&lt;&gt;"",I218=""),"",ROUNDUP(I218*K218,0))</f>
        <v/>
      </c>
      <c r="M218" s="15" t="s">
        <v>774</v>
      </c>
      <c r="N218" s="14"/>
      <c r="O218" s="15"/>
      <c r="P218" s="15" t="s">
        <v>77</v>
      </c>
      <c r="Q218" s="13" t="s">
        <v>775</v>
      </c>
      <c r="R218" s="14"/>
    </row>
    <row r="219" customFormat="false" ht="23.85" hidden="false" customHeight="false" outlineLevel="0" collapsed="false">
      <c r="A219" s="14" t="n">
        <v>4</v>
      </c>
      <c r="B219" s="15" t="s">
        <v>153</v>
      </c>
      <c r="C219" s="15" t="s">
        <v>97</v>
      </c>
      <c r="D219" s="15" t="s">
        <v>776</v>
      </c>
      <c r="E219" s="14" t="n">
        <v>6</v>
      </c>
      <c r="F219" s="15" t="s">
        <v>777</v>
      </c>
      <c r="G219" s="14" t="s">
        <v>66</v>
      </c>
      <c r="H219" s="14"/>
      <c r="I219" s="14" t="n">
        <f aca="false">IF(E219="","",IF(OR(AND(H219="Plan A",$C$5="B"),AND(H219="Plan B",$C$5="A")),0,IF(OR(G219="per student",G219="per group",G219="per class"),E219*IF(B219="Year 7",$C$3,$C$4),E219)))</f>
        <v>6</v>
      </c>
      <c r="J219" s="15"/>
      <c r="K219" s="14"/>
      <c r="L219" s="14" t="str">
        <f aca="false">IF(OR(K219="",O219&lt;&gt;"",I219=""),"",ROUNDUP(I219*K219,0))</f>
        <v/>
      </c>
      <c r="M219" s="15" t="s">
        <v>778</v>
      </c>
      <c r="N219" s="14"/>
      <c r="O219" s="15"/>
      <c r="P219" s="15" t="s">
        <v>77</v>
      </c>
      <c r="Q219" s="13" t="s">
        <v>779</v>
      </c>
      <c r="R219" s="14"/>
    </row>
    <row r="220" customFormat="false" ht="46.25" hidden="false" customHeight="false" outlineLevel="0" collapsed="false">
      <c r="A220" s="14" t="n">
        <v>4</v>
      </c>
      <c r="B220" s="15" t="s">
        <v>153</v>
      </c>
      <c r="C220" s="15" t="s">
        <v>97</v>
      </c>
      <c r="D220" s="15" t="s">
        <v>780</v>
      </c>
      <c r="E220" s="14" t="n">
        <v>42</v>
      </c>
      <c r="F220" s="15" t="s">
        <v>781</v>
      </c>
      <c r="G220" s="14" t="s">
        <v>127</v>
      </c>
      <c r="H220" s="14"/>
      <c r="I220" s="14" t="n">
        <f aca="false">IF(E220="","",IF(OR(AND(H220="Plan A",$C$5="B"),AND(H220="Plan B",$C$5="A")),0,IF(OR(G220="per student",G220="per group",G220="per class"),E220*IF(B220="Year 7",$C$3,$C$4),E220)))</f>
        <v>42</v>
      </c>
      <c r="J220" s="15"/>
      <c r="K220" s="14"/>
      <c r="L220" s="14" t="str">
        <f aca="false">IF(OR(K220="",O220&lt;&gt;"",I220=""),"",ROUNDUP(I220*K220,0))</f>
        <v/>
      </c>
      <c r="M220" s="15" t="s">
        <v>782</v>
      </c>
      <c r="N220" s="14"/>
      <c r="O220" s="15"/>
      <c r="P220" s="15" t="s">
        <v>77</v>
      </c>
      <c r="Q220" s="13" t="s">
        <v>783</v>
      </c>
      <c r="R220" s="14"/>
    </row>
    <row r="221" customFormat="false" ht="35.05" hidden="false" customHeight="false" outlineLevel="0" collapsed="false">
      <c r="A221" s="14" t="n">
        <v>4</v>
      </c>
      <c r="B221" s="15" t="s">
        <v>153</v>
      </c>
      <c r="C221" s="15" t="s">
        <v>97</v>
      </c>
      <c r="D221" s="15" t="s">
        <v>458</v>
      </c>
      <c r="E221" s="14"/>
      <c r="F221" s="15" t="s">
        <v>784</v>
      </c>
      <c r="G221" s="14" t="s">
        <v>66</v>
      </c>
      <c r="H221" s="14"/>
      <c r="I221" s="14" t="str">
        <f aca="false">IF(E221="","",IF(OR(AND(H221="Plan A",$C$5="B"),AND(H221="Plan B",$C$5="A")),0,IF(OR(G221="per student",G221="per group",G221="per class"),E221*IF(B221="Year 7",$C$3,$C$4),E221)))</f>
        <v/>
      </c>
      <c r="J221" s="15"/>
      <c r="K221" s="14"/>
      <c r="L221" s="14" t="str">
        <f aca="false">IF(OR(K221="",O221&lt;&gt;"",I221=""),"",ROUNDUP(I221*K221,0))</f>
        <v/>
      </c>
      <c r="M221" s="15" t="s">
        <v>785</v>
      </c>
      <c r="N221" s="14"/>
      <c r="O221" s="15" t="s">
        <v>786</v>
      </c>
      <c r="P221" s="13" t="s">
        <v>91</v>
      </c>
      <c r="Q221" s="13" t="s">
        <v>787</v>
      </c>
      <c r="R221" s="14"/>
    </row>
    <row r="222" customFormat="false" ht="23.85" hidden="false" customHeight="false" outlineLevel="0" collapsed="false">
      <c r="A222" s="14" t="n">
        <v>4</v>
      </c>
      <c r="B222" s="15" t="s">
        <v>153</v>
      </c>
      <c r="C222" s="15" t="s">
        <v>97</v>
      </c>
      <c r="D222" s="15" t="s">
        <v>120</v>
      </c>
      <c r="E222" s="14" t="n">
        <v>24</v>
      </c>
      <c r="F222" s="15" t="s">
        <v>248</v>
      </c>
      <c r="G222" s="14" t="s">
        <v>43</v>
      </c>
      <c r="H222" s="14"/>
      <c r="I222" s="14" t="n">
        <f aca="false">IF(E222="","",IF(OR(AND(H222="Plan A",$C$5="B"),AND(H222="Plan B",$C$5="A")),0,IF(OR(G222="per student",G222="per group",G222="per class"),E222*IF(B222="Year 7",$C$3,$C$4),E222)))</f>
        <v>24</v>
      </c>
      <c r="J222" s="15"/>
      <c r="K222" s="14"/>
      <c r="L222" s="14" t="str">
        <f aca="false">IF(OR(K222="",O222&lt;&gt;"",I222=""),"",ROUNDUP(I222*K222,0))</f>
        <v/>
      </c>
      <c r="M222" s="15" t="s">
        <v>788</v>
      </c>
      <c r="N222" s="14"/>
      <c r="O222" s="15" t="s">
        <v>472</v>
      </c>
      <c r="P222" s="15" t="s">
        <v>376</v>
      </c>
      <c r="Q222" s="15"/>
      <c r="R222" s="14"/>
    </row>
    <row r="223" customFormat="false" ht="23.85" hidden="false" customHeight="false" outlineLevel="0" collapsed="false">
      <c r="A223" s="14" t="n">
        <v>4</v>
      </c>
      <c r="B223" s="15" t="s">
        <v>153</v>
      </c>
      <c r="C223" s="15" t="s">
        <v>97</v>
      </c>
      <c r="D223" s="15" t="s">
        <v>789</v>
      </c>
      <c r="E223" s="14" t="n">
        <v>24</v>
      </c>
      <c r="F223" s="15" t="s">
        <v>314</v>
      </c>
      <c r="G223" s="14" t="s">
        <v>43</v>
      </c>
      <c r="H223" s="14"/>
      <c r="I223" s="14" t="n">
        <f aca="false">IF(E223="","",IF(OR(AND(H223="Plan A",$C$5="B"),AND(H223="Plan B",$C$5="A")),0,IF(OR(G223="per student",G223="per group",G223="per class"),E223*IF(B223="Year 7",$C$3,$C$4),E223)))</f>
        <v>24</v>
      </c>
      <c r="J223" s="15"/>
      <c r="K223" s="14"/>
      <c r="L223" s="14" t="str">
        <f aca="false">IF(OR(K223="",O223&lt;&gt;"",I223=""),"",ROUNDUP(I223*K223,0))</f>
        <v/>
      </c>
      <c r="M223" s="15" t="s">
        <v>790</v>
      </c>
      <c r="N223" s="14"/>
      <c r="O223" s="15" t="s">
        <v>791</v>
      </c>
      <c r="P223" s="15" t="s">
        <v>376</v>
      </c>
      <c r="Q223" s="13" t="s">
        <v>792</v>
      </c>
      <c r="R223" s="14"/>
    </row>
    <row r="224" customFormat="false" ht="23.85" hidden="false" customHeight="false" outlineLevel="0" collapsed="false">
      <c r="A224" s="14" t="n">
        <v>4</v>
      </c>
      <c r="B224" s="15" t="s">
        <v>153</v>
      </c>
      <c r="C224" s="15" t="s">
        <v>97</v>
      </c>
      <c r="D224" s="15" t="s">
        <v>793</v>
      </c>
      <c r="E224" s="14" t="n">
        <v>24</v>
      </c>
      <c r="F224" s="15" t="s">
        <v>794</v>
      </c>
      <c r="G224" s="14" t="s">
        <v>43</v>
      </c>
      <c r="H224" s="14"/>
      <c r="I224" s="14" t="n">
        <f aca="false">IF(E224="","",IF(OR(AND(H224="Plan A",$C$5="B"),AND(H224="Plan B",$C$5="A")),0,IF(OR(G224="per student",G224="per group",G224="per class"),E224*IF(B224="Year 7",$C$3,$C$4),E224)))</f>
        <v>24</v>
      </c>
      <c r="J224" s="15"/>
      <c r="K224" s="14"/>
      <c r="L224" s="14" t="str">
        <f aca="false">IF(OR(K224="",O224&lt;&gt;"",I224=""),"",ROUNDUP(I224*K224,0))</f>
        <v/>
      </c>
      <c r="M224" s="15" t="s">
        <v>795</v>
      </c>
      <c r="N224" s="14"/>
      <c r="O224" s="15" t="s">
        <v>796</v>
      </c>
      <c r="P224" s="15" t="s">
        <v>376</v>
      </c>
      <c r="Q224" s="13" t="s">
        <v>797</v>
      </c>
      <c r="R224" s="14"/>
    </row>
    <row r="225" customFormat="false" ht="46.25" hidden="false" customHeight="false" outlineLevel="0" collapsed="false">
      <c r="A225" s="14" t="n">
        <v>4</v>
      </c>
      <c r="B225" s="15" t="s">
        <v>153</v>
      </c>
      <c r="C225" s="15" t="s">
        <v>97</v>
      </c>
      <c r="D225" s="15" t="s">
        <v>798</v>
      </c>
      <c r="E225" s="14" t="n">
        <v>6</v>
      </c>
      <c r="F225" s="15" t="s">
        <v>799</v>
      </c>
      <c r="G225" s="14" t="s">
        <v>66</v>
      </c>
      <c r="H225" s="14"/>
      <c r="I225" s="14" t="n">
        <f aca="false">IF(E225="","",IF(OR(AND(H225="Plan A",$C$5="B"),AND(H225="Plan B",$C$5="A")),0,IF(OR(G225="per student",G225="per group",G225="per class"),E225*IF(B225="Year 7",$C$3,$C$4),E225)))</f>
        <v>6</v>
      </c>
      <c r="J225" s="15"/>
      <c r="K225" s="14"/>
      <c r="L225" s="14" t="str">
        <f aca="false">IF(OR(K225="",O225&lt;&gt;"",I225=""),"",ROUNDUP(I225*K225,0))</f>
        <v/>
      </c>
      <c r="M225" s="15" t="s">
        <v>800</v>
      </c>
      <c r="N225" s="14"/>
      <c r="O225" s="15" t="s">
        <v>801</v>
      </c>
      <c r="P225" s="15" t="s">
        <v>376</v>
      </c>
      <c r="Q225" s="13" t="s">
        <v>802</v>
      </c>
      <c r="R225" s="14"/>
    </row>
    <row r="226" customFormat="false" ht="23.85" hidden="false" customHeight="false" outlineLevel="0" collapsed="false">
      <c r="A226" s="14" t="n">
        <v>4</v>
      </c>
      <c r="B226" s="15" t="s">
        <v>153</v>
      </c>
      <c r="C226" s="15" t="s">
        <v>97</v>
      </c>
      <c r="D226" s="15" t="s">
        <v>367</v>
      </c>
      <c r="E226" s="14" t="n">
        <v>24</v>
      </c>
      <c r="F226" s="15" t="s">
        <v>368</v>
      </c>
      <c r="G226" s="14" t="s">
        <v>43</v>
      </c>
      <c r="H226" s="14"/>
      <c r="I226" s="14" t="n">
        <f aca="false">IF(E226="","",IF(OR(AND(H226="Plan A",$C$5="B"),AND(H226="Plan B",$C$5="A")),0,IF(OR(G226="per student",G226="per group",G226="per class"),E226*IF(B226="Year 7",$C$3,$C$4),E226)))</f>
        <v>24</v>
      </c>
      <c r="J226" s="15"/>
      <c r="K226" s="14"/>
      <c r="L226" s="14" t="str">
        <f aca="false">IF(OR(K226="",O226&lt;&gt;"",I226=""),"",ROUNDUP(I226*K226,0))</f>
        <v/>
      </c>
      <c r="M226" s="15" t="s">
        <v>803</v>
      </c>
      <c r="N226" s="14"/>
      <c r="O226" s="15" t="s">
        <v>370</v>
      </c>
      <c r="P226" s="15" t="s">
        <v>376</v>
      </c>
      <c r="Q226" s="15"/>
      <c r="R226" s="14"/>
    </row>
    <row r="227" customFormat="false" ht="35.05" hidden="false" customHeight="false" outlineLevel="0" collapsed="false">
      <c r="A227" s="14" t="n">
        <v>4</v>
      </c>
      <c r="B227" s="15" t="s">
        <v>153</v>
      </c>
      <c r="C227" s="15" t="s">
        <v>97</v>
      </c>
      <c r="D227" s="15" t="s">
        <v>641</v>
      </c>
      <c r="E227" s="14" t="n">
        <v>6</v>
      </c>
      <c r="F227" s="15" t="s">
        <v>373</v>
      </c>
      <c r="G227" s="14" t="s">
        <v>66</v>
      </c>
      <c r="H227" s="14"/>
      <c r="I227" s="14" t="n">
        <f aca="false">IF(E227="","",IF(OR(AND(H227="Plan A",$C$5="B"),AND(H227="Plan B",$C$5="A")),0,IF(OR(G227="per student",G227="per group",G227="per class"),E227*IF(B227="Year 7",$C$3,$C$4),E227)))</f>
        <v>6</v>
      </c>
      <c r="J227" s="15"/>
      <c r="K227" s="14"/>
      <c r="L227" s="14" t="str">
        <f aca="false">IF(OR(K227="",O227&lt;&gt;"",I227=""),"",ROUNDUP(I227*K227,0))</f>
        <v/>
      </c>
      <c r="M227" s="15" t="s">
        <v>804</v>
      </c>
      <c r="N227" s="14"/>
      <c r="O227" s="15" t="s">
        <v>643</v>
      </c>
      <c r="P227" s="15" t="s">
        <v>376</v>
      </c>
      <c r="Q227" s="13" t="s">
        <v>805</v>
      </c>
      <c r="R227" s="14"/>
    </row>
    <row r="228" customFormat="false" ht="68.65" hidden="false" customHeight="false" outlineLevel="0" collapsed="false">
      <c r="A228" s="14" t="n">
        <v>4</v>
      </c>
      <c r="B228" s="15" t="s">
        <v>153</v>
      </c>
      <c r="C228" s="15" t="s">
        <v>97</v>
      </c>
      <c r="D228" s="15" t="s">
        <v>482</v>
      </c>
      <c r="E228" s="14" t="n">
        <v>6</v>
      </c>
      <c r="F228" s="15" t="s">
        <v>373</v>
      </c>
      <c r="G228" s="14" t="s">
        <v>66</v>
      </c>
      <c r="H228" s="14"/>
      <c r="I228" s="14" t="n">
        <f aca="false">IF(E228="","",IF(OR(AND(H228="Plan A",$C$5="B"),AND(H228="Plan B",$C$5="A")),0,IF(OR(G228="per student",G228="per group",G228="per class"),E228*IF(B228="Year 7",$C$3,$C$4),E228)))</f>
        <v>6</v>
      </c>
      <c r="J228" s="15"/>
      <c r="K228" s="14"/>
      <c r="L228" s="14" t="str">
        <f aca="false">IF(OR(K228="",O228&lt;&gt;"",I228=""),"",ROUNDUP(I228*K228,0))</f>
        <v/>
      </c>
      <c r="M228" s="15" t="s">
        <v>806</v>
      </c>
      <c r="N228" s="14"/>
      <c r="O228" s="15" t="s">
        <v>484</v>
      </c>
      <c r="P228" s="15" t="s">
        <v>376</v>
      </c>
      <c r="Q228" s="13" t="s">
        <v>807</v>
      </c>
      <c r="R228" s="14"/>
    </row>
    <row r="229" customFormat="false" ht="23.85" hidden="false" customHeight="false" outlineLevel="0" collapsed="false">
      <c r="A229" s="14" t="n">
        <v>4</v>
      </c>
      <c r="B229" s="15" t="s">
        <v>153</v>
      </c>
      <c r="C229" s="15" t="s">
        <v>97</v>
      </c>
      <c r="D229" s="15" t="s">
        <v>485</v>
      </c>
      <c r="E229" s="14" t="n">
        <v>24</v>
      </c>
      <c r="F229" s="15" t="s">
        <v>368</v>
      </c>
      <c r="G229" s="14" t="s">
        <v>43</v>
      </c>
      <c r="H229" s="14"/>
      <c r="I229" s="14" t="n">
        <f aca="false">IF(E229="","",IF(OR(AND(H229="Plan A",$C$5="B"),AND(H229="Plan B",$C$5="A")),0,IF(OR(G229="per student",G229="per group",G229="per class"),E229*IF(B229="Year 7",$C$3,$C$4),E229)))</f>
        <v>24</v>
      </c>
      <c r="J229" s="15"/>
      <c r="K229" s="14"/>
      <c r="L229" s="14" t="str">
        <f aca="false">IF(OR(K229="",O229&lt;&gt;"",I229=""),"",ROUNDUP(I229*K229,0))</f>
        <v/>
      </c>
      <c r="M229" s="15" t="s">
        <v>387</v>
      </c>
      <c r="N229" s="14"/>
      <c r="O229" s="15" t="s">
        <v>808</v>
      </c>
      <c r="P229" s="15" t="s">
        <v>376</v>
      </c>
      <c r="Q229" s="13" t="s">
        <v>809</v>
      </c>
      <c r="R229" s="14"/>
    </row>
    <row r="230" customFormat="false" ht="23.85" hidden="false" customHeight="false" outlineLevel="0" collapsed="false">
      <c r="A230" s="14" t="n">
        <v>4</v>
      </c>
      <c r="B230" s="15" t="s">
        <v>153</v>
      </c>
      <c r="C230" s="15" t="s">
        <v>124</v>
      </c>
      <c r="D230" s="15" t="s">
        <v>810</v>
      </c>
      <c r="E230" s="14" t="n">
        <v>24</v>
      </c>
      <c r="F230" s="15" t="s">
        <v>581</v>
      </c>
      <c r="G230" s="14" t="s">
        <v>66</v>
      </c>
      <c r="H230" s="14"/>
      <c r="I230" s="14" t="n">
        <f aca="false">IF(E230="","",IF(OR(AND(H230="Plan A",$C$5="B"),AND(H230="Plan B",$C$5="A")),0,IF(OR(G230="per student",G230="per group",G230="per class"),E230*IF(B230="Year 7",$C$3,$C$4),E230)))</f>
        <v>24</v>
      </c>
      <c r="J230" s="15"/>
      <c r="K230" s="14"/>
      <c r="L230" s="14" t="str">
        <f aca="false">IF(OR(K230="",O230&lt;&gt;"",I230=""),"",ROUNDUP(I230*K230,0))</f>
        <v/>
      </c>
      <c r="M230" s="15" t="s">
        <v>811</v>
      </c>
      <c r="N230" s="14"/>
      <c r="O230" s="15"/>
      <c r="P230" s="15" t="s">
        <v>77</v>
      </c>
      <c r="Q230" s="13" t="s">
        <v>812</v>
      </c>
      <c r="R230" s="14"/>
    </row>
    <row r="231" customFormat="false" ht="23.85" hidden="false" customHeight="false" outlineLevel="0" collapsed="false">
      <c r="A231" s="14" t="n">
        <v>4</v>
      </c>
      <c r="B231" s="15" t="s">
        <v>153</v>
      </c>
      <c r="C231" s="15" t="s">
        <v>124</v>
      </c>
      <c r="D231" s="15" t="s">
        <v>491</v>
      </c>
      <c r="E231" s="14" t="n">
        <v>6</v>
      </c>
      <c r="F231" s="15" t="s">
        <v>813</v>
      </c>
      <c r="G231" s="14" t="s">
        <v>66</v>
      </c>
      <c r="H231" s="14"/>
      <c r="I231" s="14" t="n">
        <f aca="false">IF(E231="","",IF(OR(AND(H231="Plan A",$C$5="B"),AND(H231="Plan B",$C$5="A")),0,IF(OR(G231="per student",G231="per group",G231="per class"),E231*IF(B231="Year 7",$C$3,$C$4),E231)))</f>
        <v>6</v>
      </c>
      <c r="J231" s="15"/>
      <c r="K231" s="14"/>
      <c r="L231" s="14" t="str">
        <f aca="false">IF(OR(K231="",O231&lt;&gt;"",I231=""),"",ROUNDUP(I231*K231,0))</f>
        <v/>
      </c>
      <c r="M231" s="15" t="s">
        <v>814</v>
      </c>
      <c r="N231" s="14"/>
      <c r="O231" s="15" t="s">
        <v>815</v>
      </c>
      <c r="P231" s="13" t="s">
        <v>91</v>
      </c>
      <c r="Q231" s="13" t="s">
        <v>816</v>
      </c>
      <c r="R231" s="14"/>
    </row>
    <row r="232" customFormat="false" ht="23.85" hidden="false" customHeight="false" outlineLevel="0" collapsed="false">
      <c r="A232" s="14" t="n">
        <v>4</v>
      </c>
      <c r="B232" s="15" t="s">
        <v>153</v>
      </c>
      <c r="C232" s="15" t="s">
        <v>124</v>
      </c>
      <c r="D232" s="15" t="s">
        <v>495</v>
      </c>
      <c r="E232" s="14" t="n">
        <v>6</v>
      </c>
      <c r="F232" s="15" t="s">
        <v>591</v>
      </c>
      <c r="G232" s="14" t="s">
        <v>66</v>
      </c>
      <c r="H232" s="14"/>
      <c r="I232" s="14" t="n">
        <f aca="false">IF(E232="","",IF(OR(AND(H232="Plan A",$C$5="B"),AND(H232="Plan B",$C$5="A")),0,IF(OR(G232="per student",G232="per group",G232="per class"),E232*IF(B232="Year 7",$C$3,$C$4),E232)))</f>
        <v>6</v>
      </c>
      <c r="J232" s="15"/>
      <c r="K232" s="14"/>
      <c r="L232" s="14" t="str">
        <f aca="false">IF(OR(K232="",O232&lt;&gt;"",I232=""),"",ROUNDUP(I232*K232,0))</f>
        <v/>
      </c>
      <c r="M232" s="15" t="s">
        <v>817</v>
      </c>
      <c r="N232" s="14"/>
      <c r="O232" s="15" t="s">
        <v>818</v>
      </c>
      <c r="P232" s="13" t="s">
        <v>91</v>
      </c>
      <c r="Q232" s="13" t="s">
        <v>819</v>
      </c>
      <c r="R232" s="14"/>
    </row>
    <row r="233" customFormat="false" ht="23.85" hidden="false" customHeight="false" outlineLevel="0" collapsed="false">
      <c r="A233" s="14" t="n">
        <v>4</v>
      </c>
      <c r="B233" s="15" t="s">
        <v>153</v>
      </c>
      <c r="C233" s="15" t="s">
        <v>124</v>
      </c>
      <c r="D233" s="15" t="s">
        <v>657</v>
      </c>
      <c r="E233" s="14" t="n">
        <v>42</v>
      </c>
      <c r="F233" s="15" t="s">
        <v>264</v>
      </c>
      <c r="G233" s="14" t="s">
        <v>66</v>
      </c>
      <c r="H233" s="14"/>
      <c r="I233" s="14" t="n">
        <f aca="false">IF(E233="","",IF(OR(AND(H233="Plan A",$C$5="B"),AND(H233="Plan B",$C$5="A")),0,IF(OR(G233="per student",G233="per group",G233="per class"),E233*IF(B233="Year 7",$C$3,$C$4),E233)))</f>
        <v>42</v>
      </c>
      <c r="J233" s="15"/>
      <c r="K233" s="14"/>
      <c r="L233" s="14" t="str">
        <f aca="false">IF(OR(K233="",O233&lt;&gt;"",I233=""),"",ROUNDUP(I233*K233,0))</f>
        <v/>
      </c>
      <c r="M233" s="15" t="s">
        <v>820</v>
      </c>
      <c r="N233" s="14"/>
      <c r="O233" s="15"/>
      <c r="P233" s="15" t="s">
        <v>77</v>
      </c>
      <c r="Q233" s="13" t="s">
        <v>821</v>
      </c>
      <c r="R233" s="14"/>
    </row>
    <row r="234" customFormat="false" ht="23.85" hidden="false" customHeight="false" outlineLevel="0" collapsed="false">
      <c r="A234" s="14" t="n">
        <v>4</v>
      </c>
      <c r="B234" s="15" t="s">
        <v>153</v>
      </c>
      <c r="C234" s="15" t="s">
        <v>124</v>
      </c>
      <c r="D234" s="15" t="s">
        <v>822</v>
      </c>
      <c r="E234" s="14" t="n">
        <v>6</v>
      </c>
      <c r="F234" s="15" t="s">
        <v>823</v>
      </c>
      <c r="G234" s="14" t="s">
        <v>66</v>
      </c>
      <c r="H234" s="14"/>
      <c r="I234" s="14" t="n">
        <f aca="false">IF(E234="","",IF(OR(AND(H234="Plan A",$C$5="B"),AND(H234="Plan B",$C$5="A")),0,IF(OR(G234="per student",G234="per group",G234="per class"),E234*IF(B234="Year 7",$C$3,$C$4),E234)))</f>
        <v>6</v>
      </c>
      <c r="J234" s="15"/>
      <c r="K234" s="14"/>
      <c r="L234" s="14" t="str">
        <f aca="false">IF(OR(K234="",O234&lt;&gt;"",I234=""),"",ROUNDUP(I234*K234,0))</f>
        <v/>
      </c>
      <c r="M234" s="15" t="s">
        <v>824</v>
      </c>
      <c r="N234" s="14"/>
      <c r="O234" s="15"/>
      <c r="P234" s="15" t="s">
        <v>77</v>
      </c>
      <c r="Q234" s="13" t="s">
        <v>825</v>
      </c>
      <c r="R234" s="14"/>
    </row>
    <row r="235" customFormat="false" ht="15" hidden="false" customHeight="false" outlineLevel="0" collapsed="false">
      <c r="A235" s="14" t="n">
        <v>4</v>
      </c>
      <c r="B235" s="15" t="s">
        <v>153</v>
      </c>
      <c r="C235" s="15" t="s">
        <v>124</v>
      </c>
      <c r="D235" s="15" t="s">
        <v>826</v>
      </c>
      <c r="E235" s="14" t="n">
        <v>6</v>
      </c>
      <c r="F235" s="15" t="s">
        <v>827</v>
      </c>
      <c r="G235" s="14" t="s">
        <v>66</v>
      </c>
      <c r="H235" s="14"/>
      <c r="I235" s="14" t="n">
        <f aca="false">IF(E235="","",IF(OR(AND(H235="Plan A",$C$5="B"),AND(H235="Plan B",$C$5="A")),0,IF(OR(G235="per student",G235="per group",G235="per class"),E235*IF(B235="Year 7",$C$3,$C$4),E235)))</f>
        <v>6</v>
      </c>
      <c r="J235" s="15"/>
      <c r="K235" s="14"/>
      <c r="L235" s="14" t="str">
        <f aca="false">IF(OR(K235="",O235&lt;&gt;"",I235=""),"",ROUNDUP(I235*K235,0))</f>
        <v/>
      </c>
      <c r="M235" s="15" t="s">
        <v>828</v>
      </c>
      <c r="N235" s="14"/>
      <c r="O235" s="15"/>
      <c r="P235" s="15" t="s">
        <v>77</v>
      </c>
      <c r="Q235" s="15"/>
      <c r="R235" s="14"/>
    </row>
    <row r="236" customFormat="false" ht="46.25" hidden="false" customHeight="false" outlineLevel="0" collapsed="false">
      <c r="A236" s="14" t="n">
        <v>4</v>
      </c>
      <c r="B236" s="15" t="s">
        <v>153</v>
      </c>
      <c r="C236" s="15" t="s">
        <v>124</v>
      </c>
      <c r="D236" s="15" t="s">
        <v>829</v>
      </c>
      <c r="E236" s="14" t="n">
        <v>6</v>
      </c>
      <c r="F236" s="15" t="s">
        <v>830</v>
      </c>
      <c r="G236" s="14" t="s">
        <v>66</v>
      </c>
      <c r="H236" s="14"/>
      <c r="I236" s="14" t="n">
        <f aca="false">IF(E236="","",IF(OR(AND(H236="Plan A",$C$5="B"),AND(H236="Plan B",$C$5="A")),0,IF(OR(G236="per student",G236="per group",G236="per class"),E236*IF(B236="Year 7",$C$3,$C$4),E236)))</f>
        <v>6</v>
      </c>
      <c r="J236" s="15"/>
      <c r="K236" s="14"/>
      <c r="L236" s="14" t="str">
        <f aca="false">IF(OR(K236="",O236&lt;&gt;"",I236=""),"",ROUNDUP(I236*K236,0))</f>
        <v/>
      </c>
      <c r="M236" s="15" t="s">
        <v>831</v>
      </c>
      <c r="N236" s="14" t="s">
        <v>105</v>
      </c>
      <c r="O236" s="15"/>
      <c r="P236" s="15" t="s">
        <v>77</v>
      </c>
      <c r="Q236" s="13" t="s">
        <v>832</v>
      </c>
      <c r="R236" s="14"/>
    </row>
    <row r="237" customFormat="false" ht="23.85" hidden="false" customHeight="false" outlineLevel="0" collapsed="false">
      <c r="A237" s="14" t="n">
        <v>4</v>
      </c>
      <c r="B237" s="15" t="s">
        <v>153</v>
      </c>
      <c r="C237" s="15" t="s">
        <v>124</v>
      </c>
      <c r="D237" s="15" t="s">
        <v>833</v>
      </c>
      <c r="E237" s="14" t="n">
        <v>36</v>
      </c>
      <c r="F237" s="15" t="s">
        <v>834</v>
      </c>
      <c r="G237" s="14" t="s">
        <v>66</v>
      </c>
      <c r="H237" s="14"/>
      <c r="I237" s="14" t="n">
        <f aca="false">IF(E237="","",IF(OR(AND(H237="Plan A",$C$5="B"),AND(H237="Plan B",$C$5="A")),0,IF(OR(G237="per student",G237="per group",G237="per class"),E237*IF(B237="Year 7",$C$3,$C$4),E237)))</f>
        <v>36</v>
      </c>
      <c r="J237" s="15"/>
      <c r="K237" s="14"/>
      <c r="L237" s="14" t="str">
        <f aca="false">IF(OR(K237="",O237&lt;&gt;"",I237=""),"",ROUNDUP(I237*K237,0))</f>
        <v/>
      </c>
      <c r="M237" s="15" t="s">
        <v>835</v>
      </c>
      <c r="N237" s="14"/>
      <c r="O237" s="15"/>
      <c r="P237" s="15" t="s">
        <v>77</v>
      </c>
      <c r="Q237" s="13" t="s">
        <v>836</v>
      </c>
      <c r="R237" s="14"/>
    </row>
    <row r="238" customFormat="false" ht="15" hidden="false" customHeight="false" outlineLevel="0" collapsed="false">
      <c r="A238" s="14" t="n">
        <v>4</v>
      </c>
      <c r="B238" s="15" t="s">
        <v>153</v>
      </c>
      <c r="C238" s="15" t="s">
        <v>124</v>
      </c>
      <c r="D238" s="15" t="s">
        <v>837</v>
      </c>
      <c r="E238" s="14" t="n">
        <v>36</v>
      </c>
      <c r="F238" s="15" t="s">
        <v>838</v>
      </c>
      <c r="G238" s="14" t="s">
        <v>66</v>
      </c>
      <c r="H238" s="14"/>
      <c r="I238" s="14" t="n">
        <f aca="false">IF(E238="","",IF(OR(AND(H238="Plan A",$C$5="B"),AND(H238="Plan B",$C$5="A")),0,IF(OR(G238="per student",G238="per group",G238="per class"),E238*IF(B238="Year 7",$C$3,$C$4),E238)))</f>
        <v>36</v>
      </c>
      <c r="J238" s="15"/>
      <c r="K238" s="14"/>
      <c r="L238" s="14" t="str">
        <f aca="false">IF(OR(K238="",O238&lt;&gt;"",I238=""),"",ROUNDUP(I238*K238,0))</f>
        <v/>
      </c>
      <c r="M238" s="15" t="s">
        <v>839</v>
      </c>
      <c r="N238" s="14"/>
      <c r="O238" s="15"/>
      <c r="P238" s="15" t="s">
        <v>77</v>
      </c>
      <c r="Q238" s="15"/>
      <c r="R238" s="14"/>
    </row>
    <row r="239" customFormat="false" ht="35.05" hidden="false" customHeight="false" outlineLevel="0" collapsed="false">
      <c r="A239" s="14" t="n">
        <v>4</v>
      </c>
      <c r="B239" s="15" t="s">
        <v>153</v>
      </c>
      <c r="C239" s="15" t="s">
        <v>124</v>
      </c>
      <c r="D239" s="15" t="s">
        <v>840</v>
      </c>
      <c r="E239" s="14" t="n">
        <v>30</v>
      </c>
      <c r="F239" s="15" t="s">
        <v>841</v>
      </c>
      <c r="G239" s="14" t="s">
        <v>66</v>
      </c>
      <c r="H239" s="14"/>
      <c r="I239" s="14" t="n">
        <f aca="false">IF(E239="","",IF(OR(AND(H239="Plan A",$C$5="B"),AND(H239="Plan B",$C$5="A")),0,IF(OR(G239="per student",G239="per group",G239="per class"),E239*IF(B239="Year 7",$C$3,$C$4),E239)))</f>
        <v>30</v>
      </c>
      <c r="J239" s="15"/>
      <c r="K239" s="14"/>
      <c r="L239" s="14" t="str">
        <f aca="false">IF(OR(K239="",O239&lt;&gt;"",I239=""),"",ROUNDUP(I239*K239,0))</f>
        <v/>
      </c>
      <c r="M239" s="15" t="s">
        <v>842</v>
      </c>
      <c r="N239" s="14"/>
      <c r="O239" s="15"/>
      <c r="P239" s="15" t="s">
        <v>77</v>
      </c>
      <c r="Q239" s="13" t="s">
        <v>843</v>
      </c>
      <c r="R239" s="14"/>
    </row>
    <row r="240" customFormat="false" ht="15" hidden="false" customHeight="false" outlineLevel="0" collapsed="false">
      <c r="A240" s="14" t="n">
        <v>4</v>
      </c>
      <c r="B240" s="15" t="s">
        <v>153</v>
      </c>
      <c r="C240" s="15" t="s">
        <v>124</v>
      </c>
      <c r="D240" s="15" t="s">
        <v>844</v>
      </c>
      <c r="E240" s="14" t="n">
        <v>6</v>
      </c>
      <c r="F240" s="15" t="s">
        <v>845</v>
      </c>
      <c r="G240" s="14" t="s">
        <v>66</v>
      </c>
      <c r="H240" s="14"/>
      <c r="I240" s="14" t="n">
        <f aca="false">IF(E240="","",IF(OR(AND(H240="Plan A",$C$5="B"),AND(H240="Plan B",$C$5="A")),0,IF(OR(G240="per student",G240="per group",G240="per class"),E240*IF(B240="Year 7",$C$3,$C$4),E240)))</f>
        <v>6</v>
      </c>
      <c r="J240" s="15"/>
      <c r="K240" s="14"/>
      <c r="L240" s="14" t="str">
        <f aca="false">IF(OR(K240="",O240&lt;&gt;"",I240=""),"",ROUNDUP(I240*K240,0))</f>
        <v/>
      </c>
      <c r="M240" s="15" t="s">
        <v>846</v>
      </c>
      <c r="N240" s="14"/>
      <c r="O240" s="15"/>
      <c r="P240" s="15" t="s">
        <v>77</v>
      </c>
      <c r="Q240" s="15"/>
      <c r="R240" s="14"/>
    </row>
    <row r="241" customFormat="false" ht="23.85" hidden="false" customHeight="false" outlineLevel="0" collapsed="false">
      <c r="A241" s="14" t="n">
        <v>4</v>
      </c>
      <c r="B241" s="15" t="s">
        <v>153</v>
      </c>
      <c r="C241" s="15" t="s">
        <v>124</v>
      </c>
      <c r="D241" s="15" t="s">
        <v>847</v>
      </c>
      <c r="E241" s="14"/>
      <c r="F241" s="15" t="s">
        <v>848</v>
      </c>
      <c r="G241" s="14" t="s">
        <v>57</v>
      </c>
      <c r="H241" s="14"/>
      <c r="I241" s="14" t="str">
        <f aca="false">IF(E241="","",IF(OR(AND(H241="Plan A",$C$5="B"),AND(H241="Plan B",$C$5="A")),0,IF(OR(G241="per student",G241="per group",G241="per class"),E241*IF(B241="Year 7",$C$3,$C$4),E241)))</f>
        <v/>
      </c>
      <c r="J241" s="15"/>
      <c r="K241" s="14"/>
      <c r="L241" s="14" t="str">
        <f aca="false">IF(OR(K241="",O241&lt;&gt;"",I241=""),"",ROUNDUP(I241*K241,0))</f>
        <v/>
      </c>
      <c r="M241" s="15" t="s">
        <v>849</v>
      </c>
      <c r="N241" s="14"/>
      <c r="O241" s="15"/>
      <c r="P241" s="15" t="s">
        <v>77</v>
      </c>
      <c r="Q241" s="13" t="s">
        <v>850</v>
      </c>
      <c r="R241" s="14"/>
    </row>
    <row r="242" customFormat="false" ht="23.85" hidden="false" customHeight="false" outlineLevel="0" collapsed="false">
      <c r="A242" s="14" t="n">
        <v>4</v>
      </c>
      <c r="B242" s="15" t="s">
        <v>153</v>
      </c>
      <c r="C242" s="15" t="s">
        <v>124</v>
      </c>
      <c r="D242" s="15" t="s">
        <v>498</v>
      </c>
      <c r="E242" s="14"/>
      <c r="F242" s="15" t="s">
        <v>851</v>
      </c>
      <c r="G242" s="14" t="s">
        <v>66</v>
      </c>
      <c r="H242" s="14"/>
      <c r="I242" s="14" t="str">
        <f aca="false">IF(E242="","",IF(OR(AND(H242="Plan A",$C$5="B"),AND(H242="Plan B",$C$5="A")),0,IF(OR(G242="per student",G242="per group",G242="per class"),E242*IF(B242="Year 7",$C$3,$C$4),E242)))</f>
        <v/>
      </c>
      <c r="J242" s="15"/>
      <c r="K242" s="14"/>
      <c r="L242" s="14" t="str">
        <f aca="false">IF(OR(K242="",O242&lt;&gt;"",I242=""),"",ROUNDUP(I242*K242,0))</f>
        <v/>
      </c>
      <c r="M242" s="15" t="s">
        <v>852</v>
      </c>
      <c r="N242" s="14"/>
      <c r="O242" s="15" t="s">
        <v>853</v>
      </c>
      <c r="P242" s="13" t="s">
        <v>91</v>
      </c>
      <c r="Q242" s="15"/>
      <c r="R242" s="14"/>
    </row>
    <row r="243" customFormat="false" ht="23.85" hidden="false" customHeight="false" outlineLevel="0" collapsed="false">
      <c r="A243" s="14" t="n">
        <v>4</v>
      </c>
      <c r="B243" s="15" t="s">
        <v>153</v>
      </c>
      <c r="C243" s="15" t="s">
        <v>124</v>
      </c>
      <c r="D243" s="15" t="s">
        <v>125</v>
      </c>
      <c r="E243" s="14" t="n">
        <v>1</v>
      </c>
      <c r="F243" s="15" t="s">
        <v>267</v>
      </c>
      <c r="G243" s="14" t="s">
        <v>127</v>
      </c>
      <c r="H243" s="14"/>
      <c r="I243" s="14" t="n">
        <f aca="false">IF(E243="","",IF(OR(AND(H243="Plan A",$C$5="B"),AND(H243="Plan B",$C$5="A")),0,IF(OR(G243="per student",G243="per group",G243="per class"),E243*IF(B243="Year 7",$C$3,$C$4),E243)))</f>
        <v>1</v>
      </c>
      <c r="J243" s="15"/>
      <c r="K243" s="14"/>
      <c r="L243" s="14" t="str">
        <f aca="false">IF(OR(K243="",O243&lt;&gt;"",I243=""),"",ROUNDUP(I243*K243,0))</f>
        <v/>
      </c>
      <c r="M243" s="15" t="s">
        <v>854</v>
      </c>
      <c r="N243" s="14"/>
      <c r="O243" s="15" t="s">
        <v>855</v>
      </c>
      <c r="P243" s="15" t="s">
        <v>376</v>
      </c>
      <c r="Q243" s="15"/>
      <c r="R243" s="14"/>
    </row>
    <row r="244" customFormat="false" ht="46.25" hidden="false" customHeight="false" outlineLevel="0" collapsed="false">
      <c r="A244" s="14" t="n">
        <v>4</v>
      </c>
      <c r="B244" s="15" t="s">
        <v>153</v>
      </c>
      <c r="C244" s="15" t="s">
        <v>124</v>
      </c>
      <c r="D244" s="15" t="s">
        <v>856</v>
      </c>
      <c r="E244" s="14"/>
      <c r="F244" s="15" t="s">
        <v>857</v>
      </c>
      <c r="G244" s="14" t="s">
        <v>127</v>
      </c>
      <c r="H244" s="14"/>
      <c r="I244" s="14" t="str">
        <f aca="false">IF(E244="","",IF(OR(AND(H244="Plan A",$C$5="B"),AND(H244="Plan B",$C$5="A")),0,IF(OR(G244="per student",G244="per group",G244="per class"),E244*IF(B244="Year 7",$C$3,$C$4),E244)))</f>
        <v/>
      </c>
      <c r="J244" s="15"/>
      <c r="K244" s="14"/>
      <c r="L244" s="14" t="str">
        <f aca="false">IF(OR(K244="",O244&lt;&gt;"",I244=""),"",ROUNDUP(I244*K244,0))</f>
        <v/>
      </c>
      <c r="M244" s="15" t="s">
        <v>858</v>
      </c>
      <c r="N244" s="14" t="s">
        <v>105</v>
      </c>
      <c r="O244" s="15"/>
      <c r="P244" s="13" t="s">
        <v>215</v>
      </c>
      <c r="Q244" s="13" t="s">
        <v>859</v>
      </c>
      <c r="R244" s="14"/>
    </row>
    <row r="245" customFormat="false" ht="23.85" hidden="false" customHeight="false" outlineLevel="0" collapsed="false">
      <c r="A245" s="14" t="n">
        <v>4</v>
      </c>
      <c r="B245" s="15" t="s">
        <v>153</v>
      </c>
      <c r="C245" s="15" t="s">
        <v>294</v>
      </c>
      <c r="D245" s="15" t="s">
        <v>860</v>
      </c>
      <c r="E245" s="14" t="n">
        <v>12</v>
      </c>
      <c r="F245" s="15" t="s">
        <v>861</v>
      </c>
      <c r="G245" s="14" t="s">
        <v>66</v>
      </c>
      <c r="H245" s="14"/>
      <c r="I245" s="14" t="n">
        <f aca="false">IF(E245="","",IF(OR(AND(H245="Plan A",$C$5="B"),AND(H245="Plan B",$C$5="A")),0,IF(OR(G245="per student",G245="per group",G245="per class"),E245*IF(B245="Year 7",$C$3,$C$4),E245)))</f>
        <v>12</v>
      </c>
      <c r="J245" s="15"/>
      <c r="K245" s="14"/>
      <c r="L245" s="14" t="str">
        <f aca="false">IF(OR(K245="",O245&lt;&gt;"",I245=""),"",ROUNDUP(I245*K245,0))</f>
        <v/>
      </c>
      <c r="M245" s="15" t="s">
        <v>862</v>
      </c>
      <c r="N245" s="14"/>
      <c r="O245" s="15"/>
      <c r="P245" s="15" t="s">
        <v>77</v>
      </c>
      <c r="Q245" s="15"/>
      <c r="R245" s="14"/>
    </row>
    <row r="246" customFormat="false" ht="23.85" hidden="false" customHeight="false" outlineLevel="0" collapsed="false">
      <c r="A246" s="14" t="n">
        <v>4</v>
      </c>
      <c r="B246" s="15" t="s">
        <v>153</v>
      </c>
      <c r="C246" s="15" t="s">
        <v>294</v>
      </c>
      <c r="D246" s="15" t="s">
        <v>863</v>
      </c>
      <c r="E246" s="14" t="n">
        <v>12</v>
      </c>
      <c r="F246" s="15" t="s">
        <v>861</v>
      </c>
      <c r="G246" s="14" t="s">
        <v>66</v>
      </c>
      <c r="H246" s="14"/>
      <c r="I246" s="14" t="n">
        <f aca="false">IF(E246="","",IF(OR(AND(H246="Plan A",$C$5="B"),AND(H246="Plan B",$C$5="A")),0,IF(OR(G246="per student",G246="per group",G246="per class"),E246*IF(B246="Year 7",$C$3,$C$4),E246)))</f>
        <v>12</v>
      </c>
      <c r="J246" s="15"/>
      <c r="K246" s="14"/>
      <c r="L246" s="14" t="str">
        <f aca="false">IF(OR(K246="",O246&lt;&gt;"",I246=""),"",ROUNDUP(I246*K246,0))</f>
        <v/>
      </c>
      <c r="M246" s="15" t="s">
        <v>862</v>
      </c>
      <c r="N246" s="14"/>
      <c r="O246" s="15"/>
      <c r="P246" s="15" t="s">
        <v>77</v>
      </c>
      <c r="Q246" s="15"/>
      <c r="R246" s="14"/>
    </row>
    <row r="247" customFormat="false" ht="35.05" hidden="false" customHeight="false" outlineLevel="0" collapsed="false">
      <c r="A247" s="14" t="n">
        <v>4</v>
      </c>
      <c r="B247" s="15" t="s">
        <v>153</v>
      </c>
      <c r="C247" s="15" t="s">
        <v>294</v>
      </c>
      <c r="D247" s="15" t="s">
        <v>310</v>
      </c>
      <c r="E247" s="14" t="n">
        <v>30</v>
      </c>
      <c r="F247" s="15" t="s">
        <v>861</v>
      </c>
      <c r="G247" s="14" t="s">
        <v>66</v>
      </c>
      <c r="H247" s="14"/>
      <c r="I247" s="14" t="n">
        <f aca="false">IF(E247="","",IF(OR(AND(H247="Plan A",$C$5="B"),AND(H247="Plan B",$C$5="A")),0,IF(OR(G247="per student",G247="per group",G247="per class"),E247*IF(B247="Year 7",$C$3,$C$4),E247)))</f>
        <v>30</v>
      </c>
      <c r="J247" s="15"/>
      <c r="K247" s="14"/>
      <c r="L247" s="14" t="str">
        <f aca="false">IF(OR(K247="",O247&lt;&gt;"",I247=""),"",ROUNDUP(I247*K247,0))</f>
        <v/>
      </c>
      <c r="M247" s="15" t="s">
        <v>864</v>
      </c>
      <c r="N247" s="14"/>
      <c r="O247" s="15"/>
      <c r="P247" s="15" t="s">
        <v>77</v>
      </c>
      <c r="Q247" s="13" t="s">
        <v>865</v>
      </c>
      <c r="R247" s="14"/>
    </row>
    <row r="248" customFormat="false" ht="23.85" hidden="false" customHeight="false" outlineLevel="0" collapsed="false">
      <c r="A248" s="14" t="n">
        <v>4</v>
      </c>
      <c r="B248" s="15" t="s">
        <v>153</v>
      </c>
      <c r="C248" s="15" t="s">
        <v>294</v>
      </c>
      <c r="D248" s="15" t="s">
        <v>866</v>
      </c>
      <c r="E248" s="14" t="n">
        <v>12</v>
      </c>
      <c r="F248" s="15" t="s">
        <v>861</v>
      </c>
      <c r="G248" s="14" t="s">
        <v>66</v>
      </c>
      <c r="H248" s="14"/>
      <c r="I248" s="14" t="n">
        <f aca="false">IF(E248="","",IF(OR(AND(H248="Plan A",$C$5="B"),AND(H248="Plan B",$C$5="A")),0,IF(OR(G248="per student",G248="per group",G248="per class"),E248*IF(B248="Year 7",$C$3,$C$4),E248)))</f>
        <v>12</v>
      </c>
      <c r="J248" s="15"/>
      <c r="K248" s="14"/>
      <c r="L248" s="14" t="str">
        <f aca="false">IF(OR(K248="",O248&lt;&gt;"",I248=""),"",ROUNDUP(I248*K248,0))</f>
        <v/>
      </c>
      <c r="M248" s="15" t="s">
        <v>862</v>
      </c>
      <c r="N248" s="14"/>
      <c r="O248" s="15"/>
      <c r="P248" s="15" t="s">
        <v>77</v>
      </c>
      <c r="Q248" s="13" t="s">
        <v>867</v>
      </c>
      <c r="R248" s="14"/>
    </row>
    <row r="249" customFormat="false" ht="23.85" hidden="false" customHeight="false" outlineLevel="0" collapsed="false">
      <c r="A249" s="14" t="n">
        <v>4</v>
      </c>
      <c r="B249" s="15" t="s">
        <v>153</v>
      </c>
      <c r="C249" s="15" t="s">
        <v>294</v>
      </c>
      <c r="D249" s="15" t="s">
        <v>868</v>
      </c>
      <c r="E249" s="14" t="n">
        <v>12</v>
      </c>
      <c r="F249" s="15" t="s">
        <v>861</v>
      </c>
      <c r="G249" s="14" t="s">
        <v>66</v>
      </c>
      <c r="H249" s="14"/>
      <c r="I249" s="14" t="n">
        <f aca="false">IF(E249="","",IF(OR(AND(H249="Plan A",$C$5="B"),AND(H249="Plan B",$C$5="A")),0,IF(OR(G249="per student",G249="per group",G249="per class"),E249*IF(B249="Year 7",$C$3,$C$4),E249)))</f>
        <v>12</v>
      </c>
      <c r="J249" s="15"/>
      <c r="K249" s="14"/>
      <c r="L249" s="14" t="str">
        <f aca="false">IF(OR(K249="",O249&lt;&gt;"",I249=""),"",ROUNDUP(I249*K249,0))</f>
        <v/>
      </c>
      <c r="M249" s="15" t="s">
        <v>862</v>
      </c>
      <c r="N249" s="14"/>
      <c r="O249" s="15"/>
      <c r="P249" s="15" t="s">
        <v>77</v>
      </c>
      <c r="Q249" s="13" t="s">
        <v>869</v>
      </c>
      <c r="R249" s="14"/>
    </row>
    <row r="250" customFormat="false" ht="23.85" hidden="false" customHeight="false" outlineLevel="0" collapsed="false">
      <c r="A250" s="14" t="n">
        <v>4</v>
      </c>
      <c r="B250" s="15" t="s">
        <v>153</v>
      </c>
      <c r="C250" s="15" t="s">
        <v>294</v>
      </c>
      <c r="D250" s="15" t="s">
        <v>870</v>
      </c>
      <c r="E250" s="14" t="n">
        <v>180</v>
      </c>
      <c r="F250" s="15" t="s">
        <v>307</v>
      </c>
      <c r="G250" s="14" t="s">
        <v>66</v>
      </c>
      <c r="H250" s="14"/>
      <c r="I250" s="14" t="n">
        <f aca="false">IF(E250="","",IF(OR(AND(H250="Plan A",$C$5="B"),AND(H250="Plan B",$C$5="A")),0,IF(OR(G250="per student",G250="per group",G250="per class"),E250*IF(B250="Year 7",$C$3,$C$4),E250)))</f>
        <v>180</v>
      </c>
      <c r="J250" s="15"/>
      <c r="K250" s="14"/>
      <c r="L250" s="14" t="str">
        <f aca="false">IF(OR(K250="",O250&lt;&gt;"",I250=""),"",ROUNDUP(I250*K250,0))</f>
        <v/>
      </c>
      <c r="M250" s="15" t="s">
        <v>871</v>
      </c>
      <c r="N250" s="14"/>
      <c r="O250" s="15"/>
      <c r="P250" s="15" t="s">
        <v>77</v>
      </c>
      <c r="Q250" s="15"/>
      <c r="R250" s="14"/>
    </row>
    <row r="251" customFormat="false" ht="23.85" hidden="false" customHeight="false" outlineLevel="0" collapsed="false">
      <c r="A251" s="14" t="n">
        <v>4</v>
      </c>
      <c r="B251" s="15" t="s">
        <v>153</v>
      </c>
      <c r="C251" s="15" t="s">
        <v>294</v>
      </c>
      <c r="D251" s="15" t="s">
        <v>872</v>
      </c>
      <c r="E251" s="14"/>
      <c r="F251" s="15" t="s">
        <v>873</v>
      </c>
      <c r="G251" s="14" t="s">
        <v>66</v>
      </c>
      <c r="H251" s="14"/>
      <c r="I251" s="14" t="str">
        <f aca="false">IF(E251="","",IF(OR(AND(H251="Plan A",$C$5="B"),AND(H251="Plan B",$C$5="A")),0,IF(OR(G251="per student",G251="per group",G251="per class"),E251*IF(B251="Year 7",$C$3,$C$4),E251)))</f>
        <v/>
      </c>
      <c r="J251" s="15"/>
      <c r="K251" s="14"/>
      <c r="L251" s="14" t="str">
        <f aca="false">IF(OR(K251="",O251&lt;&gt;"",I251=""),"",ROUNDUP(I251*K251,0))</f>
        <v/>
      </c>
      <c r="M251" s="15" t="s">
        <v>874</v>
      </c>
      <c r="N251" s="14"/>
      <c r="O251" s="15"/>
      <c r="P251" s="13" t="s">
        <v>91</v>
      </c>
      <c r="Q251" s="13" t="s">
        <v>875</v>
      </c>
      <c r="R251" s="14"/>
    </row>
    <row r="252" customFormat="false" ht="23.85" hidden="false" customHeight="false" outlineLevel="0" collapsed="false">
      <c r="A252" s="14" t="n">
        <v>4</v>
      </c>
      <c r="B252" s="15" t="s">
        <v>153</v>
      </c>
      <c r="C252" s="15" t="s">
        <v>294</v>
      </c>
      <c r="D252" s="15" t="s">
        <v>876</v>
      </c>
      <c r="E252" s="14"/>
      <c r="F252" s="15" t="s">
        <v>877</v>
      </c>
      <c r="G252" s="14" t="s">
        <v>66</v>
      </c>
      <c r="H252" s="14"/>
      <c r="I252" s="14" t="str">
        <f aca="false">IF(E252="","",IF(OR(AND(H252="Plan A",$C$5="B"),AND(H252="Plan B",$C$5="A")),0,IF(OR(G252="per student",G252="per group",G252="per class"),E252*IF(B252="Year 7",$C$3,$C$4),E252)))</f>
        <v/>
      </c>
      <c r="J252" s="15"/>
      <c r="K252" s="14"/>
      <c r="L252" s="14" t="str">
        <f aca="false">IF(OR(K252="",O252&lt;&gt;"",I252=""),"",ROUNDUP(I252*K252,0))</f>
        <v/>
      </c>
      <c r="M252" s="15" t="s">
        <v>878</v>
      </c>
      <c r="N252" s="14"/>
      <c r="O252" s="15"/>
      <c r="P252" s="15" t="s">
        <v>133</v>
      </c>
      <c r="Q252" s="13" t="s">
        <v>879</v>
      </c>
      <c r="R252" s="14"/>
    </row>
    <row r="253" customFormat="false" ht="35.05" hidden="false" customHeight="false" outlineLevel="0" collapsed="false">
      <c r="A253" s="14" t="n">
        <v>4</v>
      </c>
      <c r="B253" s="15" t="s">
        <v>153</v>
      </c>
      <c r="C253" s="15" t="s">
        <v>144</v>
      </c>
      <c r="D253" s="15" t="s">
        <v>880</v>
      </c>
      <c r="E253" s="14" t="n">
        <v>6</v>
      </c>
      <c r="F253" s="15" t="s">
        <v>373</v>
      </c>
      <c r="G253" s="14" t="s">
        <v>66</v>
      </c>
      <c r="H253" s="14"/>
      <c r="I253" s="14" t="n">
        <f aca="false">IF(E253="","",IF(OR(AND(H253="Plan A",$C$5="B"),AND(H253="Plan B",$C$5="A")),0,IF(OR(G253="per student",G253="per group",G253="per class"),E253*IF(B253="Year 7",$C$3,$C$4),E253)))</f>
        <v>6</v>
      </c>
      <c r="J253" s="15"/>
      <c r="K253" s="14"/>
      <c r="L253" s="14" t="str">
        <f aca="false">IF(OR(K253="",O253&lt;&gt;"",I253=""),"",ROUNDUP(I253*K253,0))</f>
        <v/>
      </c>
      <c r="M253" s="15" t="s">
        <v>881</v>
      </c>
      <c r="N253" s="14"/>
      <c r="O253" s="15"/>
      <c r="P253" s="15" t="s">
        <v>77</v>
      </c>
      <c r="Q253" s="13" t="s">
        <v>882</v>
      </c>
      <c r="R253" s="14"/>
    </row>
    <row r="254" customFormat="false" ht="35.05" hidden="false" customHeight="false" outlineLevel="0" collapsed="false">
      <c r="A254" s="14" t="n">
        <v>4</v>
      </c>
      <c r="B254" s="15" t="s">
        <v>153</v>
      </c>
      <c r="C254" s="15" t="s">
        <v>144</v>
      </c>
      <c r="D254" s="15" t="s">
        <v>883</v>
      </c>
      <c r="E254" s="14" t="n">
        <v>6</v>
      </c>
      <c r="F254" s="15" t="s">
        <v>845</v>
      </c>
      <c r="G254" s="14" t="s">
        <v>66</v>
      </c>
      <c r="H254" s="14"/>
      <c r="I254" s="14" t="n">
        <f aca="false">IF(E254="","",IF(OR(AND(H254="Plan A",$C$5="B"),AND(H254="Plan B",$C$5="A")),0,IF(OR(G254="per student",G254="per group",G254="per class"),E254*IF(B254="Year 7",$C$3,$C$4),E254)))</f>
        <v>6</v>
      </c>
      <c r="J254" s="15"/>
      <c r="K254" s="14"/>
      <c r="L254" s="14" t="str">
        <f aca="false">IF(OR(K254="",O254&lt;&gt;"",I254=""),"",ROUNDUP(I254*K254,0))</f>
        <v/>
      </c>
      <c r="M254" s="15" t="s">
        <v>884</v>
      </c>
      <c r="N254" s="14"/>
      <c r="O254" s="15"/>
      <c r="P254" s="15" t="s">
        <v>77</v>
      </c>
      <c r="Q254" s="13" t="s">
        <v>885</v>
      </c>
      <c r="R254" s="14"/>
    </row>
    <row r="255" customFormat="false" ht="91" hidden="false" customHeight="false" outlineLevel="0" collapsed="false">
      <c r="A255" s="11" t="n">
        <v>5</v>
      </c>
      <c r="B255" s="12" t="s">
        <v>39</v>
      </c>
      <c r="C255" s="12" t="s">
        <v>40</v>
      </c>
      <c r="D255" s="12" t="s">
        <v>886</v>
      </c>
      <c r="E255" s="11" t="n">
        <v>24</v>
      </c>
      <c r="F255" s="12" t="s">
        <v>887</v>
      </c>
      <c r="G255" s="11" t="s">
        <v>43</v>
      </c>
      <c r="H255" s="11"/>
      <c r="I255" s="11" t="n">
        <f aca="false">IF(E255="","",IF(OR(AND(H255="Plan A",$C$5="B"),AND(H255="Plan B",$C$5="A")),0,IF(OR(G255="per student",G255="per group",G255="per class"),E255*IF(B255="Year 7",$C$3,$C$4),E255)))</f>
        <v>24</v>
      </c>
      <c r="J255" s="12" t="s">
        <v>13</v>
      </c>
      <c r="K255" s="11" t="n">
        <v>2</v>
      </c>
      <c r="L255" s="11" t="n">
        <f aca="false">IF(OR(K255="",O255&lt;&gt;"",I255=""),"",ROUNDUP(I255*K255,0))</f>
        <v>48</v>
      </c>
      <c r="M255" s="12" t="s">
        <v>888</v>
      </c>
      <c r="N255" s="11"/>
      <c r="O255" s="12"/>
      <c r="P255" s="12" t="s">
        <v>45</v>
      </c>
      <c r="Q255" s="13" t="s">
        <v>889</v>
      </c>
      <c r="R255" s="11"/>
    </row>
    <row r="256" customFormat="false" ht="46.25" hidden="false" customHeight="false" outlineLevel="0" collapsed="false">
      <c r="A256" s="11" t="n">
        <v>5</v>
      </c>
      <c r="B256" s="12" t="s">
        <v>39</v>
      </c>
      <c r="C256" s="12" t="s">
        <v>40</v>
      </c>
      <c r="D256" s="12" t="s">
        <v>890</v>
      </c>
      <c r="E256" s="11" t="n">
        <v>25</v>
      </c>
      <c r="F256" s="12" t="s">
        <v>891</v>
      </c>
      <c r="G256" s="11" t="s">
        <v>43</v>
      </c>
      <c r="H256" s="11"/>
      <c r="I256" s="11" t="n">
        <f aca="false">IF(E256="","",IF(OR(AND(H256="Plan A",$C$5="B"),AND(H256="Plan B",$C$5="A")),0,IF(OR(G256="per student",G256="per group",G256="per class"),E256*IF(B256="Year 7",$C$3,$C$4),E256)))</f>
        <v>25</v>
      </c>
      <c r="J256" s="12" t="s">
        <v>13</v>
      </c>
      <c r="K256" s="11" t="n">
        <v>1</v>
      </c>
      <c r="L256" s="11" t="n">
        <f aca="false">IF(OR(K256="",O256&lt;&gt;"",I256=""),"",ROUNDUP(I256*K256,0))</f>
        <v>25</v>
      </c>
      <c r="M256" s="12" t="s">
        <v>892</v>
      </c>
      <c r="N256" s="11"/>
      <c r="O256" s="12"/>
      <c r="P256" s="12" t="s">
        <v>45</v>
      </c>
      <c r="Q256" s="13" t="s">
        <v>893</v>
      </c>
      <c r="R256" s="11"/>
    </row>
    <row r="257" customFormat="false" ht="23.85" hidden="false" customHeight="false" outlineLevel="0" collapsed="false">
      <c r="A257" s="11" t="n">
        <v>5</v>
      </c>
      <c r="B257" s="12" t="s">
        <v>39</v>
      </c>
      <c r="C257" s="12" t="s">
        <v>40</v>
      </c>
      <c r="D257" s="12" t="s">
        <v>894</v>
      </c>
      <c r="E257" s="11" t="n">
        <v>1</v>
      </c>
      <c r="F257" s="12" t="s">
        <v>895</v>
      </c>
      <c r="G257" s="11" t="s">
        <v>57</v>
      </c>
      <c r="H257" s="11"/>
      <c r="I257" s="11" t="n">
        <f aca="false">IF(E257="","",IF(OR(AND(H257="Plan A",$C$5="B"),AND(H257="Plan B",$C$5="A")),0,IF(OR(G257="per student",G257="per group",G257="per class"),E257*IF(B257="Year 7",$C$3,$C$4),E257)))</f>
        <v>1</v>
      </c>
      <c r="J257" s="12" t="s">
        <v>13</v>
      </c>
      <c r="K257" s="11" t="n">
        <v>1</v>
      </c>
      <c r="L257" s="11" t="n">
        <f aca="false">IF(OR(K257="",O257&lt;&gt;"",I257=""),"",ROUNDUP(I257*K257,0))</f>
        <v>1</v>
      </c>
      <c r="M257" s="12" t="s">
        <v>896</v>
      </c>
      <c r="N257" s="11"/>
      <c r="O257" s="12"/>
      <c r="P257" s="12" t="s">
        <v>45</v>
      </c>
      <c r="Q257" s="13" t="s">
        <v>897</v>
      </c>
      <c r="R257" s="11"/>
    </row>
    <row r="258" customFormat="false" ht="23.85" hidden="false" customHeight="false" outlineLevel="0" collapsed="false">
      <c r="A258" s="11" t="n">
        <v>5</v>
      </c>
      <c r="B258" s="12" t="s">
        <v>39</v>
      </c>
      <c r="C258" s="12" t="s">
        <v>40</v>
      </c>
      <c r="D258" s="12" t="s">
        <v>898</v>
      </c>
      <c r="E258" s="11" t="n">
        <v>1</v>
      </c>
      <c r="F258" s="12" t="s">
        <v>899</v>
      </c>
      <c r="G258" s="11" t="s">
        <v>57</v>
      </c>
      <c r="H258" s="11"/>
      <c r="I258" s="11" t="n">
        <f aca="false">IF(E258="","",IF(OR(AND(H258="Plan A",$C$5="B"),AND(H258="Plan B",$C$5="A")),0,IF(OR(G258="per student",G258="per group",G258="per class"),E258*IF(B258="Year 7",$C$3,$C$4),E258)))</f>
        <v>1</v>
      </c>
      <c r="J258" s="12" t="s">
        <v>13</v>
      </c>
      <c r="K258" s="11" t="n">
        <v>1</v>
      </c>
      <c r="L258" s="11" t="n">
        <f aca="false">IF(OR(K258="",O258&lt;&gt;"",I258=""),"",ROUNDUP(I258*K258,0))</f>
        <v>1</v>
      </c>
      <c r="M258" s="12" t="s">
        <v>900</v>
      </c>
      <c r="N258" s="11"/>
      <c r="O258" s="12"/>
      <c r="P258" s="12" t="s">
        <v>45</v>
      </c>
      <c r="Q258" s="13" t="s">
        <v>901</v>
      </c>
      <c r="R258" s="11"/>
    </row>
    <row r="259" customFormat="false" ht="23.85" hidden="false" customHeight="false" outlineLevel="0" collapsed="false">
      <c r="A259" s="11" t="n">
        <v>5</v>
      </c>
      <c r="B259" s="12" t="s">
        <v>39</v>
      </c>
      <c r="C259" s="12" t="s">
        <v>40</v>
      </c>
      <c r="D259" s="12" t="s">
        <v>446</v>
      </c>
      <c r="E259" s="11" t="n">
        <v>1</v>
      </c>
      <c r="F259" s="12" t="s">
        <v>902</v>
      </c>
      <c r="G259" s="11" t="s">
        <v>127</v>
      </c>
      <c r="H259" s="11"/>
      <c r="I259" s="11" t="n">
        <f aca="false">IF(E259="","",IF(OR(AND(H259="Plan A",$C$5="B"),AND(H259="Plan B",$C$5="A")),0,IF(OR(G259="per student",G259="per group",G259="per class"),E259*IF(B259="Year 7",$C$3,$C$4),E259)))</f>
        <v>1</v>
      </c>
      <c r="J259" s="12" t="s">
        <v>20</v>
      </c>
      <c r="K259" s="11" t="n">
        <v>1</v>
      </c>
      <c r="L259" s="11" t="n">
        <f aca="false">IF(OR(K259="",O259&lt;&gt;"",I259=""),"",ROUNDUP(I259*K259,0))</f>
        <v>1</v>
      </c>
      <c r="M259" s="12" t="s">
        <v>903</v>
      </c>
      <c r="N259" s="11"/>
      <c r="O259" s="12"/>
      <c r="P259" s="12" t="s">
        <v>45</v>
      </c>
      <c r="Q259" s="13" t="s">
        <v>904</v>
      </c>
      <c r="R259" s="11"/>
    </row>
    <row r="260" customFormat="false" ht="35.05" hidden="false" customHeight="false" outlineLevel="0" collapsed="false">
      <c r="A260" s="11" t="n">
        <v>5</v>
      </c>
      <c r="B260" s="12" t="s">
        <v>39</v>
      </c>
      <c r="C260" s="12" t="s">
        <v>40</v>
      </c>
      <c r="D260" s="12" t="s">
        <v>905</v>
      </c>
      <c r="E260" s="11" t="n">
        <v>1</v>
      </c>
      <c r="F260" s="12" t="s">
        <v>906</v>
      </c>
      <c r="G260" s="11" t="s">
        <v>127</v>
      </c>
      <c r="H260" s="11"/>
      <c r="I260" s="11" t="n">
        <f aca="false">IF(E260="","",IF(OR(AND(H260="Plan A",$C$5="B"),AND(H260="Plan B",$C$5="A")),0,IF(OR(G260="per student",G260="per group",G260="per class"),E260*IF(B260="Year 7",$C$3,$C$4),E260)))</f>
        <v>1</v>
      </c>
      <c r="J260" s="12" t="s">
        <v>20</v>
      </c>
      <c r="K260" s="11" t="n">
        <v>4</v>
      </c>
      <c r="L260" s="11" t="n">
        <f aca="false">IF(OR(K260="",O260&lt;&gt;"",I260=""),"",ROUNDUP(I260*K260,0))</f>
        <v>4</v>
      </c>
      <c r="M260" s="12" t="s">
        <v>907</v>
      </c>
      <c r="N260" s="11"/>
      <c r="O260" s="12"/>
      <c r="P260" s="12" t="s">
        <v>45</v>
      </c>
      <c r="Q260" s="13" t="s">
        <v>908</v>
      </c>
      <c r="R260" s="11"/>
    </row>
    <row r="261" customFormat="false" ht="35.05" hidden="false" customHeight="false" outlineLevel="0" collapsed="false">
      <c r="A261" s="11" t="n">
        <v>5</v>
      </c>
      <c r="B261" s="12" t="s">
        <v>39</v>
      </c>
      <c r="C261" s="12" t="s">
        <v>40</v>
      </c>
      <c r="D261" s="12" t="s">
        <v>909</v>
      </c>
      <c r="E261" s="11" t="n">
        <v>1</v>
      </c>
      <c r="F261" s="12" t="s">
        <v>910</v>
      </c>
      <c r="G261" s="11" t="s">
        <v>127</v>
      </c>
      <c r="H261" s="11"/>
      <c r="I261" s="11" t="n">
        <f aca="false">IF(E261="","",IF(OR(AND(H261="Plan A",$C$5="B"),AND(H261="Plan B",$C$5="A")),0,IF(OR(G261="per student",G261="per group",G261="per class"),E261*IF(B261="Year 7",$C$3,$C$4),E261)))</f>
        <v>1</v>
      </c>
      <c r="J261" s="12" t="s">
        <v>13</v>
      </c>
      <c r="K261" s="11" t="n">
        <v>1</v>
      </c>
      <c r="L261" s="11" t="n">
        <f aca="false">IF(OR(K261="",O261&lt;&gt;"",I261=""),"",ROUNDUP(I261*K261,0))</f>
        <v>1</v>
      </c>
      <c r="M261" s="12" t="s">
        <v>911</v>
      </c>
      <c r="N261" s="11"/>
      <c r="O261" s="12"/>
      <c r="P261" s="12" t="s">
        <v>45</v>
      </c>
      <c r="Q261" s="13" t="s">
        <v>912</v>
      </c>
      <c r="R261" s="11"/>
    </row>
    <row r="262" customFormat="false" ht="35.05" hidden="false" customHeight="false" outlineLevel="0" collapsed="false">
      <c r="A262" s="11" t="n">
        <v>5</v>
      </c>
      <c r="B262" s="12" t="s">
        <v>39</v>
      </c>
      <c r="C262" s="12" t="s">
        <v>40</v>
      </c>
      <c r="D262" s="12" t="s">
        <v>913</v>
      </c>
      <c r="E262" s="11" t="n">
        <v>6</v>
      </c>
      <c r="F262" s="12" t="s">
        <v>117</v>
      </c>
      <c r="G262" s="11" t="s">
        <v>66</v>
      </c>
      <c r="H262" s="11"/>
      <c r="I262" s="11" t="n">
        <f aca="false">IF(E262="","",IF(OR(AND(H262="Plan A",$C$5="B"),AND(H262="Plan B",$C$5="A")),0,IF(OR(G262="per student",G262="per group",G262="per class"),E262*IF(B262="Year 7",$C$3,$C$4),E262)))</f>
        <v>6</v>
      </c>
      <c r="J262" s="12"/>
      <c r="K262" s="11"/>
      <c r="L262" s="11" t="str">
        <f aca="false">IF(OR(K262="",O262&lt;&gt;"",I262=""),"",ROUNDUP(I262*K262,0))</f>
        <v/>
      </c>
      <c r="M262" s="12" t="s">
        <v>914</v>
      </c>
      <c r="N262" s="11"/>
      <c r="O262" s="12" t="s">
        <v>915</v>
      </c>
      <c r="P262" s="12" t="s">
        <v>376</v>
      </c>
      <c r="Q262" s="13" t="s">
        <v>916</v>
      </c>
      <c r="R262" s="11"/>
    </row>
    <row r="263" customFormat="false" ht="57.45" hidden="false" customHeight="false" outlineLevel="0" collapsed="false">
      <c r="A263" s="11" t="n">
        <v>5</v>
      </c>
      <c r="B263" s="12" t="s">
        <v>39</v>
      </c>
      <c r="C263" s="12" t="s">
        <v>97</v>
      </c>
      <c r="D263" s="12" t="s">
        <v>917</v>
      </c>
      <c r="E263" s="11" t="n">
        <v>1</v>
      </c>
      <c r="F263" s="12" t="s">
        <v>918</v>
      </c>
      <c r="G263" s="11" t="s">
        <v>127</v>
      </c>
      <c r="H263" s="11"/>
      <c r="I263" s="11" t="n">
        <f aca="false">IF(E263="","",IF(OR(AND(H263="Plan A",$C$5="B"),AND(H263="Plan B",$C$5="A")),0,IF(OR(G263="per student",G263="per group",G263="per class"),E263*IF(B263="Year 7",$C$3,$C$4),E263)))</f>
        <v>1</v>
      </c>
      <c r="J263" s="12" t="s">
        <v>14</v>
      </c>
      <c r="K263" s="11" t="n">
        <v>3</v>
      </c>
      <c r="L263" s="11" t="n">
        <f aca="false">IF(OR(K263="",O263&lt;&gt;"",I263=""),"",ROUNDUP(I263*K263,0))</f>
        <v>3</v>
      </c>
      <c r="M263" s="12" t="s">
        <v>919</v>
      </c>
      <c r="N263" s="11"/>
      <c r="O263" s="12"/>
      <c r="P263" s="12" t="s">
        <v>77</v>
      </c>
      <c r="Q263" s="13" t="s">
        <v>920</v>
      </c>
      <c r="R263" s="11"/>
    </row>
    <row r="264" customFormat="false" ht="23.85" hidden="false" customHeight="false" outlineLevel="0" collapsed="false">
      <c r="A264" s="11" t="n">
        <v>5</v>
      </c>
      <c r="B264" s="12" t="s">
        <v>39</v>
      </c>
      <c r="C264" s="12" t="s">
        <v>97</v>
      </c>
      <c r="D264" s="12" t="s">
        <v>120</v>
      </c>
      <c r="E264" s="11" t="n">
        <v>24</v>
      </c>
      <c r="F264" s="12" t="s">
        <v>248</v>
      </c>
      <c r="G264" s="11" t="s">
        <v>43</v>
      </c>
      <c r="H264" s="11"/>
      <c r="I264" s="11" t="n">
        <f aca="false">IF(E264="","",IF(OR(AND(H264="Plan A",$C$5="B"),AND(H264="Plan B",$C$5="A")),0,IF(OR(G264="per student",G264="per group",G264="per class"),E264*IF(B264="Year 7",$C$3,$C$4),E264)))</f>
        <v>24</v>
      </c>
      <c r="J264" s="12"/>
      <c r="K264" s="11"/>
      <c r="L264" s="11" t="str">
        <f aca="false">IF(OR(K264="",O264&lt;&gt;"",I264=""),"",ROUNDUP(I264*K264,0))</f>
        <v/>
      </c>
      <c r="M264" s="12" t="s">
        <v>921</v>
      </c>
      <c r="N264" s="11"/>
      <c r="O264" s="12" t="s">
        <v>922</v>
      </c>
      <c r="P264" s="13" t="s">
        <v>91</v>
      </c>
      <c r="Q264" s="13" t="s">
        <v>923</v>
      </c>
      <c r="R264" s="11"/>
    </row>
    <row r="265" customFormat="false" ht="23.85" hidden="false" customHeight="false" outlineLevel="0" collapsed="false">
      <c r="A265" s="11" t="n">
        <v>5</v>
      </c>
      <c r="B265" s="12" t="s">
        <v>39</v>
      </c>
      <c r="C265" s="12" t="s">
        <v>97</v>
      </c>
      <c r="D265" s="12" t="s">
        <v>924</v>
      </c>
      <c r="E265" s="11" t="n">
        <v>1</v>
      </c>
      <c r="F265" s="12" t="s">
        <v>925</v>
      </c>
      <c r="G265" s="11" t="s">
        <v>57</v>
      </c>
      <c r="H265" s="11"/>
      <c r="I265" s="11" t="n">
        <f aca="false">IF(E265="","",IF(OR(AND(H265="Plan A",$C$5="B"),AND(H265="Plan B",$C$5="A")),0,IF(OR(G265="per student",G265="per group",G265="per class"),E265*IF(B265="Year 7",$C$3,$C$4),E265)))</f>
        <v>1</v>
      </c>
      <c r="J265" s="12"/>
      <c r="K265" s="11"/>
      <c r="L265" s="11" t="str">
        <f aca="false">IF(OR(K265="",O265&lt;&gt;"",I265=""),"",ROUNDUP(I265*K265,0))</f>
        <v/>
      </c>
      <c r="M265" s="12" t="s">
        <v>926</v>
      </c>
      <c r="N265" s="11"/>
      <c r="O265" s="12"/>
      <c r="P265" s="12" t="s">
        <v>77</v>
      </c>
      <c r="Q265" s="12"/>
      <c r="R265" s="11"/>
    </row>
    <row r="266" customFormat="false" ht="35.05" hidden="false" customHeight="false" outlineLevel="0" collapsed="false">
      <c r="A266" s="11" t="n">
        <v>5</v>
      </c>
      <c r="B266" s="12" t="s">
        <v>39</v>
      </c>
      <c r="C266" s="12" t="s">
        <v>97</v>
      </c>
      <c r="D266" s="12" t="s">
        <v>367</v>
      </c>
      <c r="E266" s="11" t="n">
        <v>24</v>
      </c>
      <c r="F266" s="12" t="s">
        <v>368</v>
      </c>
      <c r="G266" s="11" t="s">
        <v>43</v>
      </c>
      <c r="H266" s="11"/>
      <c r="I266" s="11" t="n">
        <f aca="false">IF(E266="","",IF(OR(AND(H266="Plan A",$C$5="B"),AND(H266="Plan B",$C$5="A")),0,IF(OR(G266="per student",G266="per group",G266="per class"),E266*IF(B266="Year 7",$C$3,$C$4),E266)))</f>
        <v>24</v>
      </c>
      <c r="J266" s="12"/>
      <c r="K266" s="11"/>
      <c r="L266" s="11" t="str">
        <f aca="false">IF(OR(K266="",O266&lt;&gt;"",I266=""),"",ROUNDUP(I266*K266,0))</f>
        <v/>
      </c>
      <c r="M266" s="12" t="s">
        <v>927</v>
      </c>
      <c r="N266" s="11"/>
      <c r="O266" s="12" t="s">
        <v>370</v>
      </c>
      <c r="P266" s="13" t="s">
        <v>91</v>
      </c>
      <c r="Q266" s="13" t="s">
        <v>928</v>
      </c>
      <c r="R266" s="11"/>
    </row>
    <row r="267" customFormat="false" ht="35.05" hidden="false" customHeight="false" outlineLevel="0" collapsed="false">
      <c r="A267" s="11" t="n">
        <v>5</v>
      </c>
      <c r="B267" s="12" t="s">
        <v>39</v>
      </c>
      <c r="C267" s="12" t="s">
        <v>97</v>
      </c>
      <c r="D267" s="12" t="s">
        <v>929</v>
      </c>
      <c r="E267" s="11" t="n">
        <v>6</v>
      </c>
      <c r="F267" s="12" t="s">
        <v>355</v>
      </c>
      <c r="G267" s="11" t="s">
        <v>66</v>
      </c>
      <c r="H267" s="11"/>
      <c r="I267" s="11" t="n">
        <f aca="false">IF(E267="","",IF(OR(AND(H267="Plan A",$C$5="B"),AND(H267="Plan B",$C$5="A")),0,IF(OR(G267="per student",G267="per group",G267="per class"),E267*IF(B267="Year 7",$C$3,$C$4),E267)))</f>
        <v>6</v>
      </c>
      <c r="J267" s="12"/>
      <c r="K267" s="11"/>
      <c r="L267" s="11" t="str">
        <f aca="false">IF(OR(K267="",O267&lt;&gt;"",I267=""),"",ROUNDUP(I267*K267,0))</f>
        <v/>
      </c>
      <c r="M267" s="12" t="s">
        <v>930</v>
      </c>
      <c r="N267" s="11"/>
      <c r="O267" s="12" t="s">
        <v>931</v>
      </c>
      <c r="P267" s="13" t="s">
        <v>91</v>
      </c>
      <c r="Q267" s="13" t="s">
        <v>932</v>
      </c>
      <c r="R267" s="11"/>
    </row>
    <row r="268" customFormat="false" ht="35.05" hidden="false" customHeight="false" outlineLevel="0" collapsed="false">
      <c r="A268" s="11" t="n">
        <v>5</v>
      </c>
      <c r="B268" s="12" t="s">
        <v>39</v>
      </c>
      <c r="C268" s="12" t="s">
        <v>97</v>
      </c>
      <c r="D268" s="12" t="s">
        <v>933</v>
      </c>
      <c r="E268" s="11" t="n">
        <v>6</v>
      </c>
      <c r="F268" s="12" t="s">
        <v>373</v>
      </c>
      <c r="G268" s="11" t="s">
        <v>66</v>
      </c>
      <c r="H268" s="11"/>
      <c r="I268" s="11" t="n">
        <f aca="false">IF(E268="","",IF(OR(AND(H268="Plan A",$C$5="B"),AND(H268="Plan B",$C$5="A")),0,IF(OR(G268="per student",G268="per group",G268="per class"),E268*IF(B268="Year 7",$C$3,$C$4),E268)))</f>
        <v>6</v>
      </c>
      <c r="J268" s="12"/>
      <c r="K268" s="11"/>
      <c r="L268" s="11" t="str">
        <f aca="false">IF(OR(K268="",O268&lt;&gt;"",I268=""),"",ROUNDUP(I268*K268,0))</f>
        <v/>
      </c>
      <c r="M268" s="12" t="s">
        <v>934</v>
      </c>
      <c r="N268" s="11"/>
      <c r="O268" s="12" t="s">
        <v>481</v>
      </c>
      <c r="P268" s="12" t="s">
        <v>376</v>
      </c>
      <c r="Q268" s="13" t="s">
        <v>935</v>
      </c>
      <c r="R268" s="11"/>
    </row>
    <row r="269" customFormat="false" ht="35.05" hidden="false" customHeight="false" outlineLevel="0" collapsed="false">
      <c r="A269" s="11" t="n">
        <v>5</v>
      </c>
      <c r="B269" s="12" t="s">
        <v>39</v>
      </c>
      <c r="C269" s="12" t="s">
        <v>97</v>
      </c>
      <c r="D269" s="12" t="s">
        <v>729</v>
      </c>
      <c r="E269" s="11" t="n">
        <v>6</v>
      </c>
      <c r="F269" s="12" t="s">
        <v>373</v>
      </c>
      <c r="G269" s="11" t="s">
        <v>66</v>
      </c>
      <c r="H269" s="11"/>
      <c r="I269" s="11" t="n">
        <f aca="false">IF(E269="","",IF(OR(AND(H269="Plan A",$C$5="B"),AND(H269="Plan B",$C$5="A")),0,IF(OR(G269="per student",G269="per group",G269="per class"),E269*IF(B269="Year 7",$C$3,$C$4),E269)))</f>
        <v>6</v>
      </c>
      <c r="J269" s="12"/>
      <c r="K269" s="11"/>
      <c r="L269" s="11" t="str">
        <f aca="false">IF(OR(K269="",O269&lt;&gt;"",I269=""),"",ROUNDUP(I269*K269,0))</f>
        <v/>
      </c>
      <c r="M269" s="12" t="s">
        <v>936</v>
      </c>
      <c r="N269" s="11"/>
      <c r="O269" s="12" t="s">
        <v>484</v>
      </c>
      <c r="P269" s="12" t="s">
        <v>376</v>
      </c>
      <c r="Q269" s="12"/>
      <c r="R269" s="11"/>
    </row>
    <row r="270" customFormat="false" ht="23.85" hidden="false" customHeight="false" outlineLevel="0" collapsed="false">
      <c r="A270" s="11" t="n">
        <v>5</v>
      </c>
      <c r="B270" s="12" t="s">
        <v>39</v>
      </c>
      <c r="C270" s="12" t="s">
        <v>97</v>
      </c>
      <c r="D270" s="12" t="s">
        <v>386</v>
      </c>
      <c r="E270" s="11" t="n">
        <v>24</v>
      </c>
      <c r="F270" s="12" t="s">
        <v>368</v>
      </c>
      <c r="G270" s="11" t="s">
        <v>43</v>
      </c>
      <c r="H270" s="11"/>
      <c r="I270" s="11" t="n">
        <f aca="false">IF(E270="","",IF(OR(AND(H270="Plan A",$C$5="B"),AND(H270="Plan B",$C$5="A")),0,IF(OR(G270="per student",G270="per group",G270="per class"),E270*IF(B270="Year 7",$C$3,$C$4),E270)))</f>
        <v>24</v>
      </c>
      <c r="J270" s="12"/>
      <c r="K270" s="11"/>
      <c r="L270" s="11" t="str">
        <f aca="false">IF(OR(K270="",O270&lt;&gt;"",I270=""),"",ROUNDUP(I270*K270,0))</f>
        <v/>
      </c>
      <c r="M270" s="12" t="s">
        <v>937</v>
      </c>
      <c r="N270" s="11"/>
      <c r="O270" s="12" t="s">
        <v>388</v>
      </c>
      <c r="P270" s="12" t="s">
        <v>376</v>
      </c>
      <c r="Q270" s="13" t="s">
        <v>938</v>
      </c>
      <c r="R270" s="11"/>
    </row>
    <row r="271" customFormat="false" ht="35.05" hidden="false" customHeight="false" outlineLevel="0" collapsed="false">
      <c r="A271" s="11" t="n">
        <v>5</v>
      </c>
      <c r="B271" s="12" t="s">
        <v>39</v>
      </c>
      <c r="C271" s="12" t="s">
        <v>97</v>
      </c>
      <c r="D271" s="12" t="s">
        <v>939</v>
      </c>
      <c r="E271" s="11" t="n">
        <v>1</v>
      </c>
      <c r="F271" s="12" t="s">
        <v>940</v>
      </c>
      <c r="G271" s="11" t="s">
        <v>57</v>
      </c>
      <c r="H271" s="11"/>
      <c r="I271" s="11" t="n">
        <f aca="false">IF(E271="","",IF(OR(AND(H271="Plan A",$C$5="B"),AND(H271="Plan B",$C$5="A")),0,IF(OR(G271="per student",G271="per group",G271="per class"),E271*IF(B271="Year 7",$C$3,$C$4),E271)))</f>
        <v>1</v>
      </c>
      <c r="J271" s="12"/>
      <c r="K271" s="11"/>
      <c r="L271" s="11" t="str">
        <f aca="false">IF(OR(K271="",O271&lt;&gt;"",I271=""),"",ROUNDUP(I271*K271,0))</f>
        <v/>
      </c>
      <c r="M271" s="12" t="s">
        <v>941</v>
      </c>
      <c r="N271" s="11"/>
      <c r="O271" s="12"/>
      <c r="P271" s="12" t="s">
        <v>77</v>
      </c>
      <c r="Q271" s="12"/>
      <c r="R271" s="11"/>
    </row>
    <row r="272" customFormat="false" ht="35.05" hidden="false" customHeight="false" outlineLevel="0" collapsed="false">
      <c r="A272" s="11" t="n">
        <v>5</v>
      </c>
      <c r="B272" s="12" t="s">
        <v>39</v>
      </c>
      <c r="C272" s="12" t="s">
        <v>97</v>
      </c>
      <c r="D272" s="12" t="s">
        <v>360</v>
      </c>
      <c r="E272" s="11" t="n">
        <v>1</v>
      </c>
      <c r="F272" s="12" t="s">
        <v>361</v>
      </c>
      <c r="G272" s="11" t="s">
        <v>57</v>
      </c>
      <c r="H272" s="11"/>
      <c r="I272" s="11" t="n">
        <f aca="false">IF(E272="","",IF(OR(AND(H272="Plan A",$C$5="B"),AND(H272="Plan B",$C$5="A")),0,IF(OR(G272="per student",G272="per group",G272="per class"),E272*IF(B272="Year 7",$C$3,$C$4),E272)))</f>
        <v>1</v>
      </c>
      <c r="J272" s="12"/>
      <c r="K272" s="11"/>
      <c r="L272" s="11" t="str">
        <f aca="false">IF(OR(K272="",O272&lt;&gt;"",I272=""),"",ROUNDUP(I272*K272,0))</f>
        <v/>
      </c>
      <c r="M272" s="12" t="s">
        <v>942</v>
      </c>
      <c r="N272" s="11"/>
      <c r="O272" s="12"/>
      <c r="P272" s="12" t="s">
        <v>77</v>
      </c>
      <c r="Q272" s="12"/>
      <c r="R272" s="11"/>
    </row>
    <row r="273" customFormat="false" ht="23.85" hidden="false" customHeight="false" outlineLevel="0" collapsed="false">
      <c r="A273" s="11" t="n">
        <v>5</v>
      </c>
      <c r="B273" s="12" t="s">
        <v>39</v>
      </c>
      <c r="C273" s="12" t="s">
        <v>124</v>
      </c>
      <c r="D273" s="12" t="s">
        <v>943</v>
      </c>
      <c r="E273" s="11" t="n">
        <v>24</v>
      </c>
      <c r="F273" s="12" t="s">
        <v>660</v>
      </c>
      <c r="G273" s="11" t="s">
        <v>43</v>
      </c>
      <c r="H273" s="11"/>
      <c r="I273" s="11" t="n">
        <f aca="false">IF(E273="","",IF(OR(AND(H273="Plan A",$C$5="B"),AND(H273="Plan B",$C$5="A")),0,IF(OR(G273="per student",G273="per group",G273="per class"),E273*IF(B273="Year 7",$C$3,$C$4),E273)))</f>
        <v>24</v>
      </c>
      <c r="J273" s="12"/>
      <c r="K273" s="11"/>
      <c r="L273" s="11" t="str">
        <f aca="false">IF(OR(K273="",O273&lt;&gt;"",I273=""),"",ROUNDUP(I273*K273,0))</f>
        <v/>
      </c>
      <c r="M273" s="12" t="s">
        <v>944</v>
      </c>
      <c r="N273" s="11"/>
      <c r="O273" s="12"/>
      <c r="P273" s="12" t="s">
        <v>77</v>
      </c>
      <c r="Q273" s="13" t="s">
        <v>945</v>
      </c>
      <c r="R273" s="11"/>
    </row>
    <row r="274" customFormat="false" ht="23.85" hidden="false" customHeight="false" outlineLevel="0" collapsed="false">
      <c r="A274" s="11" t="n">
        <v>5</v>
      </c>
      <c r="B274" s="12" t="s">
        <v>39</v>
      </c>
      <c r="C274" s="12" t="s">
        <v>124</v>
      </c>
      <c r="D274" s="12" t="s">
        <v>125</v>
      </c>
      <c r="E274" s="11" t="n">
        <v>1</v>
      </c>
      <c r="F274" s="12" t="s">
        <v>267</v>
      </c>
      <c r="G274" s="11" t="s">
        <v>127</v>
      </c>
      <c r="H274" s="11"/>
      <c r="I274" s="11" t="n">
        <f aca="false">IF(E274="","",IF(OR(AND(H274="Plan A",$C$5="B"),AND(H274="Plan B",$C$5="A")),0,IF(OR(G274="per student",G274="per group",G274="per class"),E274*IF(B274="Year 7",$C$3,$C$4),E274)))</f>
        <v>1</v>
      </c>
      <c r="J274" s="12"/>
      <c r="K274" s="11"/>
      <c r="L274" s="11" t="str">
        <f aca="false">IF(OR(K274="",O274&lt;&gt;"",I274=""),"",ROUNDUP(I274*K274,0))</f>
        <v/>
      </c>
      <c r="M274" s="12" t="s">
        <v>946</v>
      </c>
      <c r="N274" s="11"/>
      <c r="O274" s="12" t="s">
        <v>391</v>
      </c>
      <c r="P274" s="12" t="s">
        <v>376</v>
      </c>
      <c r="Q274" s="12"/>
      <c r="R274" s="11"/>
    </row>
    <row r="275" customFormat="false" ht="35.05" hidden="false" customHeight="false" outlineLevel="0" collapsed="false">
      <c r="A275" s="11" t="n">
        <v>5</v>
      </c>
      <c r="B275" s="12" t="s">
        <v>39</v>
      </c>
      <c r="C275" s="12" t="s">
        <v>124</v>
      </c>
      <c r="D275" s="12" t="s">
        <v>947</v>
      </c>
      <c r="E275" s="11" t="n">
        <v>6</v>
      </c>
      <c r="F275" s="12" t="s">
        <v>597</v>
      </c>
      <c r="G275" s="11" t="s">
        <v>57</v>
      </c>
      <c r="H275" s="11"/>
      <c r="I275" s="11" t="n">
        <f aca="false">IF(E275="","",IF(OR(AND(H275="Plan A",$C$5="B"),AND(H275="Plan B",$C$5="A")),0,IF(OR(G275="per student",G275="per group",G275="per class"),E275*IF(B275="Year 7",$C$3,$C$4),E275)))</f>
        <v>6</v>
      </c>
      <c r="J275" s="12"/>
      <c r="K275" s="11"/>
      <c r="L275" s="11" t="str">
        <f aca="false">IF(OR(K275="",O275&lt;&gt;"",I275=""),"",ROUNDUP(I275*K275,0))</f>
        <v/>
      </c>
      <c r="M275" s="12" t="s">
        <v>948</v>
      </c>
      <c r="N275" s="11"/>
      <c r="O275" s="12" t="s">
        <v>949</v>
      </c>
      <c r="P275" s="13" t="s">
        <v>91</v>
      </c>
      <c r="Q275" s="13" t="s">
        <v>950</v>
      </c>
      <c r="R275" s="11"/>
    </row>
    <row r="276" customFormat="false" ht="35.05" hidden="false" customHeight="false" outlineLevel="0" collapsed="false">
      <c r="A276" s="11" t="n">
        <v>5</v>
      </c>
      <c r="B276" s="12" t="s">
        <v>39</v>
      </c>
      <c r="C276" s="12" t="s">
        <v>124</v>
      </c>
      <c r="D276" s="12" t="s">
        <v>951</v>
      </c>
      <c r="E276" s="11" t="n">
        <v>1</v>
      </c>
      <c r="F276" s="12" t="s">
        <v>952</v>
      </c>
      <c r="G276" s="11" t="s">
        <v>57</v>
      </c>
      <c r="H276" s="11"/>
      <c r="I276" s="11" t="n">
        <f aca="false">IF(E276="","",IF(OR(AND(H276="Plan A",$C$5="B"),AND(H276="Plan B",$C$5="A")),0,IF(OR(G276="per student",G276="per group",G276="per class"),E276*IF(B276="Year 7",$C$3,$C$4),E276)))</f>
        <v>1</v>
      </c>
      <c r="J276" s="12"/>
      <c r="K276" s="11"/>
      <c r="L276" s="11" t="str">
        <f aca="false">IF(OR(K276="",O276&lt;&gt;"",I276=""),"",ROUNDUP(I276*K276,0))</f>
        <v/>
      </c>
      <c r="M276" s="12" t="s">
        <v>953</v>
      </c>
      <c r="N276" s="11"/>
      <c r="O276" s="12"/>
      <c r="P276" s="12" t="s">
        <v>77</v>
      </c>
      <c r="Q276" s="12"/>
      <c r="R276" s="11"/>
    </row>
    <row r="277" customFormat="false" ht="35.05" hidden="false" customHeight="false" outlineLevel="0" collapsed="false">
      <c r="A277" s="11" t="n">
        <v>5</v>
      </c>
      <c r="B277" s="12" t="s">
        <v>39</v>
      </c>
      <c r="C277" s="12" t="s">
        <v>124</v>
      </c>
      <c r="D277" s="12" t="s">
        <v>954</v>
      </c>
      <c r="E277" s="11" t="n">
        <v>1</v>
      </c>
      <c r="F277" s="12" t="s">
        <v>955</v>
      </c>
      <c r="G277" s="11" t="s">
        <v>57</v>
      </c>
      <c r="H277" s="11" t="s">
        <v>956</v>
      </c>
      <c r="I277" s="11" t="n">
        <f aca="false">IF(E277="","",IF(OR(AND(H277="Plan A",$C$5="B"),AND(H277="Plan B",$C$5="A")),0,IF(OR(G277="per student",G277="per group",G277="per class"),E277*IF(B277="Year 7",$C$3,$C$4),E277)))</f>
        <v>1</v>
      </c>
      <c r="J277" s="12"/>
      <c r="K277" s="11"/>
      <c r="L277" s="11" t="str">
        <f aca="false">IF(OR(K277="",O277&lt;&gt;"",I277=""),"",ROUNDUP(I277*K277,0))</f>
        <v/>
      </c>
      <c r="M277" s="12" t="s">
        <v>957</v>
      </c>
      <c r="N277" s="11"/>
      <c r="O277" s="12"/>
      <c r="P277" s="12" t="s">
        <v>77</v>
      </c>
      <c r="Q277" s="13" t="s">
        <v>958</v>
      </c>
      <c r="R277" s="11"/>
    </row>
    <row r="278" customFormat="false" ht="46.25" hidden="false" customHeight="false" outlineLevel="0" collapsed="false">
      <c r="A278" s="11" t="n">
        <v>5</v>
      </c>
      <c r="B278" s="12" t="s">
        <v>39</v>
      </c>
      <c r="C278" s="12" t="s">
        <v>124</v>
      </c>
      <c r="D278" s="12" t="s">
        <v>959</v>
      </c>
      <c r="E278" s="11" t="n">
        <v>1</v>
      </c>
      <c r="F278" s="12" t="s">
        <v>960</v>
      </c>
      <c r="G278" s="11" t="s">
        <v>57</v>
      </c>
      <c r="H278" s="11"/>
      <c r="I278" s="11" t="n">
        <f aca="false">IF(E278="","",IF(OR(AND(H278="Plan A",$C$5="B"),AND(H278="Plan B",$C$5="A")),0,IF(OR(G278="per student",G278="per group",G278="per class"),E278*IF(B278="Year 7",$C$3,$C$4),E278)))</f>
        <v>1</v>
      </c>
      <c r="J278" s="12"/>
      <c r="K278" s="11"/>
      <c r="L278" s="11" t="str">
        <f aca="false">IF(OR(K278="",O278&lt;&gt;"",I278=""),"",ROUNDUP(I278*K278,0))</f>
        <v/>
      </c>
      <c r="M278" s="12" t="s">
        <v>961</v>
      </c>
      <c r="N278" s="11"/>
      <c r="O278" s="12"/>
      <c r="P278" s="12" t="s">
        <v>77</v>
      </c>
      <c r="Q278" s="12"/>
      <c r="R278" s="11"/>
    </row>
    <row r="279" customFormat="false" ht="35.05" hidden="false" customHeight="false" outlineLevel="0" collapsed="false">
      <c r="A279" s="11" t="n">
        <v>5</v>
      </c>
      <c r="B279" s="12" t="s">
        <v>39</v>
      </c>
      <c r="C279" s="12" t="s">
        <v>124</v>
      </c>
      <c r="D279" s="12" t="s">
        <v>962</v>
      </c>
      <c r="E279" s="11" t="n">
        <v>1</v>
      </c>
      <c r="F279" s="12" t="s">
        <v>963</v>
      </c>
      <c r="G279" s="11" t="s">
        <v>57</v>
      </c>
      <c r="H279" s="11" t="s">
        <v>964</v>
      </c>
      <c r="I279" s="11" t="n">
        <f aca="false">IF(E279="","",IF(OR(AND(H279="Plan A",$C$5="B"),AND(H279="Plan B",$C$5="A")),0,IF(OR(G279="per student",G279="per group",G279="per class"),E279*IF(B279="Year 7",$C$3,$C$4),E279)))</f>
        <v>1</v>
      </c>
      <c r="J279" s="12"/>
      <c r="K279" s="11"/>
      <c r="L279" s="11" t="str">
        <f aca="false">IF(OR(K279="",O279&lt;&gt;"",I279=""),"",ROUNDUP(I279*K279,0))</f>
        <v/>
      </c>
      <c r="M279" s="12" t="s">
        <v>965</v>
      </c>
      <c r="N279" s="11"/>
      <c r="O279" s="12"/>
      <c r="P279" s="12" t="s">
        <v>77</v>
      </c>
      <c r="Q279" s="13" t="s">
        <v>966</v>
      </c>
      <c r="R279" s="11"/>
    </row>
    <row r="280" customFormat="false" ht="46.25" hidden="false" customHeight="false" outlineLevel="0" collapsed="false">
      <c r="A280" s="11" t="n">
        <v>5</v>
      </c>
      <c r="B280" s="12" t="s">
        <v>39</v>
      </c>
      <c r="C280" s="12" t="s">
        <v>124</v>
      </c>
      <c r="D280" s="12" t="s">
        <v>967</v>
      </c>
      <c r="E280" s="11" t="n">
        <v>1</v>
      </c>
      <c r="F280" s="12" t="s">
        <v>968</v>
      </c>
      <c r="G280" s="11" t="s">
        <v>57</v>
      </c>
      <c r="H280" s="11" t="s">
        <v>956</v>
      </c>
      <c r="I280" s="11" t="n">
        <f aca="false">IF(E280="","",IF(OR(AND(H280="Plan A",$C$5="B"),AND(H280="Plan B",$C$5="A")),0,IF(OR(G280="per student",G280="per group",G280="per class"),E280*IF(B280="Year 7",$C$3,$C$4),E280)))</f>
        <v>1</v>
      </c>
      <c r="J280" s="12"/>
      <c r="K280" s="11"/>
      <c r="L280" s="11" t="str">
        <f aca="false">IF(OR(K280="",O280&lt;&gt;"",I280=""),"",ROUNDUP(I280*K280,0))</f>
        <v/>
      </c>
      <c r="M280" s="12" t="s">
        <v>969</v>
      </c>
      <c r="N280" s="11"/>
      <c r="O280" s="12"/>
      <c r="P280" s="12" t="s">
        <v>77</v>
      </c>
      <c r="Q280" s="13" t="s">
        <v>970</v>
      </c>
      <c r="R280" s="11"/>
    </row>
    <row r="281" customFormat="false" ht="35.05" hidden="false" customHeight="false" outlineLevel="0" collapsed="false">
      <c r="A281" s="11" t="n">
        <v>5</v>
      </c>
      <c r="B281" s="12" t="s">
        <v>39</v>
      </c>
      <c r="C281" s="12" t="s">
        <v>124</v>
      </c>
      <c r="D281" s="12" t="s">
        <v>971</v>
      </c>
      <c r="E281" s="11" t="n">
        <v>6</v>
      </c>
      <c r="F281" s="12" t="s">
        <v>972</v>
      </c>
      <c r="G281" s="11" t="s">
        <v>57</v>
      </c>
      <c r="H281" s="11"/>
      <c r="I281" s="11" t="n">
        <f aca="false">IF(E281="","",IF(OR(AND(H281="Plan A",$C$5="B"),AND(H281="Plan B",$C$5="A")),0,IF(OR(G281="per student",G281="per group",G281="per class"),E281*IF(B281="Year 7",$C$3,$C$4),E281)))</f>
        <v>6</v>
      </c>
      <c r="J281" s="12"/>
      <c r="K281" s="11"/>
      <c r="L281" s="11" t="str">
        <f aca="false">IF(OR(K281="",O281&lt;&gt;"",I281=""),"",ROUNDUP(I281*K281,0))</f>
        <v/>
      </c>
      <c r="M281" s="12" t="s">
        <v>973</v>
      </c>
      <c r="N281" s="11"/>
      <c r="O281" s="12"/>
      <c r="P281" s="12" t="s">
        <v>77</v>
      </c>
      <c r="Q281" s="12"/>
      <c r="R281" s="11"/>
    </row>
    <row r="282" customFormat="false" ht="46.25" hidden="false" customHeight="false" outlineLevel="0" collapsed="false">
      <c r="A282" s="11" t="n">
        <v>5</v>
      </c>
      <c r="B282" s="12" t="s">
        <v>39</v>
      </c>
      <c r="C282" s="12" t="s">
        <v>124</v>
      </c>
      <c r="D282" s="12" t="s">
        <v>974</v>
      </c>
      <c r="E282" s="11" t="n">
        <v>2</v>
      </c>
      <c r="F282" s="12" t="s">
        <v>975</v>
      </c>
      <c r="G282" s="11" t="s">
        <v>57</v>
      </c>
      <c r="H282" s="11" t="s">
        <v>964</v>
      </c>
      <c r="I282" s="11" t="n">
        <f aca="false">IF(E282="","",IF(OR(AND(H282="Plan A",$C$5="B"),AND(H282="Plan B",$C$5="A")),0,IF(OR(G282="per student",G282="per group",G282="per class"),E282*IF(B282="Year 7",$C$3,$C$4),E282)))</f>
        <v>2</v>
      </c>
      <c r="J282" s="12"/>
      <c r="K282" s="11"/>
      <c r="L282" s="11" t="str">
        <f aca="false">IF(OR(K282="",O282&lt;&gt;"",I282=""),"",ROUNDUP(I282*K282,0))</f>
        <v/>
      </c>
      <c r="M282" s="12" t="s">
        <v>976</v>
      </c>
      <c r="N282" s="11"/>
      <c r="O282" s="12"/>
      <c r="P282" s="13" t="s">
        <v>215</v>
      </c>
      <c r="Q282" s="13" t="s">
        <v>977</v>
      </c>
      <c r="R282" s="11"/>
    </row>
    <row r="283" customFormat="false" ht="46.25" hidden="false" customHeight="false" outlineLevel="0" collapsed="false">
      <c r="A283" s="11" t="n">
        <v>5</v>
      </c>
      <c r="B283" s="12" t="s">
        <v>39</v>
      </c>
      <c r="C283" s="12" t="s">
        <v>124</v>
      </c>
      <c r="D283" s="12" t="s">
        <v>978</v>
      </c>
      <c r="E283" s="11" t="n">
        <v>1</v>
      </c>
      <c r="F283" s="12" t="s">
        <v>979</v>
      </c>
      <c r="G283" s="11" t="s">
        <v>57</v>
      </c>
      <c r="H283" s="11"/>
      <c r="I283" s="11" t="n">
        <f aca="false">IF(E283="","",IF(OR(AND(H283="Plan A",$C$5="B"),AND(H283="Plan B",$C$5="A")),0,IF(OR(G283="per student",G283="per group",G283="per class"),E283*IF(B283="Year 7",$C$3,$C$4),E283)))</f>
        <v>1</v>
      </c>
      <c r="J283" s="12"/>
      <c r="K283" s="11"/>
      <c r="L283" s="11" t="str">
        <f aca="false">IF(OR(K283="",O283&lt;&gt;"",I283=""),"",ROUNDUP(I283*K283,0))</f>
        <v/>
      </c>
      <c r="M283" s="12" t="s">
        <v>980</v>
      </c>
      <c r="N283" s="11"/>
      <c r="O283" s="12"/>
      <c r="P283" s="12" t="s">
        <v>77</v>
      </c>
      <c r="Q283" s="12"/>
      <c r="R283" s="11"/>
    </row>
    <row r="284" customFormat="false" ht="35.05" hidden="false" customHeight="false" outlineLevel="0" collapsed="false">
      <c r="A284" s="11" t="n">
        <v>5</v>
      </c>
      <c r="B284" s="12" t="s">
        <v>39</v>
      </c>
      <c r="C284" s="12" t="s">
        <v>124</v>
      </c>
      <c r="D284" s="12" t="s">
        <v>981</v>
      </c>
      <c r="E284" s="11" t="n">
        <v>1</v>
      </c>
      <c r="F284" s="12" t="s">
        <v>982</v>
      </c>
      <c r="G284" s="11" t="s">
        <v>57</v>
      </c>
      <c r="H284" s="11"/>
      <c r="I284" s="11" t="n">
        <f aca="false">IF(E284="","",IF(OR(AND(H284="Plan A",$C$5="B"),AND(H284="Plan B",$C$5="A")),0,IF(OR(G284="per student",G284="per group",G284="per class"),E284*IF(B284="Year 7",$C$3,$C$4),E284)))</f>
        <v>1</v>
      </c>
      <c r="J284" s="12"/>
      <c r="K284" s="11"/>
      <c r="L284" s="11" t="str">
        <f aca="false">IF(OR(K284="",O284&lt;&gt;"",I284=""),"",ROUNDUP(I284*K284,0))</f>
        <v/>
      </c>
      <c r="M284" s="12" t="s">
        <v>983</v>
      </c>
      <c r="N284" s="11"/>
      <c r="O284" s="12"/>
      <c r="P284" s="12" t="s">
        <v>77</v>
      </c>
      <c r="Q284" s="12"/>
      <c r="R284" s="11"/>
    </row>
    <row r="285" customFormat="false" ht="35.05" hidden="false" customHeight="false" outlineLevel="0" collapsed="false">
      <c r="A285" s="11" t="n">
        <v>5</v>
      </c>
      <c r="B285" s="12" t="s">
        <v>39</v>
      </c>
      <c r="C285" s="12" t="s">
        <v>124</v>
      </c>
      <c r="D285" s="12" t="s">
        <v>984</v>
      </c>
      <c r="E285" s="11" t="n">
        <v>1</v>
      </c>
      <c r="F285" s="12" t="s">
        <v>985</v>
      </c>
      <c r="G285" s="11" t="s">
        <v>57</v>
      </c>
      <c r="H285" s="11"/>
      <c r="I285" s="11" t="n">
        <f aca="false">IF(E285="","",IF(OR(AND(H285="Plan A",$C$5="B"),AND(H285="Plan B",$C$5="A")),0,IF(OR(G285="per student",G285="per group",G285="per class"),E285*IF(B285="Year 7",$C$3,$C$4),E285)))</f>
        <v>1</v>
      </c>
      <c r="J285" s="12"/>
      <c r="K285" s="11"/>
      <c r="L285" s="11" t="str">
        <f aca="false">IF(OR(K285="",O285&lt;&gt;"",I285=""),"",ROUNDUP(I285*K285,0))</f>
        <v/>
      </c>
      <c r="M285" s="12" t="s">
        <v>986</v>
      </c>
      <c r="N285" s="11"/>
      <c r="O285" s="12"/>
      <c r="P285" s="12" t="s">
        <v>77</v>
      </c>
      <c r="Q285" s="12"/>
      <c r="R285" s="11"/>
    </row>
    <row r="286" customFormat="false" ht="46.25" hidden="false" customHeight="false" outlineLevel="0" collapsed="false">
      <c r="A286" s="11" t="n">
        <v>5</v>
      </c>
      <c r="B286" s="12" t="s">
        <v>39</v>
      </c>
      <c r="C286" s="12" t="s">
        <v>124</v>
      </c>
      <c r="D286" s="12" t="s">
        <v>987</v>
      </c>
      <c r="E286" s="11" t="n">
        <v>1</v>
      </c>
      <c r="F286" s="12" t="s">
        <v>988</v>
      </c>
      <c r="G286" s="11" t="s">
        <v>57</v>
      </c>
      <c r="H286" s="11"/>
      <c r="I286" s="11" t="n">
        <f aca="false">IF(E286="","",IF(OR(AND(H286="Plan A",$C$5="B"),AND(H286="Plan B",$C$5="A")),0,IF(OR(G286="per student",G286="per group",G286="per class"),E286*IF(B286="Year 7",$C$3,$C$4),E286)))</f>
        <v>1</v>
      </c>
      <c r="J286" s="12"/>
      <c r="K286" s="11"/>
      <c r="L286" s="11" t="str">
        <f aca="false">IF(OR(K286="",O286&lt;&gt;"",I286=""),"",ROUNDUP(I286*K286,0))</f>
        <v/>
      </c>
      <c r="M286" s="12" t="s">
        <v>989</v>
      </c>
      <c r="N286" s="11"/>
      <c r="O286" s="12"/>
      <c r="P286" s="12" t="s">
        <v>77</v>
      </c>
      <c r="Q286" s="12"/>
      <c r="R286" s="11"/>
    </row>
    <row r="287" customFormat="false" ht="46.25" hidden="false" customHeight="false" outlineLevel="0" collapsed="false">
      <c r="A287" s="11" t="n">
        <v>5</v>
      </c>
      <c r="B287" s="12" t="s">
        <v>39</v>
      </c>
      <c r="C287" s="12" t="s">
        <v>294</v>
      </c>
      <c r="D287" s="12" t="s">
        <v>990</v>
      </c>
      <c r="E287" s="11" t="n">
        <v>5</v>
      </c>
      <c r="F287" s="12" t="s">
        <v>991</v>
      </c>
      <c r="G287" s="11" t="s">
        <v>57</v>
      </c>
      <c r="H287" s="11"/>
      <c r="I287" s="11" t="n">
        <f aca="false">IF(E287="","",IF(OR(AND(H287="Plan A",$C$5="B"),AND(H287="Plan B",$C$5="A")),0,IF(OR(G287="per student",G287="per group",G287="per class"),E287*IF(B287="Year 7",$C$3,$C$4),E287)))</f>
        <v>5</v>
      </c>
      <c r="J287" s="12"/>
      <c r="K287" s="11"/>
      <c r="L287" s="11" t="str">
        <f aca="false">IF(OR(K287="",O287&lt;&gt;"",I287=""),"",ROUNDUP(I287*K287,0))</f>
        <v/>
      </c>
      <c r="M287" s="12" t="s">
        <v>992</v>
      </c>
      <c r="N287" s="11"/>
      <c r="O287" s="12"/>
      <c r="P287" s="12" t="s">
        <v>77</v>
      </c>
      <c r="Q287" s="13" t="s">
        <v>993</v>
      </c>
      <c r="R287" s="11"/>
    </row>
    <row r="288" customFormat="false" ht="46.25" hidden="false" customHeight="false" outlineLevel="0" collapsed="false">
      <c r="A288" s="11" t="n">
        <v>5</v>
      </c>
      <c r="B288" s="12" t="s">
        <v>39</v>
      </c>
      <c r="C288" s="12" t="s">
        <v>294</v>
      </c>
      <c r="D288" s="12" t="s">
        <v>994</v>
      </c>
      <c r="E288" s="11"/>
      <c r="F288" s="12" t="s">
        <v>995</v>
      </c>
      <c r="G288" s="11" t="s">
        <v>57</v>
      </c>
      <c r="H288" s="11" t="s">
        <v>956</v>
      </c>
      <c r="I288" s="11" t="str">
        <f aca="false">IF(E288="","",IF(OR(AND(H288="Plan A",$C$5="B"),AND(H288="Plan B",$C$5="A")),0,IF(OR(G288="per student",G288="per group",G288="per class"),E288*IF(B288="Year 7",$C$3,$C$4),E288)))</f>
        <v/>
      </c>
      <c r="J288" s="12"/>
      <c r="K288" s="11"/>
      <c r="L288" s="11" t="str">
        <f aca="false">IF(OR(K288="",O288&lt;&gt;"",I288=""),"",ROUNDUP(I288*K288,0))</f>
        <v/>
      </c>
      <c r="M288" s="12" t="s">
        <v>996</v>
      </c>
      <c r="N288" s="11"/>
      <c r="O288" s="12"/>
      <c r="P288" s="13" t="s">
        <v>91</v>
      </c>
      <c r="Q288" s="13" t="s">
        <v>997</v>
      </c>
      <c r="R288" s="11"/>
    </row>
    <row r="289" customFormat="false" ht="35.05" hidden="false" customHeight="false" outlineLevel="0" collapsed="false">
      <c r="A289" s="11" t="n">
        <v>5</v>
      </c>
      <c r="B289" s="12" t="s">
        <v>39</v>
      </c>
      <c r="C289" s="12" t="s">
        <v>294</v>
      </c>
      <c r="D289" s="12" t="s">
        <v>860</v>
      </c>
      <c r="E289" s="11"/>
      <c r="F289" s="12" t="s">
        <v>998</v>
      </c>
      <c r="G289" s="11" t="s">
        <v>57</v>
      </c>
      <c r="H289" s="11" t="s">
        <v>956</v>
      </c>
      <c r="I289" s="11" t="str">
        <f aca="false">IF(E289="","",IF(OR(AND(H289="Plan A",$C$5="B"),AND(H289="Plan B",$C$5="A")),0,IF(OR(G289="per student",G289="per group",G289="per class"),E289*IF(B289="Year 7",$C$3,$C$4),E289)))</f>
        <v/>
      </c>
      <c r="J289" s="12"/>
      <c r="K289" s="11"/>
      <c r="L289" s="11" t="str">
        <f aca="false">IF(OR(K289="",O289&lt;&gt;"",I289=""),"",ROUNDUP(I289*K289,0))</f>
        <v/>
      </c>
      <c r="M289" s="12" t="s">
        <v>996</v>
      </c>
      <c r="N289" s="11"/>
      <c r="O289" s="12"/>
      <c r="P289" s="13" t="s">
        <v>91</v>
      </c>
      <c r="Q289" s="13" t="s">
        <v>999</v>
      </c>
      <c r="R289" s="11"/>
    </row>
    <row r="290" customFormat="false" ht="46.25" hidden="false" customHeight="false" outlineLevel="0" collapsed="false">
      <c r="A290" s="11" t="n">
        <v>5</v>
      </c>
      <c r="B290" s="12" t="s">
        <v>39</v>
      </c>
      <c r="C290" s="12" t="s">
        <v>144</v>
      </c>
      <c r="D290" s="12" t="s">
        <v>1000</v>
      </c>
      <c r="E290" s="11" t="n">
        <v>1</v>
      </c>
      <c r="F290" s="12" t="s">
        <v>426</v>
      </c>
      <c r="G290" s="11" t="s">
        <v>57</v>
      </c>
      <c r="H290" s="11"/>
      <c r="I290" s="11" t="n">
        <f aca="false">IF(E290="","",IF(OR(AND(H290="Plan A",$C$5="B"),AND(H290="Plan B",$C$5="A")),0,IF(OR(G290="per student",G290="per group",G290="per class"),E290*IF(B290="Year 7",$C$3,$C$4),E290)))</f>
        <v>1</v>
      </c>
      <c r="J290" s="12"/>
      <c r="K290" s="11"/>
      <c r="L290" s="11" t="str">
        <f aca="false">IF(OR(K290="",O290&lt;&gt;"",I290=""),"",ROUNDUP(I290*K290,0))</f>
        <v/>
      </c>
      <c r="M290" s="12" t="s">
        <v>1001</v>
      </c>
      <c r="N290" s="11"/>
      <c r="O290" s="12"/>
      <c r="P290" s="12" t="s">
        <v>77</v>
      </c>
      <c r="Q290" s="13" t="s">
        <v>1002</v>
      </c>
      <c r="R290" s="11"/>
    </row>
    <row r="291" customFormat="false" ht="35.05" hidden="false" customHeight="false" outlineLevel="0" collapsed="false">
      <c r="A291" s="11" t="n">
        <v>5</v>
      </c>
      <c r="B291" s="12" t="s">
        <v>39</v>
      </c>
      <c r="C291" s="12" t="s">
        <v>144</v>
      </c>
      <c r="D291" s="12" t="s">
        <v>1003</v>
      </c>
      <c r="E291" s="11" t="n">
        <v>5</v>
      </c>
      <c r="F291" s="12" t="s">
        <v>1004</v>
      </c>
      <c r="G291" s="11" t="s">
        <v>57</v>
      </c>
      <c r="H291" s="11"/>
      <c r="I291" s="11" t="n">
        <f aca="false">IF(E291="","",IF(OR(AND(H291="Plan A",$C$5="B"),AND(H291="Plan B",$C$5="A")),0,IF(OR(G291="per student",G291="per group",G291="per class"),E291*IF(B291="Year 7",$C$3,$C$4),E291)))</f>
        <v>5</v>
      </c>
      <c r="J291" s="12"/>
      <c r="K291" s="11"/>
      <c r="L291" s="11" t="str">
        <f aca="false">IF(OR(K291="",O291&lt;&gt;"",I291=""),"",ROUNDUP(I291*K291,0))</f>
        <v/>
      </c>
      <c r="M291" s="12" t="s">
        <v>1005</v>
      </c>
      <c r="N291" s="11"/>
      <c r="O291" s="12"/>
      <c r="P291" s="12" t="s">
        <v>77</v>
      </c>
      <c r="Q291" s="12"/>
      <c r="R291" s="11"/>
    </row>
    <row r="292" customFormat="false" ht="57.45" hidden="false" customHeight="false" outlineLevel="0" collapsed="false">
      <c r="A292" s="11" t="n">
        <v>5</v>
      </c>
      <c r="B292" s="12" t="s">
        <v>39</v>
      </c>
      <c r="C292" s="12" t="s">
        <v>144</v>
      </c>
      <c r="D292" s="12" t="s">
        <v>1006</v>
      </c>
      <c r="E292" s="11" t="n">
        <v>5</v>
      </c>
      <c r="F292" s="12" t="s">
        <v>1007</v>
      </c>
      <c r="G292" s="11" t="s">
        <v>57</v>
      </c>
      <c r="H292" s="11"/>
      <c r="I292" s="11" t="n">
        <f aca="false">IF(E292="","",IF(OR(AND(H292="Plan A",$C$5="B"),AND(H292="Plan B",$C$5="A")),0,IF(OR(G292="per student",G292="per group",G292="per class"),E292*IF(B292="Year 7",$C$3,$C$4),E292)))</f>
        <v>5</v>
      </c>
      <c r="J292" s="12"/>
      <c r="K292" s="11"/>
      <c r="L292" s="11" t="str">
        <f aca="false">IF(OR(K292="",O292&lt;&gt;"",I292=""),"",ROUNDUP(I292*K292,0))</f>
        <v/>
      </c>
      <c r="M292" s="12" t="s">
        <v>1008</v>
      </c>
      <c r="N292" s="11"/>
      <c r="O292" s="12"/>
      <c r="P292" s="12" t="s">
        <v>77</v>
      </c>
      <c r="Q292" s="13" t="s">
        <v>1009</v>
      </c>
      <c r="R292" s="11"/>
    </row>
    <row r="293" customFormat="false" ht="35.05" hidden="false" customHeight="false" outlineLevel="0" collapsed="false">
      <c r="A293" s="11" t="n">
        <v>5</v>
      </c>
      <c r="B293" s="12" t="s">
        <v>39</v>
      </c>
      <c r="C293" s="12" t="s">
        <v>144</v>
      </c>
      <c r="D293" s="12" t="s">
        <v>1010</v>
      </c>
      <c r="E293" s="11" t="n">
        <v>5</v>
      </c>
      <c r="F293" s="12" t="s">
        <v>1011</v>
      </c>
      <c r="G293" s="11" t="s">
        <v>57</v>
      </c>
      <c r="H293" s="11" t="s">
        <v>956</v>
      </c>
      <c r="I293" s="11" t="n">
        <f aca="false">IF(E293="","",IF(OR(AND(H293="Plan A",$C$5="B"),AND(H293="Plan B",$C$5="A")),0,IF(OR(G293="per student",G293="per group",G293="per class"),E293*IF(B293="Year 7",$C$3,$C$4),E293)))</f>
        <v>5</v>
      </c>
      <c r="J293" s="12"/>
      <c r="K293" s="11"/>
      <c r="L293" s="11" t="str">
        <f aca="false">IF(OR(K293="",O293&lt;&gt;"",I293=""),"",ROUNDUP(I293*K293,0))</f>
        <v/>
      </c>
      <c r="M293" s="12" t="s">
        <v>1012</v>
      </c>
      <c r="N293" s="11"/>
      <c r="O293" s="12"/>
      <c r="P293" s="12" t="s">
        <v>77</v>
      </c>
      <c r="Q293" s="12"/>
      <c r="R293" s="11"/>
    </row>
    <row r="294" customFormat="false" ht="46.25" hidden="false" customHeight="false" outlineLevel="0" collapsed="false">
      <c r="A294" s="11" t="n">
        <v>5</v>
      </c>
      <c r="B294" s="12" t="s">
        <v>39</v>
      </c>
      <c r="C294" s="12" t="s">
        <v>144</v>
      </c>
      <c r="D294" s="12" t="s">
        <v>1013</v>
      </c>
      <c r="E294" s="11" t="n">
        <v>1</v>
      </c>
      <c r="F294" s="12" t="s">
        <v>1014</v>
      </c>
      <c r="G294" s="11" t="s">
        <v>57</v>
      </c>
      <c r="H294" s="11"/>
      <c r="I294" s="11" t="n">
        <f aca="false">IF(E294="","",IF(OR(AND(H294="Plan A",$C$5="B"),AND(H294="Plan B",$C$5="A")),0,IF(OR(G294="per student",G294="per group",G294="per class"),E294*IF(B294="Year 7",$C$3,$C$4),E294)))</f>
        <v>1</v>
      </c>
      <c r="J294" s="12"/>
      <c r="K294" s="11"/>
      <c r="L294" s="11" t="str">
        <f aca="false">IF(OR(K294="",O294&lt;&gt;"",I294=""),"",ROUNDUP(I294*K294,0))</f>
        <v/>
      </c>
      <c r="M294" s="12" t="s">
        <v>1015</v>
      </c>
      <c r="N294" s="11"/>
      <c r="O294" s="12"/>
      <c r="P294" s="12" t="s">
        <v>77</v>
      </c>
      <c r="Q294" s="13" t="s">
        <v>1016</v>
      </c>
      <c r="R294" s="11"/>
    </row>
    <row r="295" customFormat="false" ht="35.05" hidden="false" customHeight="false" outlineLevel="0" collapsed="false">
      <c r="A295" s="11" t="n">
        <v>5</v>
      </c>
      <c r="B295" s="12" t="s">
        <v>39</v>
      </c>
      <c r="C295" s="12" t="s">
        <v>144</v>
      </c>
      <c r="D295" s="12" t="s">
        <v>1017</v>
      </c>
      <c r="E295" s="11" t="n">
        <v>1</v>
      </c>
      <c r="F295" s="12" t="s">
        <v>985</v>
      </c>
      <c r="G295" s="11" t="s">
        <v>57</v>
      </c>
      <c r="H295" s="11"/>
      <c r="I295" s="11" t="n">
        <f aca="false">IF(E295="","",IF(OR(AND(H295="Plan A",$C$5="B"),AND(H295="Plan B",$C$5="A")),0,IF(OR(G295="per student",G295="per group",G295="per class"),E295*IF(B295="Year 7",$C$3,$C$4),E295)))</f>
        <v>1</v>
      </c>
      <c r="J295" s="12"/>
      <c r="K295" s="11"/>
      <c r="L295" s="11" t="str">
        <f aca="false">IF(OR(K295="",O295&lt;&gt;"",I295=""),"",ROUNDUP(I295*K295,0))</f>
        <v/>
      </c>
      <c r="M295" s="12" t="s">
        <v>1018</v>
      </c>
      <c r="N295" s="11"/>
      <c r="O295" s="12"/>
      <c r="P295" s="12" t="s">
        <v>77</v>
      </c>
      <c r="Q295" s="12"/>
      <c r="R295" s="11"/>
    </row>
    <row r="296" customFormat="false" ht="79.85" hidden="false" customHeight="false" outlineLevel="0" collapsed="false">
      <c r="A296" s="11" t="n">
        <v>5</v>
      </c>
      <c r="B296" s="12" t="s">
        <v>153</v>
      </c>
      <c r="C296" s="12" t="s">
        <v>40</v>
      </c>
      <c r="D296" s="12" t="s">
        <v>1019</v>
      </c>
      <c r="E296" s="11" t="n">
        <v>24</v>
      </c>
      <c r="F296" s="12" t="s">
        <v>1020</v>
      </c>
      <c r="G296" s="11" t="s">
        <v>43</v>
      </c>
      <c r="H296" s="11"/>
      <c r="I296" s="11" t="n">
        <f aca="false">IF(E296="","",IF(OR(AND(H296="Plan A",$C$5="B"),AND(H296="Plan B",$C$5="A")),0,IF(OR(G296="per student",G296="per group",G296="per class"),E296*IF(B296="Year 7",$C$3,$C$4),E296)))</f>
        <v>24</v>
      </c>
      <c r="J296" s="12" t="s">
        <v>13</v>
      </c>
      <c r="K296" s="11" t="n">
        <v>2</v>
      </c>
      <c r="L296" s="11" t="n">
        <f aca="false">IF(OR(K296="",O296&lt;&gt;"",I296=""),"",ROUNDUP(I296*K296,0))</f>
        <v>48</v>
      </c>
      <c r="M296" s="12" t="s">
        <v>1021</v>
      </c>
      <c r="N296" s="11"/>
      <c r="O296" s="12"/>
      <c r="P296" s="12" t="s">
        <v>45</v>
      </c>
      <c r="Q296" s="13" t="s">
        <v>1022</v>
      </c>
      <c r="R296" s="11"/>
    </row>
    <row r="297" customFormat="false" ht="79.85" hidden="false" customHeight="false" outlineLevel="0" collapsed="false">
      <c r="A297" s="11" t="n">
        <v>5</v>
      </c>
      <c r="B297" s="12" t="s">
        <v>153</v>
      </c>
      <c r="C297" s="12" t="s">
        <v>40</v>
      </c>
      <c r="D297" s="12" t="s">
        <v>1023</v>
      </c>
      <c r="E297" s="11" t="n">
        <v>25</v>
      </c>
      <c r="F297" s="12" t="s">
        <v>1024</v>
      </c>
      <c r="G297" s="11" t="s">
        <v>43</v>
      </c>
      <c r="H297" s="11"/>
      <c r="I297" s="11" t="n">
        <f aca="false">IF(E297="","",IF(OR(AND(H297="Plan A",$C$5="B"),AND(H297="Plan B",$C$5="A")),0,IF(OR(G297="per student",G297="per group",G297="per class"),E297*IF(B297="Year 7",$C$3,$C$4),E297)))</f>
        <v>25</v>
      </c>
      <c r="J297" s="12" t="s">
        <v>13</v>
      </c>
      <c r="K297" s="11" t="n">
        <v>1</v>
      </c>
      <c r="L297" s="11" t="n">
        <f aca="false">IF(OR(K297="",O297&lt;&gt;"",I297=""),"",ROUNDUP(I297*K297,0))</f>
        <v>25</v>
      </c>
      <c r="M297" s="12" t="s">
        <v>1025</v>
      </c>
      <c r="N297" s="11"/>
      <c r="O297" s="12"/>
      <c r="P297" s="12" t="s">
        <v>45</v>
      </c>
      <c r="Q297" s="13" t="s">
        <v>1026</v>
      </c>
      <c r="R297" s="11"/>
    </row>
    <row r="298" customFormat="false" ht="35.05" hidden="false" customHeight="false" outlineLevel="0" collapsed="false">
      <c r="A298" s="11" t="n">
        <v>5</v>
      </c>
      <c r="B298" s="12" t="s">
        <v>153</v>
      </c>
      <c r="C298" s="12" t="s">
        <v>40</v>
      </c>
      <c r="D298" s="12" t="s">
        <v>894</v>
      </c>
      <c r="E298" s="11" t="n">
        <v>1</v>
      </c>
      <c r="F298" s="12" t="s">
        <v>895</v>
      </c>
      <c r="G298" s="11" t="s">
        <v>57</v>
      </c>
      <c r="H298" s="11"/>
      <c r="I298" s="11" t="n">
        <f aca="false">IF(E298="","",IF(OR(AND(H298="Plan A",$C$5="B"),AND(H298="Plan B",$C$5="A")),0,IF(OR(G298="per student",G298="per group",G298="per class"),E298*IF(B298="Year 7",$C$3,$C$4),E298)))</f>
        <v>1</v>
      </c>
      <c r="J298" s="12" t="s">
        <v>13</v>
      </c>
      <c r="K298" s="11" t="n">
        <v>1</v>
      </c>
      <c r="L298" s="11" t="n">
        <f aca="false">IF(OR(K298="",O298&lt;&gt;"",I298=""),"",ROUNDUP(I298*K298,0))</f>
        <v>1</v>
      </c>
      <c r="M298" s="12" t="s">
        <v>1027</v>
      </c>
      <c r="N298" s="11"/>
      <c r="O298" s="12"/>
      <c r="P298" s="12" t="s">
        <v>45</v>
      </c>
      <c r="Q298" s="13" t="s">
        <v>1028</v>
      </c>
      <c r="R298" s="11"/>
    </row>
    <row r="299" customFormat="false" ht="46.25" hidden="false" customHeight="false" outlineLevel="0" collapsed="false">
      <c r="A299" s="11" t="n">
        <v>5</v>
      </c>
      <c r="B299" s="12" t="s">
        <v>153</v>
      </c>
      <c r="C299" s="12" t="s">
        <v>40</v>
      </c>
      <c r="D299" s="12" t="s">
        <v>1029</v>
      </c>
      <c r="E299" s="11" t="n">
        <v>1</v>
      </c>
      <c r="F299" s="12" t="s">
        <v>1030</v>
      </c>
      <c r="G299" s="11" t="s">
        <v>57</v>
      </c>
      <c r="H299" s="11"/>
      <c r="I299" s="11" t="n">
        <f aca="false">IF(E299="","",IF(OR(AND(H299="Plan A",$C$5="B"),AND(H299="Plan B",$C$5="A")),0,IF(OR(G299="per student",G299="per group",G299="per class"),E299*IF(B299="Year 7",$C$3,$C$4),E299)))</f>
        <v>1</v>
      </c>
      <c r="J299" s="12" t="s">
        <v>20</v>
      </c>
      <c r="K299" s="11" t="n">
        <v>1</v>
      </c>
      <c r="L299" s="11" t="n">
        <f aca="false">IF(OR(K299="",O299&lt;&gt;"",I299=""),"",ROUNDUP(I299*K299,0))</f>
        <v>1</v>
      </c>
      <c r="M299" s="12" t="s">
        <v>1031</v>
      </c>
      <c r="N299" s="11"/>
      <c r="O299" s="12"/>
      <c r="P299" s="12" t="s">
        <v>45</v>
      </c>
      <c r="Q299" s="13" t="s">
        <v>1032</v>
      </c>
      <c r="R299" s="11"/>
    </row>
    <row r="300" customFormat="false" ht="46.25" hidden="false" customHeight="false" outlineLevel="0" collapsed="false">
      <c r="A300" s="11" t="n">
        <v>5</v>
      </c>
      <c r="B300" s="12" t="s">
        <v>153</v>
      </c>
      <c r="C300" s="12" t="s">
        <v>40</v>
      </c>
      <c r="D300" s="12" t="s">
        <v>1033</v>
      </c>
      <c r="E300" s="11" t="n">
        <v>6</v>
      </c>
      <c r="F300" s="12" t="s">
        <v>1034</v>
      </c>
      <c r="G300" s="11" t="s">
        <v>66</v>
      </c>
      <c r="H300" s="11"/>
      <c r="I300" s="11" t="n">
        <f aca="false">IF(E300="","",IF(OR(AND(H300="Plan A",$C$5="B"),AND(H300="Plan B",$C$5="A")),0,IF(OR(G300="per student",G300="per group",G300="per class"),E300*IF(B300="Year 7",$C$3,$C$4),E300)))</f>
        <v>6</v>
      </c>
      <c r="J300" s="12" t="s">
        <v>20</v>
      </c>
      <c r="K300" s="11" t="n">
        <v>1</v>
      </c>
      <c r="L300" s="11" t="n">
        <f aca="false">IF(OR(K300="",O300&lt;&gt;"",I300=""),"",ROUNDUP(I300*K300,0))</f>
        <v>6</v>
      </c>
      <c r="M300" s="12" t="s">
        <v>1035</v>
      </c>
      <c r="N300" s="11"/>
      <c r="O300" s="12"/>
      <c r="P300" s="12" t="s">
        <v>77</v>
      </c>
      <c r="Q300" s="13" t="s">
        <v>1036</v>
      </c>
      <c r="R300" s="11"/>
    </row>
    <row r="301" customFormat="false" ht="35.05" hidden="false" customHeight="false" outlineLevel="0" collapsed="false">
      <c r="A301" s="11" t="n">
        <v>5</v>
      </c>
      <c r="B301" s="12" t="s">
        <v>153</v>
      </c>
      <c r="C301" s="12" t="s">
        <v>40</v>
      </c>
      <c r="D301" s="12" t="s">
        <v>1037</v>
      </c>
      <c r="E301" s="11" t="n">
        <v>1</v>
      </c>
      <c r="F301" s="12" t="s">
        <v>1038</v>
      </c>
      <c r="G301" s="11" t="s">
        <v>75</v>
      </c>
      <c r="H301" s="11"/>
      <c r="I301" s="11" t="n">
        <f aca="false">IF(E301="","",IF(OR(AND(H301="Plan A",$C$5="B"),AND(H301="Plan B",$C$5="A")),0,IF(OR(G301="per student",G301="per group",G301="per class"),E301*IF(B301="Year 7",$C$3,$C$4),E301)))</f>
        <v>1</v>
      </c>
      <c r="J301" s="12" t="s">
        <v>18</v>
      </c>
      <c r="K301" s="11" t="n">
        <v>1</v>
      </c>
      <c r="L301" s="11" t="n">
        <f aca="false">IF(OR(K301="",O301&lt;&gt;"",I301=""),"",ROUNDUP(I301*K301,0))</f>
        <v>1</v>
      </c>
      <c r="M301" s="12" t="s">
        <v>1039</v>
      </c>
      <c r="N301" s="11"/>
      <c r="O301" s="12"/>
      <c r="P301" s="12" t="s">
        <v>77</v>
      </c>
      <c r="Q301" s="13" t="s">
        <v>1040</v>
      </c>
      <c r="R301" s="11"/>
    </row>
    <row r="302" customFormat="false" ht="35.05" hidden="false" customHeight="false" outlineLevel="0" collapsed="false">
      <c r="A302" s="11" t="n">
        <v>5</v>
      </c>
      <c r="B302" s="12" t="s">
        <v>153</v>
      </c>
      <c r="C302" s="12" t="s">
        <v>40</v>
      </c>
      <c r="D302" s="12" t="s">
        <v>1041</v>
      </c>
      <c r="E302" s="11" t="n">
        <v>1</v>
      </c>
      <c r="F302" s="12" t="s">
        <v>1042</v>
      </c>
      <c r="G302" s="11" t="s">
        <v>75</v>
      </c>
      <c r="H302" s="11"/>
      <c r="I302" s="11" t="n">
        <f aca="false">IF(E302="","",IF(OR(AND(H302="Plan A",$C$5="B"),AND(H302="Plan B",$C$5="A")),0,IF(OR(G302="per student",G302="per group",G302="per class"),E302*IF(B302="Year 7",$C$3,$C$4),E302)))</f>
        <v>1</v>
      </c>
      <c r="J302" s="12" t="s">
        <v>13</v>
      </c>
      <c r="K302" s="11" t="n">
        <v>1</v>
      </c>
      <c r="L302" s="11" t="n">
        <f aca="false">IF(OR(K302="",O302&lt;&gt;"",I302=""),"",ROUNDUP(I302*K302,0))</f>
        <v>1</v>
      </c>
      <c r="M302" s="12" t="s">
        <v>1043</v>
      </c>
      <c r="N302" s="11"/>
      <c r="O302" s="12"/>
      <c r="P302" s="12" t="s">
        <v>45</v>
      </c>
      <c r="Q302" s="13" t="s">
        <v>1044</v>
      </c>
      <c r="R302" s="11"/>
    </row>
    <row r="303" customFormat="false" ht="35.05" hidden="false" customHeight="false" outlineLevel="0" collapsed="false">
      <c r="A303" s="11" t="n">
        <v>5</v>
      </c>
      <c r="B303" s="12" t="s">
        <v>153</v>
      </c>
      <c r="C303" s="12" t="s">
        <v>40</v>
      </c>
      <c r="D303" s="12" t="s">
        <v>1045</v>
      </c>
      <c r="E303" s="11" t="n">
        <v>1</v>
      </c>
      <c r="F303" s="12" t="s">
        <v>895</v>
      </c>
      <c r="G303" s="11" t="s">
        <v>127</v>
      </c>
      <c r="H303" s="11"/>
      <c r="I303" s="11" t="n">
        <f aca="false">IF(E303="","",IF(OR(AND(H303="Plan A",$C$5="B"),AND(H303="Plan B",$C$5="A")),0,IF(OR(G303="per student",G303="per group",G303="per class"),E303*IF(B303="Year 7",$C$3,$C$4),E303)))</f>
        <v>1</v>
      </c>
      <c r="J303" s="12" t="s">
        <v>13</v>
      </c>
      <c r="K303" s="11" t="n">
        <v>1</v>
      </c>
      <c r="L303" s="11" t="n">
        <f aca="false">IF(OR(K303="",O303&lt;&gt;"",I303=""),"",ROUNDUP(I303*K303,0))</f>
        <v>1</v>
      </c>
      <c r="M303" s="12" t="s">
        <v>1046</v>
      </c>
      <c r="N303" s="11"/>
      <c r="O303" s="12"/>
      <c r="P303" s="12" t="s">
        <v>45</v>
      </c>
      <c r="Q303" s="13" t="s">
        <v>1047</v>
      </c>
      <c r="R303" s="11"/>
    </row>
    <row r="304" customFormat="false" ht="35.05" hidden="false" customHeight="false" outlineLevel="0" collapsed="false">
      <c r="A304" s="11" t="n">
        <v>5</v>
      </c>
      <c r="B304" s="12" t="s">
        <v>153</v>
      </c>
      <c r="C304" s="12" t="s">
        <v>40</v>
      </c>
      <c r="D304" s="12" t="s">
        <v>1048</v>
      </c>
      <c r="E304" s="11" t="n">
        <v>1</v>
      </c>
      <c r="F304" s="12" t="s">
        <v>895</v>
      </c>
      <c r="G304" s="11" t="s">
        <v>127</v>
      </c>
      <c r="H304" s="11"/>
      <c r="I304" s="11" t="n">
        <f aca="false">IF(E304="","",IF(OR(AND(H304="Plan A",$C$5="B"),AND(H304="Plan B",$C$5="A")),0,IF(OR(G304="per student",G304="per group",G304="per class"),E304*IF(B304="Year 7",$C$3,$C$4),E304)))</f>
        <v>1</v>
      </c>
      <c r="J304" s="12" t="s">
        <v>13</v>
      </c>
      <c r="K304" s="11" t="n">
        <v>1</v>
      </c>
      <c r="L304" s="11" t="n">
        <f aca="false">IF(OR(K304="",O304&lt;&gt;"",I304=""),"",ROUNDUP(I304*K304,0))</f>
        <v>1</v>
      </c>
      <c r="M304" s="12" t="s">
        <v>1049</v>
      </c>
      <c r="N304" s="11"/>
      <c r="O304" s="12"/>
      <c r="P304" s="12" t="s">
        <v>45</v>
      </c>
      <c r="Q304" s="13" t="s">
        <v>1050</v>
      </c>
      <c r="R304" s="11"/>
    </row>
    <row r="305" customFormat="false" ht="23.85" hidden="false" customHeight="false" outlineLevel="0" collapsed="false">
      <c r="A305" s="11" t="n">
        <v>5</v>
      </c>
      <c r="B305" s="12" t="s">
        <v>153</v>
      </c>
      <c r="C305" s="12" t="s">
        <v>97</v>
      </c>
      <c r="D305" s="12" t="s">
        <v>243</v>
      </c>
      <c r="E305" s="11" t="n">
        <v>6</v>
      </c>
      <c r="F305" s="12" t="s">
        <v>241</v>
      </c>
      <c r="G305" s="11" t="s">
        <v>66</v>
      </c>
      <c r="H305" s="11"/>
      <c r="I305" s="11" t="n">
        <f aca="false">IF(E305="","",IF(OR(AND(H305="Plan A",$C$5="B"),AND(H305="Plan B",$C$5="A")),0,IF(OR(G305="per student",G305="per group",G305="per class"),E305*IF(B305="Year 7",$C$3,$C$4),E305)))</f>
        <v>6</v>
      </c>
      <c r="J305" s="12"/>
      <c r="K305" s="11"/>
      <c r="L305" s="11" t="str">
        <f aca="false">IF(OR(K305="",O305&lt;&gt;"",I305=""),"",ROUNDUP(I305*K305,0))</f>
        <v/>
      </c>
      <c r="M305" s="12" t="s">
        <v>1051</v>
      </c>
      <c r="N305" s="11"/>
      <c r="O305" s="12"/>
      <c r="P305" s="12" t="s">
        <v>77</v>
      </c>
      <c r="Q305" s="12"/>
      <c r="R305" s="11"/>
    </row>
    <row r="306" customFormat="false" ht="23.85" hidden="false" customHeight="false" outlineLevel="0" collapsed="false">
      <c r="A306" s="11" t="n">
        <v>5</v>
      </c>
      <c r="B306" s="12" t="s">
        <v>153</v>
      </c>
      <c r="C306" s="12" t="s">
        <v>97</v>
      </c>
      <c r="D306" s="12" t="s">
        <v>1052</v>
      </c>
      <c r="E306" s="11" t="n">
        <v>6</v>
      </c>
      <c r="F306" s="12" t="s">
        <v>397</v>
      </c>
      <c r="G306" s="11" t="s">
        <v>66</v>
      </c>
      <c r="H306" s="11"/>
      <c r="I306" s="11" t="n">
        <f aca="false">IF(E306="","",IF(OR(AND(H306="Plan A",$C$5="B"),AND(H306="Plan B",$C$5="A")),0,IF(OR(G306="per student",G306="per group",G306="per class"),E306*IF(B306="Year 7",$C$3,$C$4),E306)))</f>
        <v>6</v>
      </c>
      <c r="J306" s="12"/>
      <c r="K306" s="11"/>
      <c r="L306" s="11" t="str">
        <f aca="false">IF(OR(K306="",O306&lt;&gt;"",I306=""),"",ROUNDUP(I306*K306,0))</f>
        <v/>
      </c>
      <c r="M306" s="12" t="s">
        <v>1053</v>
      </c>
      <c r="N306" s="11"/>
      <c r="O306" s="12"/>
      <c r="P306" s="12" t="s">
        <v>77</v>
      </c>
      <c r="Q306" s="12"/>
      <c r="R306" s="11"/>
    </row>
    <row r="307" customFormat="false" ht="35.05" hidden="false" customHeight="false" outlineLevel="0" collapsed="false">
      <c r="A307" s="11" t="n">
        <v>5</v>
      </c>
      <c r="B307" s="12" t="s">
        <v>153</v>
      </c>
      <c r="C307" s="12" t="s">
        <v>97</v>
      </c>
      <c r="D307" s="12" t="s">
        <v>1054</v>
      </c>
      <c r="E307" s="11" t="n">
        <v>24</v>
      </c>
      <c r="F307" s="12" t="s">
        <v>1055</v>
      </c>
      <c r="G307" s="11" t="s">
        <v>43</v>
      </c>
      <c r="H307" s="11"/>
      <c r="I307" s="11" t="n">
        <f aca="false">IF(E307="","",IF(OR(AND(H307="Plan A",$C$5="B"),AND(H307="Plan B",$C$5="A")),0,IF(OR(G307="per student",G307="per group",G307="per class"),E307*IF(B307="Year 7",$C$3,$C$4),E307)))</f>
        <v>24</v>
      </c>
      <c r="J307" s="12"/>
      <c r="K307" s="11"/>
      <c r="L307" s="11" t="str">
        <f aca="false">IF(OR(K307="",O307&lt;&gt;"",I307=""),"",ROUNDUP(I307*K307,0))</f>
        <v/>
      </c>
      <c r="M307" s="12" t="s">
        <v>1056</v>
      </c>
      <c r="N307" s="11"/>
      <c r="O307" s="12"/>
      <c r="P307" s="12" t="s">
        <v>77</v>
      </c>
      <c r="Q307" s="13" t="s">
        <v>1057</v>
      </c>
      <c r="R307" s="11"/>
    </row>
    <row r="308" customFormat="false" ht="46.25" hidden="false" customHeight="false" outlineLevel="0" collapsed="false">
      <c r="A308" s="11" t="n">
        <v>5</v>
      </c>
      <c r="B308" s="12" t="s">
        <v>153</v>
      </c>
      <c r="C308" s="12" t="s">
        <v>97</v>
      </c>
      <c r="D308" s="12" t="s">
        <v>780</v>
      </c>
      <c r="E308" s="11" t="n">
        <v>73</v>
      </c>
      <c r="F308" s="12" t="s">
        <v>781</v>
      </c>
      <c r="G308" s="11" t="s">
        <v>127</v>
      </c>
      <c r="H308" s="11"/>
      <c r="I308" s="11" t="n">
        <f aca="false">IF(E308="","",IF(OR(AND(H308="Plan A",$C$5="B"),AND(H308="Plan B",$C$5="A")),0,IF(OR(G308="per student",G308="per group",G308="per class"),E308*IF(B308="Year 7",$C$3,$C$4),E308)))</f>
        <v>73</v>
      </c>
      <c r="J308" s="12"/>
      <c r="K308" s="11"/>
      <c r="L308" s="11" t="str">
        <f aca="false">IF(OR(K308="",O308&lt;&gt;"",I308=""),"",ROUNDUP(I308*K308,0))</f>
        <v/>
      </c>
      <c r="M308" s="12" t="s">
        <v>1058</v>
      </c>
      <c r="N308" s="11"/>
      <c r="O308" s="12"/>
      <c r="P308" s="12" t="s">
        <v>77</v>
      </c>
      <c r="Q308" s="13" t="s">
        <v>1059</v>
      </c>
      <c r="R308" s="11"/>
    </row>
    <row r="309" customFormat="false" ht="35.05" hidden="false" customHeight="false" outlineLevel="0" collapsed="false">
      <c r="A309" s="11" t="n">
        <v>5</v>
      </c>
      <c r="B309" s="12" t="s">
        <v>153</v>
      </c>
      <c r="C309" s="12" t="s">
        <v>97</v>
      </c>
      <c r="D309" s="12" t="s">
        <v>1060</v>
      </c>
      <c r="E309" s="11" t="n">
        <v>24</v>
      </c>
      <c r="F309" s="12" t="s">
        <v>314</v>
      </c>
      <c r="G309" s="11" t="s">
        <v>43</v>
      </c>
      <c r="H309" s="11"/>
      <c r="I309" s="11" t="n">
        <f aca="false">IF(E309="","",IF(OR(AND(H309="Plan A",$C$5="B"),AND(H309="Plan B",$C$5="A")),0,IF(OR(G309="per student",G309="per group",G309="per class"),E309*IF(B309="Year 7",$C$3,$C$4),E309)))</f>
        <v>24</v>
      </c>
      <c r="J309" s="12"/>
      <c r="K309" s="11"/>
      <c r="L309" s="11" t="str">
        <f aca="false">IF(OR(K309="",O309&lt;&gt;"",I309=""),"",ROUNDUP(I309*K309,0))</f>
        <v/>
      </c>
      <c r="M309" s="12" t="s">
        <v>1061</v>
      </c>
      <c r="N309" s="11"/>
      <c r="O309" s="12" t="s">
        <v>791</v>
      </c>
      <c r="P309" s="12" t="s">
        <v>376</v>
      </c>
      <c r="Q309" s="13" t="s">
        <v>1062</v>
      </c>
      <c r="R309" s="11"/>
    </row>
    <row r="310" customFormat="false" ht="23.85" hidden="false" customHeight="false" outlineLevel="0" collapsed="false">
      <c r="A310" s="11" t="n">
        <v>5</v>
      </c>
      <c r="B310" s="12" t="s">
        <v>153</v>
      </c>
      <c r="C310" s="12" t="s">
        <v>97</v>
      </c>
      <c r="D310" s="12" t="s">
        <v>367</v>
      </c>
      <c r="E310" s="11" t="n">
        <v>24</v>
      </c>
      <c r="F310" s="12" t="s">
        <v>368</v>
      </c>
      <c r="G310" s="11" t="s">
        <v>43</v>
      </c>
      <c r="H310" s="11"/>
      <c r="I310" s="11" t="n">
        <f aca="false">IF(E310="","",IF(OR(AND(H310="Plan A",$C$5="B"),AND(H310="Plan B",$C$5="A")),0,IF(OR(G310="per student",G310="per group",G310="per class"),E310*IF(B310="Year 7",$C$3,$C$4),E310)))</f>
        <v>24</v>
      </c>
      <c r="J310" s="12"/>
      <c r="K310" s="11"/>
      <c r="L310" s="11" t="str">
        <f aca="false">IF(OR(K310="",O310&lt;&gt;"",I310=""),"",ROUNDUP(I310*K310,0))</f>
        <v/>
      </c>
      <c r="M310" s="12" t="s">
        <v>1063</v>
      </c>
      <c r="N310" s="11"/>
      <c r="O310" s="12" t="s">
        <v>370</v>
      </c>
      <c r="P310" s="12" t="s">
        <v>376</v>
      </c>
      <c r="Q310" s="13" t="s">
        <v>1064</v>
      </c>
      <c r="R310" s="11"/>
    </row>
    <row r="311" customFormat="false" ht="23.85" hidden="false" customHeight="false" outlineLevel="0" collapsed="false">
      <c r="A311" s="11" t="n">
        <v>5</v>
      </c>
      <c r="B311" s="12" t="s">
        <v>153</v>
      </c>
      <c r="C311" s="12" t="s">
        <v>97</v>
      </c>
      <c r="D311" s="12" t="s">
        <v>485</v>
      </c>
      <c r="E311" s="11" t="n">
        <v>28</v>
      </c>
      <c r="F311" s="12" t="s">
        <v>1065</v>
      </c>
      <c r="G311" s="11" t="s">
        <v>43</v>
      </c>
      <c r="H311" s="11"/>
      <c r="I311" s="11" t="n">
        <f aca="false">IF(E311="","",IF(OR(AND(H311="Plan A",$C$5="B"),AND(H311="Plan B",$C$5="A")),0,IF(OR(G311="per student",G311="per group",G311="per class"),E311*IF(B311="Year 7",$C$3,$C$4),E311)))</f>
        <v>28</v>
      </c>
      <c r="J311" s="12"/>
      <c r="K311" s="11"/>
      <c r="L311" s="11" t="str">
        <f aca="false">IF(OR(K311="",O311&lt;&gt;"",I311=""),"",ROUNDUP(I311*K311,0))</f>
        <v/>
      </c>
      <c r="M311" s="12" t="s">
        <v>1066</v>
      </c>
      <c r="N311" s="11"/>
      <c r="O311" s="12" t="s">
        <v>733</v>
      </c>
      <c r="P311" s="12" t="s">
        <v>376</v>
      </c>
      <c r="Q311" s="13" t="s">
        <v>1067</v>
      </c>
      <c r="R311" s="11"/>
    </row>
    <row r="312" customFormat="false" ht="35.05" hidden="false" customHeight="false" outlineLevel="0" collapsed="false">
      <c r="A312" s="11" t="n">
        <v>5</v>
      </c>
      <c r="B312" s="12" t="s">
        <v>153</v>
      </c>
      <c r="C312" s="12" t="s">
        <v>97</v>
      </c>
      <c r="D312" s="12" t="s">
        <v>1068</v>
      </c>
      <c r="E312" s="11" t="n">
        <v>6</v>
      </c>
      <c r="F312" s="12" t="s">
        <v>373</v>
      </c>
      <c r="G312" s="11" t="s">
        <v>66</v>
      </c>
      <c r="H312" s="11"/>
      <c r="I312" s="11" t="n">
        <f aca="false">IF(E312="","",IF(OR(AND(H312="Plan A",$C$5="B"),AND(H312="Plan B",$C$5="A")),0,IF(OR(G312="per student",G312="per group",G312="per class"),E312*IF(B312="Year 7",$C$3,$C$4),E312)))</f>
        <v>6</v>
      </c>
      <c r="J312" s="12"/>
      <c r="K312" s="11"/>
      <c r="L312" s="11" t="str">
        <f aca="false">IF(OR(K312="",O312&lt;&gt;"",I312=""),"",ROUNDUP(I312*K312,0))</f>
        <v/>
      </c>
      <c r="M312" s="12" t="s">
        <v>1069</v>
      </c>
      <c r="N312" s="11"/>
      <c r="O312" s="12" t="s">
        <v>643</v>
      </c>
      <c r="P312" s="12" t="s">
        <v>376</v>
      </c>
      <c r="Q312" s="12"/>
      <c r="R312" s="11"/>
    </row>
    <row r="313" customFormat="false" ht="35.05" hidden="false" customHeight="false" outlineLevel="0" collapsed="false">
      <c r="A313" s="11" t="n">
        <v>5</v>
      </c>
      <c r="B313" s="12" t="s">
        <v>153</v>
      </c>
      <c r="C313" s="12" t="s">
        <v>97</v>
      </c>
      <c r="D313" s="12" t="s">
        <v>482</v>
      </c>
      <c r="E313" s="11" t="n">
        <v>6</v>
      </c>
      <c r="F313" s="12" t="s">
        <v>373</v>
      </c>
      <c r="G313" s="11" t="s">
        <v>66</v>
      </c>
      <c r="H313" s="11"/>
      <c r="I313" s="11" t="n">
        <f aca="false">IF(E313="","",IF(OR(AND(H313="Plan A",$C$5="B"),AND(H313="Plan B",$C$5="A")),0,IF(OR(G313="per student",G313="per group",G313="per class"),E313*IF(B313="Year 7",$C$3,$C$4),E313)))</f>
        <v>6</v>
      </c>
      <c r="J313" s="12"/>
      <c r="K313" s="11"/>
      <c r="L313" s="11" t="str">
        <f aca="false">IF(OR(K313="",O313&lt;&gt;"",I313=""),"",ROUNDUP(I313*K313,0))</f>
        <v/>
      </c>
      <c r="M313" s="12" t="s">
        <v>1070</v>
      </c>
      <c r="N313" s="11"/>
      <c r="O313" s="12" t="s">
        <v>484</v>
      </c>
      <c r="P313" s="12" t="s">
        <v>376</v>
      </c>
      <c r="Q313" s="12"/>
      <c r="R313" s="11"/>
    </row>
    <row r="314" customFormat="false" ht="35.05" hidden="false" customHeight="false" outlineLevel="0" collapsed="false">
      <c r="A314" s="11" t="n">
        <v>5</v>
      </c>
      <c r="B314" s="12" t="s">
        <v>153</v>
      </c>
      <c r="C314" s="12" t="s">
        <v>97</v>
      </c>
      <c r="D314" s="12" t="s">
        <v>1071</v>
      </c>
      <c r="E314" s="11" t="n">
        <v>1</v>
      </c>
      <c r="F314" s="12" t="s">
        <v>1072</v>
      </c>
      <c r="G314" s="11" t="s">
        <v>75</v>
      </c>
      <c r="H314" s="11"/>
      <c r="I314" s="11" t="n">
        <f aca="false">IF(E314="","",IF(OR(AND(H314="Plan A",$C$5="B"),AND(H314="Plan B",$C$5="A")),0,IF(OR(G314="per student",G314="per group",G314="per class"),E314*IF(B314="Year 7",$C$3,$C$4),E314)))</f>
        <v>1</v>
      </c>
      <c r="J314" s="12"/>
      <c r="K314" s="11"/>
      <c r="L314" s="11" t="str">
        <f aca="false">IF(OR(K314="",O314&lt;&gt;"",I314=""),"",ROUNDUP(I314*K314,0))</f>
        <v/>
      </c>
      <c r="M314" s="12" t="s">
        <v>1073</v>
      </c>
      <c r="N314" s="11"/>
      <c r="O314" s="12" t="s">
        <v>1074</v>
      </c>
      <c r="P314" s="12" t="s">
        <v>376</v>
      </c>
      <c r="Q314" s="12"/>
      <c r="R314" s="11"/>
    </row>
    <row r="315" customFormat="false" ht="23.85" hidden="false" customHeight="false" outlineLevel="0" collapsed="false">
      <c r="A315" s="11" t="n">
        <v>5</v>
      </c>
      <c r="B315" s="12" t="s">
        <v>153</v>
      </c>
      <c r="C315" s="12" t="s">
        <v>97</v>
      </c>
      <c r="D315" s="12" t="s">
        <v>1075</v>
      </c>
      <c r="E315" s="11" t="n">
        <v>1</v>
      </c>
      <c r="F315" s="12" t="s">
        <v>1072</v>
      </c>
      <c r="G315" s="11" t="s">
        <v>75</v>
      </c>
      <c r="H315" s="11"/>
      <c r="I315" s="11" t="n">
        <f aca="false">IF(E315="","",IF(OR(AND(H315="Plan A",$C$5="B"),AND(H315="Plan B",$C$5="A")),0,IF(OR(G315="per student",G315="per group",G315="per class"),E315*IF(B315="Year 7",$C$3,$C$4),E315)))</f>
        <v>1</v>
      </c>
      <c r="J315" s="12"/>
      <c r="K315" s="11"/>
      <c r="L315" s="11" t="str">
        <f aca="false">IF(OR(K315="",O315&lt;&gt;"",I315=""),"",ROUNDUP(I315*K315,0))</f>
        <v/>
      </c>
      <c r="M315" s="12" t="s">
        <v>1076</v>
      </c>
      <c r="N315" s="11"/>
      <c r="O315" s="12" t="s">
        <v>1077</v>
      </c>
      <c r="P315" s="12" t="s">
        <v>376</v>
      </c>
      <c r="Q315" s="13" t="s">
        <v>1078</v>
      </c>
      <c r="R315" s="11"/>
    </row>
    <row r="316" customFormat="false" ht="23.85" hidden="false" customHeight="false" outlineLevel="0" collapsed="false">
      <c r="A316" s="11" t="n">
        <v>5</v>
      </c>
      <c r="B316" s="12" t="s">
        <v>153</v>
      </c>
      <c r="C316" s="12" t="s">
        <v>97</v>
      </c>
      <c r="D316" s="12" t="s">
        <v>120</v>
      </c>
      <c r="E316" s="11" t="n">
        <v>24</v>
      </c>
      <c r="F316" s="12" t="s">
        <v>248</v>
      </c>
      <c r="G316" s="11" t="s">
        <v>43</v>
      </c>
      <c r="H316" s="11"/>
      <c r="I316" s="11" t="n">
        <f aca="false">IF(E316="","",IF(OR(AND(H316="Plan A",$C$5="B"),AND(H316="Plan B",$C$5="A")),0,IF(OR(G316="per student",G316="per group",G316="per class"),E316*IF(B316="Year 7",$C$3,$C$4),E316)))</f>
        <v>24</v>
      </c>
      <c r="J316" s="12"/>
      <c r="K316" s="11"/>
      <c r="L316" s="11" t="str">
        <f aca="false">IF(OR(K316="",O316&lt;&gt;"",I316=""),"",ROUNDUP(I316*K316,0))</f>
        <v/>
      </c>
      <c r="M316" s="12" t="s">
        <v>1079</v>
      </c>
      <c r="N316" s="11"/>
      <c r="O316" s="12" t="s">
        <v>472</v>
      </c>
      <c r="P316" s="12" t="s">
        <v>376</v>
      </c>
      <c r="Q316" s="12"/>
      <c r="R316" s="11"/>
    </row>
    <row r="317" customFormat="false" ht="23.85" hidden="false" customHeight="false" outlineLevel="0" collapsed="false">
      <c r="A317" s="11" t="n">
        <v>5</v>
      </c>
      <c r="B317" s="12" t="s">
        <v>153</v>
      </c>
      <c r="C317" s="12" t="s">
        <v>124</v>
      </c>
      <c r="D317" s="12" t="s">
        <v>810</v>
      </c>
      <c r="E317" s="11" t="n">
        <v>24</v>
      </c>
      <c r="F317" s="12" t="s">
        <v>581</v>
      </c>
      <c r="G317" s="11" t="s">
        <v>66</v>
      </c>
      <c r="H317" s="11"/>
      <c r="I317" s="11" t="n">
        <f aca="false">IF(E317="","",IF(OR(AND(H317="Plan A",$C$5="B"),AND(H317="Plan B",$C$5="A")),0,IF(OR(G317="per student",G317="per group",G317="per class"),E317*IF(B317="Year 7",$C$3,$C$4),E317)))</f>
        <v>24</v>
      </c>
      <c r="J317" s="12"/>
      <c r="K317" s="11"/>
      <c r="L317" s="11" t="str">
        <f aca="false">IF(OR(K317="",O317&lt;&gt;"",I317=""),"",ROUNDUP(I317*K317,0))</f>
        <v/>
      </c>
      <c r="M317" s="12" t="s">
        <v>1080</v>
      </c>
      <c r="N317" s="11"/>
      <c r="O317" s="12"/>
      <c r="P317" s="12" t="s">
        <v>77</v>
      </c>
      <c r="Q317" s="13" t="s">
        <v>1081</v>
      </c>
      <c r="R317" s="11"/>
    </row>
    <row r="318" customFormat="false" ht="35.05" hidden="false" customHeight="false" outlineLevel="0" collapsed="false">
      <c r="A318" s="11" t="n">
        <v>5</v>
      </c>
      <c r="B318" s="12" t="s">
        <v>153</v>
      </c>
      <c r="C318" s="12" t="s">
        <v>124</v>
      </c>
      <c r="D318" s="12" t="s">
        <v>657</v>
      </c>
      <c r="E318" s="11" t="n">
        <v>74</v>
      </c>
      <c r="F318" s="12" t="s">
        <v>1082</v>
      </c>
      <c r="G318" s="11" t="s">
        <v>66</v>
      </c>
      <c r="H318" s="11"/>
      <c r="I318" s="11" t="n">
        <f aca="false">IF(E318="","",IF(OR(AND(H318="Plan A",$C$5="B"),AND(H318="Plan B",$C$5="A")),0,IF(OR(G318="per student",G318="per group",G318="per class"),E318*IF(B318="Year 7",$C$3,$C$4),E318)))</f>
        <v>74</v>
      </c>
      <c r="J318" s="12"/>
      <c r="K318" s="11"/>
      <c r="L318" s="11" t="str">
        <f aca="false">IF(OR(K318="",O318&lt;&gt;"",I318=""),"",ROUNDUP(I318*K318,0))</f>
        <v/>
      </c>
      <c r="M318" s="12" t="s">
        <v>1083</v>
      </c>
      <c r="N318" s="11"/>
      <c r="O318" s="12"/>
      <c r="P318" s="12" t="s">
        <v>77</v>
      </c>
      <c r="Q318" s="13" t="s">
        <v>1084</v>
      </c>
      <c r="R318" s="11"/>
    </row>
    <row r="319" customFormat="false" ht="23.85" hidden="false" customHeight="false" outlineLevel="0" collapsed="false">
      <c r="A319" s="11" t="n">
        <v>5</v>
      </c>
      <c r="B319" s="12" t="s">
        <v>153</v>
      </c>
      <c r="C319" s="12" t="s">
        <v>124</v>
      </c>
      <c r="D319" s="12" t="s">
        <v>1085</v>
      </c>
      <c r="E319" s="11" t="n">
        <v>6</v>
      </c>
      <c r="F319" s="12" t="s">
        <v>264</v>
      </c>
      <c r="G319" s="11" t="s">
        <v>66</v>
      </c>
      <c r="H319" s="11"/>
      <c r="I319" s="11" t="n">
        <f aca="false">IF(E319="","",IF(OR(AND(H319="Plan A",$C$5="B"),AND(H319="Plan B",$C$5="A")),0,IF(OR(G319="per student",G319="per group",G319="per class"),E319*IF(B319="Year 7",$C$3,$C$4),E319)))</f>
        <v>6</v>
      </c>
      <c r="J319" s="12"/>
      <c r="K319" s="11"/>
      <c r="L319" s="11" t="str">
        <f aca="false">IF(OR(K319="",O319&lt;&gt;"",I319=""),"",ROUNDUP(I319*K319,0))</f>
        <v/>
      </c>
      <c r="M319" s="12" t="s">
        <v>1086</v>
      </c>
      <c r="N319" s="11" t="s">
        <v>105</v>
      </c>
      <c r="O319" s="12"/>
      <c r="P319" s="13" t="s">
        <v>91</v>
      </c>
      <c r="Q319" s="13" t="s">
        <v>1087</v>
      </c>
      <c r="R319" s="11"/>
    </row>
    <row r="320" customFormat="false" ht="23.85" hidden="false" customHeight="false" outlineLevel="0" collapsed="false">
      <c r="A320" s="11" t="n">
        <v>5</v>
      </c>
      <c r="B320" s="12" t="s">
        <v>153</v>
      </c>
      <c r="C320" s="12" t="s">
        <v>124</v>
      </c>
      <c r="D320" s="12" t="s">
        <v>826</v>
      </c>
      <c r="E320" s="11" t="n">
        <v>36</v>
      </c>
      <c r="F320" s="12" t="s">
        <v>827</v>
      </c>
      <c r="G320" s="11" t="s">
        <v>66</v>
      </c>
      <c r="H320" s="11"/>
      <c r="I320" s="11" t="n">
        <f aca="false">IF(E320="","",IF(OR(AND(H320="Plan A",$C$5="B"),AND(H320="Plan B",$C$5="A")),0,IF(OR(G320="per student",G320="per group",G320="per class"),E320*IF(B320="Year 7",$C$3,$C$4),E320)))</f>
        <v>36</v>
      </c>
      <c r="J320" s="12"/>
      <c r="K320" s="11"/>
      <c r="L320" s="11" t="str">
        <f aca="false">IF(OR(K320="",O320&lt;&gt;"",I320=""),"",ROUNDUP(I320*K320,0))</f>
        <v/>
      </c>
      <c r="M320" s="12" t="s">
        <v>1088</v>
      </c>
      <c r="N320" s="11"/>
      <c r="O320" s="12"/>
      <c r="P320" s="12" t="s">
        <v>77</v>
      </c>
      <c r="Q320" s="13" t="s">
        <v>1089</v>
      </c>
      <c r="R320" s="11"/>
    </row>
    <row r="321" customFormat="false" ht="15" hidden="false" customHeight="false" outlineLevel="0" collapsed="false">
      <c r="A321" s="11" t="n">
        <v>5</v>
      </c>
      <c r="B321" s="12" t="s">
        <v>153</v>
      </c>
      <c r="C321" s="12" t="s">
        <v>124</v>
      </c>
      <c r="D321" s="12" t="s">
        <v>495</v>
      </c>
      <c r="E321" s="11" t="n">
        <v>6</v>
      </c>
      <c r="F321" s="12" t="s">
        <v>591</v>
      </c>
      <c r="G321" s="11" t="s">
        <v>66</v>
      </c>
      <c r="H321" s="11"/>
      <c r="I321" s="11" t="n">
        <f aca="false">IF(E321="","",IF(OR(AND(H321="Plan A",$C$5="B"),AND(H321="Plan B",$C$5="A")),0,IF(OR(G321="per student",G321="per group",G321="per class"),E321*IF(B321="Year 7",$C$3,$C$4),E321)))</f>
        <v>6</v>
      </c>
      <c r="J321" s="12"/>
      <c r="K321" s="11"/>
      <c r="L321" s="11" t="str">
        <f aca="false">IF(OR(K321="",O321&lt;&gt;"",I321=""),"",ROUNDUP(I321*K321,0))</f>
        <v/>
      </c>
      <c r="M321" s="12" t="s">
        <v>817</v>
      </c>
      <c r="N321" s="11"/>
      <c r="O321" s="12"/>
      <c r="P321" s="12" t="s">
        <v>77</v>
      </c>
      <c r="Q321" s="12"/>
      <c r="R321" s="11"/>
    </row>
    <row r="322" customFormat="false" ht="15" hidden="false" customHeight="false" outlineLevel="0" collapsed="false">
      <c r="A322" s="11" t="n">
        <v>5</v>
      </c>
      <c r="B322" s="12" t="s">
        <v>153</v>
      </c>
      <c r="C322" s="12" t="s">
        <v>124</v>
      </c>
      <c r="D322" s="12" t="s">
        <v>1090</v>
      </c>
      <c r="E322" s="11" t="n">
        <v>1</v>
      </c>
      <c r="F322" s="12" t="s">
        <v>1091</v>
      </c>
      <c r="G322" s="11" t="s">
        <v>57</v>
      </c>
      <c r="H322" s="11"/>
      <c r="I322" s="11" t="n">
        <f aca="false">IF(E322="","",IF(OR(AND(H322="Plan A",$C$5="B"),AND(H322="Plan B",$C$5="A")),0,IF(OR(G322="per student",G322="per group",G322="per class"),E322*IF(B322="Year 7",$C$3,$C$4),E322)))</f>
        <v>1</v>
      </c>
      <c r="J322" s="12"/>
      <c r="K322" s="11"/>
      <c r="L322" s="11" t="str">
        <f aca="false">IF(OR(K322="",O322&lt;&gt;"",I322=""),"",ROUNDUP(I322*K322,0))</f>
        <v/>
      </c>
      <c r="M322" s="12" t="s">
        <v>1092</v>
      </c>
      <c r="N322" s="11"/>
      <c r="O322" s="12"/>
      <c r="P322" s="12" t="s">
        <v>77</v>
      </c>
      <c r="Q322" s="12"/>
      <c r="R322" s="11"/>
    </row>
    <row r="323" customFormat="false" ht="23.85" hidden="false" customHeight="false" outlineLevel="0" collapsed="false">
      <c r="A323" s="11" t="n">
        <v>5</v>
      </c>
      <c r="B323" s="12" t="s">
        <v>153</v>
      </c>
      <c r="C323" s="12" t="s">
        <v>124</v>
      </c>
      <c r="D323" s="12" t="s">
        <v>1093</v>
      </c>
      <c r="E323" s="11" t="n">
        <v>1</v>
      </c>
      <c r="F323" s="12" t="s">
        <v>988</v>
      </c>
      <c r="G323" s="11" t="s">
        <v>57</v>
      </c>
      <c r="H323" s="11"/>
      <c r="I323" s="11" t="n">
        <f aca="false">IF(E323="","",IF(OR(AND(H323="Plan A",$C$5="B"),AND(H323="Plan B",$C$5="A")),0,IF(OR(G323="per student",G323="per group",G323="per class"),E323*IF(B323="Year 7",$C$3,$C$4),E323)))</f>
        <v>1</v>
      </c>
      <c r="J323" s="12"/>
      <c r="K323" s="11"/>
      <c r="L323" s="11" t="str">
        <f aca="false">IF(OR(K323="",O323&lt;&gt;"",I323=""),"",ROUNDUP(I323*K323,0))</f>
        <v/>
      </c>
      <c r="M323" s="12" t="s">
        <v>1094</v>
      </c>
      <c r="N323" s="11"/>
      <c r="O323" s="12"/>
      <c r="P323" s="12" t="s">
        <v>77</v>
      </c>
      <c r="Q323" s="12"/>
      <c r="R323" s="11"/>
    </row>
    <row r="324" customFormat="false" ht="15" hidden="false" customHeight="false" outlineLevel="0" collapsed="false">
      <c r="A324" s="11" t="n">
        <v>5</v>
      </c>
      <c r="B324" s="12" t="s">
        <v>153</v>
      </c>
      <c r="C324" s="12" t="s">
        <v>124</v>
      </c>
      <c r="D324" s="12" t="s">
        <v>1095</v>
      </c>
      <c r="E324" s="11" t="n">
        <v>1</v>
      </c>
      <c r="F324" s="12" t="s">
        <v>1096</v>
      </c>
      <c r="G324" s="11" t="s">
        <v>57</v>
      </c>
      <c r="H324" s="11"/>
      <c r="I324" s="11" t="n">
        <f aca="false">IF(E324="","",IF(OR(AND(H324="Plan A",$C$5="B"),AND(H324="Plan B",$C$5="A")),0,IF(OR(G324="per student",G324="per group",G324="per class"),E324*IF(B324="Year 7",$C$3,$C$4),E324)))</f>
        <v>1</v>
      </c>
      <c r="J324" s="12"/>
      <c r="K324" s="11"/>
      <c r="L324" s="11" t="str">
        <f aca="false">IF(OR(K324="",O324&lt;&gt;"",I324=""),"",ROUNDUP(I324*K324,0))</f>
        <v/>
      </c>
      <c r="M324" s="12" t="s">
        <v>1097</v>
      </c>
      <c r="N324" s="11"/>
      <c r="O324" s="12"/>
      <c r="P324" s="12" t="s">
        <v>77</v>
      </c>
      <c r="Q324" s="12"/>
      <c r="R324" s="11"/>
    </row>
    <row r="325" customFormat="false" ht="35.05" hidden="false" customHeight="false" outlineLevel="0" collapsed="false">
      <c r="A325" s="11" t="n">
        <v>5</v>
      </c>
      <c r="B325" s="12" t="s">
        <v>153</v>
      </c>
      <c r="C325" s="12" t="s">
        <v>124</v>
      </c>
      <c r="D325" s="12" t="s">
        <v>1098</v>
      </c>
      <c r="E325" s="11" t="n">
        <v>1</v>
      </c>
      <c r="F325" s="12" t="s">
        <v>1099</v>
      </c>
      <c r="G325" s="11" t="s">
        <v>127</v>
      </c>
      <c r="H325" s="11"/>
      <c r="I325" s="11" t="n">
        <f aca="false">IF(E325="","",IF(OR(AND(H325="Plan A",$C$5="B"),AND(H325="Plan B",$C$5="A")),0,IF(OR(G325="per student",G325="per group",G325="per class"),E325*IF(B325="Year 7",$C$3,$C$4),E325)))</f>
        <v>1</v>
      </c>
      <c r="J325" s="12"/>
      <c r="K325" s="11"/>
      <c r="L325" s="11" t="str">
        <f aca="false">IF(OR(K325="",O325&lt;&gt;"",I325=""),"",ROUNDUP(I325*K325,0))</f>
        <v/>
      </c>
      <c r="M325" s="12" t="s">
        <v>1100</v>
      </c>
      <c r="N325" s="11"/>
      <c r="O325" s="12"/>
      <c r="P325" s="12" t="s">
        <v>77</v>
      </c>
      <c r="Q325" s="12"/>
      <c r="R325" s="11"/>
    </row>
    <row r="326" customFormat="false" ht="23.85" hidden="false" customHeight="false" outlineLevel="0" collapsed="false">
      <c r="A326" s="11" t="n">
        <v>5</v>
      </c>
      <c r="B326" s="12" t="s">
        <v>153</v>
      </c>
      <c r="C326" s="12" t="s">
        <v>124</v>
      </c>
      <c r="D326" s="12" t="s">
        <v>1101</v>
      </c>
      <c r="E326" s="11" t="n">
        <v>1</v>
      </c>
      <c r="F326" s="12" t="s">
        <v>1102</v>
      </c>
      <c r="G326" s="11" t="s">
        <v>57</v>
      </c>
      <c r="H326" s="11"/>
      <c r="I326" s="11" t="n">
        <f aca="false">IF(E326="","",IF(OR(AND(H326="Plan A",$C$5="B"),AND(H326="Plan B",$C$5="A")),0,IF(OR(G326="per student",G326="per group",G326="per class"),E326*IF(B326="Year 7",$C$3,$C$4),E326)))</f>
        <v>1</v>
      </c>
      <c r="J326" s="12"/>
      <c r="K326" s="11"/>
      <c r="L326" s="11" t="str">
        <f aca="false">IF(OR(K326="",O326&lt;&gt;"",I326=""),"",ROUNDUP(I326*K326,0))</f>
        <v/>
      </c>
      <c r="M326" s="12" t="s">
        <v>1103</v>
      </c>
      <c r="N326" s="11"/>
      <c r="O326" s="12"/>
      <c r="P326" s="12" t="s">
        <v>77</v>
      </c>
      <c r="Q326" s="12"/>
      <c r="R326" s="11"/>
    </row>
    <row r="327" customFormat="false" ht="57.45" hidden="false" customHeight="false" outlineLevel="0" collapsed="false">
      <c r="A327" s="11" t="n">
        <v>5</v>
      </c>
      <c r="B327" s="12" t="s">
        <v>153</v>
      </c>
      <c r="C327" s="12" t="s">
        <v>124</v>
      </c>
      <c r="D327" s="12" t="s">
        <v>1104</v>
      </c>
      <c r="E327" s="11"/>
      <c r="F327" s="12" t="s">
        <v>1105</v>
      </c>
      <c r="G327" s="11" t="s">
        <v>57</v>
      </c>
      <c r="H327" s="11"/>
      <c r="I327" s="11" t="str">
        <f aca="false">IF(E327="","",IF(OR(AND(H327="Plan A",$C$5="B"),AND(H327="Plan B",$C$5="A")),0,IF(OR(G327="per student",G327="per group",G327="per class"),E327*IF(B327="Year 7",$C$3,$C$4),E327)))</f>
        <v/>
      </c>
      <c r="J327" s="12"/>
      <c r="K327" s="11"/>
      <c r="L327" s="11" t="str">
        <f aca="false">IF(OR(K327="",O327&lt;&gt;"",I327=""),"",ROUNDUP(I327*K327,0))</f>
        <v/>
      </c>
      <c r="M327" s="12" t="s">
        <v>1106</v>
      </c>
      <c r="N327" s="11"/>
      <c r="O327" s="12"/>
      <c r="P327" s="12" t="s">
        <v>138</v>
      </c>
      <c r="Q327" s="13" t="s">
        <v>1107</v>
      </c>
      <c r="R327" s="11"/>
    </row>
    <row r="328" customFormat="false" ht="23.85" hidden="false" customHeight="false" outlineLevel="0" collapsed="false">
      <c r="A328" s="11" t="n">
        <v>5</v>
      </c>
      <c r="B328" s="12" t="s">
        <v>153</v>
      </c>
      <c r="C328" s="12" t="s">
        <v>124</v>
      </c>
      <c r="D328" s="12" t="s">
        <v>498</v>
      </c>
      <c r="E328" s="11"/>
      <c r="F328" s="12" t="s">
        <v>1108</v>
      </c>
      <c r="G328" s="11" t="s">
        <v>66</v>
      </c>
      <c r="H328" s="11"/>
      <c r="I328" s="11" t="str">
        <f aca="false">IF(E328="","",IF(OR(AND(H328="Plan A",$C$5="B"),AND(H328="Plan B",$C$5="A")),0,IF(OR(G328="per student",G328="per group",G328="per class"),E328*IF(B328="Year 7",$C$3,$C$4),E328)))</f>
        <v/>
      </c>
      <c r="J328" s="12"/>
      <c r="K328" s="11"/>
      <c r="L328" s="11" t="str">
        <f aca="false">IF(OR(K328="",O328&lt;&gt;"",I328=""),"",ROUNDUP(I328*K328,0))</f>
        <v/>
      </c>
      <c r="M328" s="12" t="s">
        <v>1109</v>
      </c>
      <c r="N328" s="11"/>
      <c r="O328" s="12"/>
      <c r="P328" s="13" t="s">
        <v>91</v>
      </c>
      <c r="Q328" s="13" t="s">
        <v>1110</v>
      </c>
      <c r="R328" s="11"/>
    </row>
    <row r="329" customFormat="false" ht="23.85" hidden="false" customHeight="false" outlineLevel="0" collapsed="false">
      <c r="A329" s="11" t="n">
        <v>5</v>
      </c>
      <c r="B329" s="12" t="s">
        <v>153</v>
      </c>
      <c r="C329" s="12" t="s">
        <v>124</v>
      </c>
      <c r="D329" s="12" t="s">
        <v>1111</v>
      </c>
      <c r="E329" s="11" t="n">
        <v>1</v>
      </c>
      <c r="F329" s="12" t="s">
        <v>1112</v>
      </c>
      <c r="G329" s="11" t="s">
        <v>127</v>
      </c>
      <c r="H329" s="11"/>
      <c r="I329" s="11" t="n">
        <f aca="false">IF(E329="","",IF(OR(AND(H329="Plan A",$C$5="B"),AND(H329="Plan B",$C$5="A")),0,IF(OR(G329="per student",G329="per group",G329="per class"),E329*IF(B329="Year 7",$C$3,$C$4),E329)))</f>
        <v>1</v>
      </c>
      <c r="J329" s="12"/>
      <c r="K329" s="11"/>
      <c r="L329" s="11" t="str">
        <f aca="false">IF(OR(K329="",O329&lt;&gt;"",I329=""),"",ROUNDUP(I329*K329,0))</f>
        <v/>
      </c>
      <c r="M329" s="12" t="s">
        <v>1113</v>
      </c>
      <c r="N329" s="11"/>
      <c r="O329" s="12"/>
      <c r="P329" s="12" t="s">
        <v>138</v>
      </c>
      <c r="Q329" s="13" t="s">
        <v>1114</v>
      </c>
      <c r="R329" s="11"/>
    </row>
    <row r="330" customFormat="false" ht="35.05" hidden="false" customHeight="false" outlineLevel="0" collapsed="false">
      <c r="A330" s="11" t="n">
        <v>5</v>
      </c>
      <c r="B330" s="12" t="s">
        <v>153</v>
      </c>
      <c r="C330" s="12" t="s">
        <v>124</v>
      </c>
      <c r="D330" s="12" t="s">
        <v>1115</v>
      </c>
      <c r="E330" s="11" t="n">
        <v>1</v>
      </c>
      <c r="F330" s="12" t="s">
        <v>1116</v>
      </c>
      <c r="G330" s="11" t="s">
        <v>127</v>
      </c>
      <c r="H330" s="11"/>
      <c r="I330" s="11" t="n">
        <f aca="false">IF(E330="","",IF(OR(AND(H330="Plan A",$C$5="B"),AND(H330="Plan B",$C$5="A")),0,IF(OR(G330="per student",G330="per group",G330="per class"),E330*IF(B330="Year 7",$C$3,$C$4),E330)))</f>
        <v>1</v>
      </c>
      <c r="J330" s="12"/>
      <c r="K330" s="11"/>
      <c r="L330" s="11" t="str">
        <f aca="false">IF(OR(K330="",O330&lt;&gt;"",I330=""),"",ROUNDUP(I330*K330,0))</f>
        <v/>
      </c>
      <c r="M330" s="12" t="s">
        <v>1117</v>
      </c>
      <c r="N330" s="11"/>
      <c r="O330" s="12"/>
      <c r="P330" s="12" t="s">
        <v>138</v>
      </c>
      <c r="Q330" s="12"/>
      <c r="R330" s="11"/>
    </row>
    <row r="331" customFormat="false" ht="23.85" hidden="false" customHeight="false" outlineLevel="0" collapsed="false">
      <c r="A331" s="11" t="n">
        <v>5</v>
      </c>
      <c r="B331" s="12" t="s">
        <v>153</v>
      </c>
      <c r="C331" s="12" t="s">
        <v>124</v>
      </c>
      <c r="D331" s="12" t="s">
        <v>1118</v>
      </c>
      <c r="E331" s="11" t="n">
        <v>1</v>
      </c>
      <c r="F331" s="12" t="s">
        <v>1119</v>
      </c>
      <c r="G331" s="11" t="s">
        <v>75</v>
      </c>
      <c r="H331" s="11"/>
      <c r="I331" s="11" t="n">
        <f aca="false">IF(E331="","",IF(OR(AND(H331="Plan A",$C$5="B"),AND(H331="Plan B",$C$5="A")),0,IF(OR(G331="per student",G331="per group",G331="per class"),E331*IF(B331="Year 7",$C$3,$C$4),E331)))</f>
        <v>1</v>
      </c>
      <c r="J331" s="12"/>
      <c r="K331" s="11"/>
      <c r="L331" s="11" t="str">
        <f aca="false">IF(OR(K331="",O331&lt;&gt;"",I331=""),"",ROUNDUP(I331*K331,0))</f>
        <v/>
      </c>
      <c r="M331" s="12" t="s">
        <v>1120</v>
      </c>
      <c r="N331" s="11"/>
      <c r="O331" s="12"/>
      <c r="P331" s="12" t="s">
        <v>133</v>
      </c>
      <c r="Q331" s="13" t="s">
        <v>1121</v>
      </c>
      <c r="R331" s="11"/>
    </row>
    <row r="332" customFormat="false" ht="23.85" hidden="false" customHeight="false" outlineLevel="0" collapsed="false">
      <c r="A332" s="11" t="n">
        <v>5</v>
      </c>
      <c r="B332" s="12" t="s">
        <v>153</v>
      </c>
      <c r="C332" s="12" t="s">
        <v>124</v>
      </c>
      <c r="D332" s="12" t="s">
        <v>125</v>
      </c>
      <c r="E332" s="11" t="n">
        <v>1</v>
      </c>
      <c r="F332" s="12" t="s">
        <v>267</v>
      </c>
      <c r="G332" s="11" t="s">
        <v>127</v>
      </c>
      <c r="H332" s="11"/>
      <c r="I332" s="11" t="n">
        <f aca="false">IF(E332="","",IF(OR(AND(H332="Plan A",$C$5="B"),AND(H332="Plan B",$C$5="A")),0,IF(OR(G332="per student",G332="per group",G332="per class"),E332*IF(B332="Year 7",$C$3,$C$4),E332)))</f>
        <v>1</v>
      </c>
      <c r="J332" s="12"/>
      <c r="K332" s="11"/>
      <c r="L332" s="11" t="str">
        <f aca="false">IF(OR(K332="",O332&lt;&gt;"",I332=""),"",ROUNDUP(I332*K332,0))</f>
        <v/>
      </c>
      <c r="M332" s="12" t="s">
        <v>1122</v>
      </c>
      <c r="N332" s="11"/>
      <c r="O332" s="12" t="s">
        <v>855</v>
      </c>
      <c r="P332" s="12" t="s">
        <v>376</v>
      </c>
      <c r="Q332" s="12"/>
      <c r="R332" s="11"/>
    </row>
    <row r="333" customFormat="false" ht="35.05" hidden="false" customHeight="false" outlineLevel="0" collapsed="false">
      <c r="A333" s="11" t="n">
        <v>5</v>
      </c>
      <c r="B333" s="12" t="s">
        <v>153</v>
      </c>
      <c r="C333" s="12" t="s">
        <v>294</v>
      </c>
      <c r="D333" s="12" t="s">
        <v>1123</v>
      </c>
      <c r="E333" s="11" t="n">
        <v>0.25</v>
      </c>
      <c r="F333" s="12" t="s">
        <v>1124</v>
      </c>
      <c r="G333" s="11" t="s">
        <v>127</v>
      </c>
      <c r="H333" s="11"/>
      <c r="I333" s="11" t="n">
        <f aca="false">IF(E333="","",IF(OR(AND(H333="Plan A",$C$5="B"),AND(H333="Plan B",$C$5="A")),0,IF(OR(G333="per student",G333="per group",G333="per class"),E333*IF(B333="Year 7",$C$3,$C$4),E333)))</f>
        <v>0.25</v>
      </c>
      <c r="J333" s="12"/>
      <c r="K333" s="11"/>
      <c r="L333" s="11" t="str">
        <f aca="false">IF(OR(K333="",O333&lt;&gt;"",I333=""),"",ROUNDUP(I333*K333,0))</f>
        <v/>
      </c>
      <c r="M333" s="12" t="s">
        <v>1125</v>
      </c>
      <c r="N333" s="11"/>
      <c r="O333" s="12"/>
      <c r="P333" s="13" t="s">
        <v>91</v>
      </c>
      <c r="Q333" s="13" t="s">
        <v>1126</v>
      </c>
      <c r="R333" s="11"/>
    </row>
    <row r="334" customFormat="false" ht="23.85" hidden="false" customHeight="false" outlineLevel="0" collapsed="false">
      <c r="A334" s="11" t="n">
        <v>5</v>
      </c>
      <c r="B334" s="12" t="s">
        <v>153</v>
      </c>
      <c r="C334" s="12" t="s">
        <v>294</v>
      </c>
      <c r="D334" s="12" t="s">
        <v>1127</v>
      </c>
      <c r="E334" s="11" t="n">
        <v>60</v>
      </c>
      <c r="F334" s="12" t="s">
        <v>307</v>
      </c>
      <c r="G334" s="11" t="s">
        <v>66</v>
      </c>
      <c r="H334" s="11"/>
      <c r="I334" s="11" t="n">
        <f aca="false">IF(E334="","",IF(OR(AND(H334="Plan A",$C$5="B"),AND(H334="Plan B",$C$5="A")),0,IF(OR(G334="per student",G334="per group",G334="per class"),E334*IF(B334="Year 7",$C$3,$C$4),E334)))</f>
        <v>60</v>
      </c>
      <c r="J334" s="12"/>
      <c r="K334" s="11"/>
      <c r="L334" s="11" t="str">
        <f aca="false">IF(OR(K334="",O334&lt;&gt;"",I334=""),"",ROUNDUP(I334*K334,0))</f>
        <v/>
      </c>
      <c r="M334" s="12" t="s">
        <v>1128</v>
      </c>
      <c r="N334" s="11"/>
      <c r="O334" s="12"/>
      <c r="P334" s="12" t="s">
        <v>77</v>
      </c>
      <c r="Q334" s="13" t="s">
        <v>1129</v>
      </c>
      <c r="R334" s="11"/>
    </row>
    <row r="335" customFormat="false" ht="23.85" hidden="false" customHeight="false" outlineLevel="0" collapsed="false">
      <c r="A335" s="11" t="n">
        <v>5</v>
      </c>
      <c r="B335" s="12" t="s">
        <v>153</v>
      </c>
      <c r="C335" s="12" t="s">
        <v>294</v>
      </c>
      <c r="D335" s="12" t="s">
        <v>870</v>
      </c>
      <c r="E335" s="11" t="n">
        <v>60</v>
      </c>
      <c r="F335" s="12" t="s">
        <v>1130</v>
      </c>
      <c r="G335" s="11" t="s">
        <v>66</v>
      </c>
      <c r="H335" s="11"/>
      <c r="I335" s="11" t="n">
        <f aca="false">IF(E335="","",IF(OR(AND(H335="Plan A",$C$5="B"),AND(H335="Plan B",$C$5="A")),0,IF(OR(G335="per student",G335="per group",G335="per class"),E335*IF(B335="Year 7",$C$3,$C$4),E335)))</f>
        <v>60</v>
      </c>
      <c r="J335" s="12"/>
      <c r="K335" s="11"/>
      <c r="L335" s="11" t="str">
        <f aca="false">IF(OR(K335="",O335&lt;&gt;"",I335=""),"",ROUNDUP(I335*K335,0))</f>
        <v/>
      </c>
      <c r="M335" s="12" t="s">
        <v>1131</v>
      </c>
      <c r="N335" s="11"/>
      <c r="O335" s="12"/>
      <c r="P335" s="12" t="s">
        <v>77</v>
      </c>
      <c r="Q335" s="13" t="s">
        <v>1132</v>
      </c>
      <c r="R335" s="11"/>
    </row>
    <row r="336" customFormat="false" ht="57.45" hidden="false" customHeight="false" outlineLevel="0" collapsed="false">
      <c r="A336" s="11" t="n">
        <v>5</v>
      </c>
      <c r="B336" s="12" t="s">
        <v>153</v>
      </c>
      <c r="C336" s="12" t="s">
        <v>294</v>
      </c>
      <c r="D336" s="12" t="s">
        <v>310</v>
      </c>
      <c r="E336" s="11"/>
      <c r="F336" s="12" t="s">
        <v>1133</v>
      </c>
      <c r="G336" s="11" t="s">
        <v>127</v>
      </c>
      <c r="H336" s="11"/>
      <c r="I336" s="11" t="str">
        <f aca="false">IF(E336="","",IF(OR(AND(H336="Plan A",$C$5="B"),AND(H336="Plan B",$C$5="A")),0,IF(OR(G336="per student",G336="per group",G336="per class"),E336*IF(B336="Year 7",$C$3,$C$4),E336)))</f>
        <v/>
      </c>
      <c r="J336" s="12"/>
      <c r="K336" s="11"/>
      <c r="L336" s="11" t="str">
        <f aca="false">IF(OR(K336="",O336&lt;&gt;"",I336=""),"",ROUNDUP(I336*K336,0))</f>
        <v/>
      </c>
      <c r="M336" s="12" t="s">
        <v>1134</v>
      </c>
      <c r="N336" s="11"/>
      <c r="O336" s="12"/>
      <c r="P336" s="13" t="s">
        <v>91</v>
      </c>
      <c r="Q336" s="13" t="s">
        <v>1135</v>
      </c>
      <c r="R336" s="11"/>
    </row>
    <row r="337" customFormat="false" ht="23.85" hidden="false" customHeight="false" outlineLevel="0" collapsed="false">
      <c r="A337" s="11" t="n">
        <v>5</v>
      </c>
      <c r="B337" s="12" t="s">
        <v>153</v>
      </c>
      <c r="C337" s="12" t="s">
        <v>294</v>
      </c>
      <c r="D337" s="12" t="s">
        <v>1136</v>
      </c>
      <c r="E337" s="11" t="n">
        <v>1</v>
      </c>
      <c r="F337" s="12" t="s">
        <v>1137</v>
      </c>
      <c r="G337" s="11" t="s">
        <v>127</v>
      </c>
      <c r="H337" s="11"/>
      <c r="I337" s="11" t="n">
        <f aca="false">IF(E337="","",IF(OR(AND(H337="Plan A",$C$5="B"),AND(H337="Plan B",$C$5="A")),0,IF(OR(G337="per student",G337="per group",G337="per class"),E337*IF(B337="Year 7",$C$3,$C$4),E337)))</f>
        <v>1</v>
      </c>
      <c r="J337" s="12"/>
      <c r="K337" s="11"/>
      <c r="L337" s="11" t="str">
        <f aca="false">IF(OR(K337="",O337&lt;&gt;"",I337=""),"",ROUNDUP(I337*K337,0))</f>
        <v/>
      </c>
      <c r="M337" s="12" t="s">
        <v>1138</v>
      </c>
      <c r="N337" s="11"/>
      <c r="O337" s="12"/>
      <c r="P337" s="12" t="s">
        <v>77</v>
      </c>
      <c r="Q337" s="13" t="s">
        <v>1139</v>
      </c>
      <c r="R337" s="11"/>
    </row>
    <row r="338" customFormat="false" ht="35.05" hidden="false" customHeight="false" outlineLevel="0" collapsed="false">
      <c r="A338" s="11" t="n">
        <v>5</v>
      </c>
      <c r="B338" s="12" t="s">
        <v>153</v>
      </c>
      <c r="C338" s="12" t="s">
        <v>294</v>
      </c>
      <c r="D338" s="12" t="s">
        <v>1140</v>
      </c>
      <c r="E338" s="11" t="n">
        <v>560</v>
      </c>
      <c r="F338" s="12" t="s">
        <v>307</v>
      </c>
      <c r="G338" s="11" t="s">
        <v>127</v>
      </c>
      <c r="H338" s="11"/>
      <c r="I338" s="11" t="n">
        <f aca="false">IF(E338="","",IF(OR(AND(H338="Plan A",$C$5="B"),AND(H338="Plan B",$C$5="A")),0,IF(OR(G338="per student",G338="per group",G338="per class"),E338*IF(B338="Year 7",$C$3,$C$4),E338)))</f>
        <v>560</v>
      </c>
      <c r="J338" s="12"/>
      <c r="K338" s="11"/>
      <c r="L338" s="11" t="str">
        <f aca="false">IF(OR(K338="",O338&lt;&gt;"",I338=""),"",ROUNDUP(I338*K338,0))</f>
        <v/>
      </c>
      <c r="M338" s="12" t="s">
        <v>1141</v>
      </c>
      <c r="N338" s="11"/>
      <c r="O338" s="12"/>
      <c r="P338" s="12" t="s">
        <v>77</v>
      </c>
      <c r="Q338" s="13" t="s">
        <v>1142</v>
      </c>
      <c r="R338" s="11"/>
    </row>
    <row r="339" customFormat="false" ht="23.85" hidden="false" customHeight="false" outlineLevel="0" collapsed="false">
      <c r="A339" s="11" t="n">
        <v>5</v>
      </c>
      <c r="B339" s="12" t="s">
        <v>153</v>
      </c>
      <c r="C339" s="12" t="s">
        <v>294</v>
      </c>
      <c r="D339" s="12" t="s">
        <v>872</v>
      </c>
      <c r="E339" s="11"/>
      <c r="F339" s="12" t="s">
        <v>1143</v>
      </c>
      <c r="G339" s="11" t="s">
        <v>66</v>
      </c>
      <c r="H339" s="11"/>
      <c r="I339" s="11" t="str">
        <f aca="false">IF(E339="","",IF(OR(AND(H339="Plan A",$C$5="B"),AND(H339="Plan B",$C$5="A")),0,IF(OR(G339="per student",G339="per group",G339="per class"),E339*IF(B339="Year 7",$C$3,$C$4),E339)))</f>
        <v/>
      </c>
      <c r="J339" s="12"/>
      <c r="K339" s="11"/>
      <c r="L339" s="11" t="str">
        <f aca="false">IF(OR(K339="",O339&lt;&gt;"",I339=""),"",ROUNDUP(I339*K339,0))</f>
        <v/>
      </c>
      <c r="M339" s="12" t="s">
        <v>1144</v>
      </c>
      <c r="N339" s="11"/>
      <c r="O339" s="12"/>
      <c r="P339" s="13" t="s">
        <v>91</v>
      </c>
      <c r="Q339" s="13" t="s">
        <v>1145</v>
      </c>
      <c r="R339" s="11"/>
    </row>
    <row r="340" customFormat="false" ht="35.05" hidden="false" customHeight="false" outlineLevel="0" collapsed="false">
      <c r="A340" s="11" t="n">
        <v>5</v>
      </c>
      <c r="B340" s="12" t="s">
        <v>153</v>
      </c>
      <c r="C340" s="12" t="s">
        <v>144</v>
      </c>
      <c r="D340" s="12" t="s">
        <v>1146</v>
      </c>
      <c r="E340" s="11" t="n">
        <v>500</v>
      </c>
      <c r="F340" s="12" t="s">
        <v>307</v>
      </c>
      <c r="G340" s="11" t="s">
        <v>127</v>
      </c>
      <c r="H340" s="11"/>
      <c r="I340" s="11" t="n">
        <f aca="false">IF(E340="","",IF(OR(AND(H340="Plan A",$C$5="B"),AND(H340="Plan B",$C$5="A")),0,IF(OR(G340="per student",G340="per group",G340="per class"),E340*IF(B340="Year 7",$C$3,$C$4),E340)))</f>
        <v>500</v>
      </c>
      <c r="J340" s="12"/>
      <c r="K340" s="11"/>
      <c r="L340" s="11" t="str">
        <f aca="false">IF(OR(K340="",O340&lt;&gt;"",I340=""),"",ROUNDUP(I340*K340,0))</f>
        <v/>
      </c>
      <c r="M340" s="12" t="s">
        <v>1147</v>
      </c>
      <c r="N340" s="11"/>
      <c r="O340" s="12"/>
      <c r="P340" s="12" t="s">
        <v>77</v>
      </c>
      <c r="Q340" s="13" t="s">
        <v>1148</v>
      </c>
      <c r="R340" s="11"/>
    </row>
    <row r="341" customFormat="false" ht="23.85" hidden="false" customHeight="false" outlineLevel="0" collapsed="false">
      <c r="A341" s="11" t="n">
        <v>5</v>
      </c>
      <c r="B341" s="12" t="s">
        <v>153</v>
      </c>
      <c r="C341" s="12" t="s">
        <v>144</v>
      </c>
      <c r="D341" s="12" t="s">
        <v>323</v>
      </c>
      <c r="E341" s="11" t="n">
        <v>200</v>
      </c>
      <c r="F341" s="12" t="s">
        <v>307</v>
      </c>
      <c r="G341" s="11" t="s">
        <v>127</v>
      </c>
      <c r="H341" s="11"/>
      <c r="I341" s="11" t="n">
        <f aca="false">IF(E341="","",IF(OR(AND(H341="Plan A",$C$5="B"),AND(H341="Plan B",$C$5="A")),0,IF(OR(G341="per student",G341="per group",G341="per class"),E341*IF(B341="Year 7",$C$3,$C$4),E341)))</f>
        <v>200</v>
      </c>
      <c r="J341" s="12"/>
      <c r="K341" s="11"/>
      <c r="L341" s="11" t="str">
        <f aca="false">IF(OR(K341="",O341&lt;&gt;"",I341=""),"",ROUNDUP(I341*K341,0))</f>
        <v/>
      </c>
      <c r="M341" s="12" t="s">
        <v>1149</v>
      </c>
      <c r="N341" s="11"/>
      <c r="O341" s="12"/>
      <c r="P341" s="12" t="s">
        <v>77</v>
      </c>
      <c r="Q341" s="13" t="s">
        <v>1150</v>
      </c>
      <c r="R341" s="11"/>
    </row>
    <row r="342" customFormat="false" ht="57.45" hidden="false" customHeight="false" outlineLevel="0" collapsed="false">
      <c r="A342" s="11" t="n">
        <v>5</v>
      </c>
      <c r="B342" s="12" t="s">
        <v>153</v>
      </c>
      <c r="C342" s="12" t="s">
        <v>144</v>
      </c>
      <c r="D342" s="12" t="s">
        <v>326</v>
      </c>
      <c r="E342" s="11"/>
      <c r="F342" s="12" t="s">
        <v>1151</v>
      </c>
      <c r="G342" s="11" t="s">
        <v>127</v>
      </c>
      <c r="H342" s="11"/>
      <c r="I342" s="11" t="str">
        <f aca="false">IF(E342="","",IF(OR(AND(H342="Plan A",$C$5="B"),AND(H342="Plan B",$C$5="A")),0,IF(OR(G342="per student",G342="per group",G342="per class"),E342*IF(B342="Year 7",$C$3,$C$4),E342)))</f>
        <v/>
      </c>
      <c r="J342" s="12"/>
      <c r="K342" s="11"/>
      <c r="L342" s="11" t="str">
        <f aca="false">IF(OR(K342="",O342&lt;&gt;"",I342=""),"",ROUNDUP(I342*K342,0))</f>
        <v/>
      </c>
      <c r="M342" s="12" t="s">
        <v>1152</v>
      </c>
      <c r="N342" s="11"/>
      <c r="O342" s="12"/>
      <c r="P342" s="13" t="s">
        <v>91</v>
      </c>
      <c r="Q342" s="13" t="s">
        <v>1153</v>
      </c>
      <c r="R342" s="11"/>
    </row>
    <row r="343" customFormat="false" ht="35.05" hidden="false" customHeight="false" outlineLevel="0" collapsed="false">
      <c r="A343" s="11" t="n">
        <v>5</v>
      </c>
      <c r="B343" s="12" t="s">
        <v>153</v>
      </c>
      <c r="C343" s="12" t="s">
        <v>144</v>
      </c>
      <c r="D343" s="12" t="s">
        <v>1154</v>
      </c>
      <c r="E343" s="11" t="n">
        <v>60</v>
      </c>
      <c r="F343" s="12" t="s">
        <v>307</v>
      </c>
      <c r="G343" s="11" t="s">
        <v>66</v>
      </c>
      <c r="H343" s="11"/>
      <c r="I343" s="11" t="n">
        <f aca="false">IF(E343="","",IF(OR(AND(H343="Plan A",$C$5="B"),AND(H343="Plan B",$C$5="A")),0,IF(OR(G343="per student",G343="per group",G343="per class"),E343*IF(B343="Year 7",$C$3,$C$4),E343)))</f>
        <v>60</v>
      </c>
      <c r="J343" s="12"/>
      <c r="K343" s="11"/>
      <c r="L343" s="11" t="str">
        <f aca="false">IF(OR(K343="",O343&lt;&gt;"",I343=""),"",ROUNDUP(I343*K343,0))</f>
        <v/>
      </c>
      <c r="M343" s="12" t="s">
        <v>1155</v>
      </c>
      <c r="N343" s="11"/>
      <c r="O343" s="12"/>
      <c r="P343" s="13" t="s">
        <v>91</v>
      </c>
      <c r="Q343" s="13" t="s">
        <v>1156</v>
      </c>
      <c r="R343" s="11"/>
    </row>
    <row r="344" customFormat="false" ht="68.65" hidden="false" customHeight="false" outlineLevel="0" collapsed="false">
      <c r="A344" s="14" t="n">
        <v>6</v>
      </c>
      <c r="B344" s="15" t="s">
        <v>39</v>
      </c>
      <c r="C344" s="15" t="s">
        <v>40</v>
      </c>
      <c r="D344" s="15" t="s">
        <v>1157</v>
      </c>
      <c r="E344" s="14" t="n">
        <v>24</v>
      </c>
      <c r="F344" s="15" t="s">
        <v>1158</v>
      </c>
      <c r="G344" s="14" t="s">
        <v>43</v>
      </c>
      <c r="H344" s="14" t="s">
        <v>964</v>
      </c>
      <c r="I344" s="14" t="n">
        <f aca="false">IF(E344="","",IF(OR(AND(H344="Plan A",$C$5="B"),AND(H344="Plan B",$C$5="A")),0,IF(OR(G344="per student",G344="per group",G344="per class"),E344*IF(B344="Year 7",$C$3,$C$4),E344)))</f>
        <v>24</v>
      </c>
      <c r="J344" s="15" t="s">
        <v>13</v>
      </c>
      <c r="K344" s="14" t="n">
        <v>3</v>
      </c>
      <c r="L344" s="14" t="n">
        <f aca="false">IF(OR(K344="",O344&lt;&gt;"",I344=""),"",ROUNDUP(I344*K344,0))</f>
        <v>72</v>
      </c>
      <c r="M344" s="15" t="s">
        <v>1159</v>
      </c>
      <c r="N344" s="14"/>
      <c r="O344" s="15"/>
      <c r="P344" s="15" t="s">
        <v>45</v>
      </c>
      <c r="Q344" s="13" t="s">
        <v>1160</v>
      </c>
      <c r="R344" s="14"/>
    </row>
    <row r="345" customFormat="false" ht="68.65" hidden="false" customHeight="false" outlineLevel="0" collapsed="false">
      <c r="A345" s="14" t="n">
        <v>6</v>
      </c>
      <c r="B345" s="15" t="s">
        <v>39</v>
      </c>
      <c r="C345" s="15" t="s">
        <v>40</v>
      </c>
      <c r="D345" s="15" t="s">
        <v>1161</v>
      </c>
      <c r="E345" s="14" t="n">
        <v>24</v>
      </c>
      <c r="F345" s="15" t="s">
        <v>1158</v>
      </c>
      <c r="G345" s="14" t="s">
        <v>43</v>
      </c>
      <c r="H345" s="14" t="s">
        <v>956</v>
      </c>
      <c r="I345" s="14" t="n">
        <f aca="false">IF(E345="","",IF(OR(AND(H345="Plan A",$C$5="B"),AND(H345="Plan B",$C$5="A")),0,IF(OR(G345="per student",G345="per group",G345="per class"),E345*IF(B345="Year 7",$C$3,$C$4),E345)))</f>
        <v>24</v>
      </c>
      <c r="J345" s="15" t="s">
        <v>13</v>
      </c>
      <c r="K345" s="14" t="n">
        <v>3</v>
      </c>
      <c r="L345" s="14" t="n">
        <f aca="false">IF(OR(K345="",O345&lt;&gt;"",I345=""),"",ROUNDUP(I345*K345,0))</f>
        <v>72</v>
      </c>
      <c r="M345" s="15" t="s">
        <v>1162</v>
      </c>
      <c r="N345" s="14"/>
      <c r="O345" s="15"/>
      <c r="P345" s="15" t="s">
        <v>45</v>
      </c>
      <c r="Q345" s="13" t="s">
        <v>1160</v>
      </c>
      <c r="R345" s="14"/>
    </row>
    <row r="346" customFormat="false" ht="68.65" hidden="false" customHeight="false" outlineLevel="0" collapsed="false">
      <c r="A346" s="14" t="n">
        <v>6</v>
      </c>
      <c r="B346" s="15" t="s">
        <v>39</v>
      </c>
      <c r="C346" s="15" t="s">
        <v>40</v>
      </c>
      <c r="D346" s="15" t="s">
        <v>1163</v>
      </c>
      <c r="E346" s="14" t="n">
        <v>8</v>
      </c>
      <c r="F346" s="15" t="s">
        <v>1164</v>
      </c>
      <c r="G346" s="14" t="s">
        <v>66</v>
      </c>
      <c r="H346" s="14" t="s">
        <v>964</v>
      </c>
      <c r="I346" s="14" t="n">
        <f aca="false">IF(E346="","",IF(OR(AND(H346="Plan A",$C$5="B"),AND(H346="Plan B",$C$5="A")),0,IF(OR(G346="per student",G346="per group",G346="per class"),E346*IF(B346="Year 7",$C$3,$C$4),E346)))</f>
        <v>8</v>
      </c>
      <c r="J346" s="15" t="s">
        <v>13</v>
      </c>
      <c r="K346" s="14" t="n">
        <v>3</v>
      </c>
      <c r="L346" s="14" t="n">
        <f aca="false">IF(OR(K346="",O346&lt;&gt;"",I346=""),"",ROUNDUP(I346*K346,0))</f>
        <v>24</v>
      </c>
      <c r="M346" s="15" t="s">
        <v>1165</v>
      </c>
      <c r="N346" s="14"/>
      <c r="O346" s="15"/>
      <c r="P346" s="13" t="s">
        <v>91</v>
      </c>
      <c r="Q346" s="13" t="s">
        <v>1166</v>
      </c>
      <c r="R346" s="14"/>
    </row>
    <row r="347" customFormat="false" ht="68.65" hidden="false" customHeight="false" outlineLevel="0" collapsed="false">
      <c r="A347" s="14" t="n">
        <v>6</v>
      </c>
      <c r="B347" s="15" t="s">
        <v>39</v>
      </c>
      <c r="C347" s="15" t="s">
        <v>40</v>
      </c>
      <c r="D347" s="15" t="s">
        <v>1167</v>
      </c>
      <c r="E347" s="14" t="n">
        <v>8</v>
      </c>
      <c r="F347" s="15" t="s">
        <v>1164</v>
      </c>
      <c r="G347" s="14" t="s">
        <v>66</v>
      </c>
      <c r="H347" s="14" t="s">
        <v>956</v>
      </c>
      <c r="I347" s="14" t="n">
        <f aca="false">IF(E347="","",IF(OR(AND(H347="Plan A",$C$5="B"),AND(H347="Plan B",$C$5="A")),0,IF(OR(G347="per student",G347="per group",G347="per class"),E347*IF(B347="Year 7",$C$3,$C$4),E347)))</f>
        <v>8</v>
      </c>
      <c r="J347" s="15" t="s">
        <v>13</v>
      </c>
      <c r="K347" s="14" t="n">
        <v>3</v>
      </c>
      <c r="L347" s="14" t="n">
        <f aca="false">IF(OR(K347="",O347&lt;&gt;"",I347=""),"",ROUNDUP(I347*K347,0))</f>
        <v>24</v>
      </c>
      <c r="M347" s="15" t="s">
        <v>1165</v>
      </c>
      <c r="N347" s="14"/>
      <c r="O347" s="15"/>
      <c r="P347" s="13" t="s">
        <v>91</v>
      </c>
      <c r="Q347" s="13" t="s">
        <v>1166</v>
      </c>
      <c r="R347" s="14"/>
    </row>
    <row r="348" customFormat="false" ht="35.05" hidden="false" customHeight="false" outlineLevel="0" collapsed="false">
      <c r="A348" s="14" t="n">
        <v>6</v>
      </c>
      <c r="B348" s="15" t="s">
        <v>39</v>
      </c>
      <c r="C348" s="15" t="s">
        <v>40</v>
      </c>
      <c r="D348" s="15" t="s">
        <v>1168</v>
      </c>
      <c r="E348" s="14" t="n">
        <v>1</v>
      </c>
      <c r="F348" s="15" t="s">
        <v>1169</v>
      </c>
      <c r="G348" s="14" t="s">
        <v>75</v>
      </c>
      <c r="H348" s="14"/>
      <c r="I348" s="14" t="n">
        <f aca="false">IF(E348="","",IF(OR(AND(H348="Plan A",$C$5="B"),AND(H348="Plan B",$C$5="A")),0,IF(OR(G348="per student",G348="per group",G348="per class"),E348*IF(B348="Year 7",$C$3,$C$4),E348)))</f>
        <v>1</v>
      </c>
      <c r="J348" s="15" t="s">
        <v>18</v>
      </c>
      <c r="K348" s="14" t="n">
        <v>1</v>
      </c>
      <c r="L348" s="14" t="n">
        <f aca="false">IF(OR(K348="",O348&lt;&gt;"",I348=""),"",ROUNDUP(I348*K348,0))</f>
        <v>1</v>
      </c>
      <c r="M348" s="15" t="s">
        <v>1170</v>
      </c>
      <c r="N348" s="14"/>
      <c r="O348" s="15"/>
      <c r="P348" s="15" t="s">
        <v>77</v>
      </c>
      <c r="Q348" s="13" t="s">
        <v>1171</v>
      </c>
      <c r="R348" s="14"/>
    </row>
    <row r="349" customFormat="false" ht="46.25" hidden="false" customHeight="false" outlineLevel="0" collapsed="false">
      <c r="A349" s="14" t="n">
        <v>6</v>
      </c>
      <c r="B349" s="15" t="s">
        <v>39</v>
      </c>
      <c r="C349" s="15" t="s">
        <v>40</v>
      </c>
      <c r="D349" s="15" t="s">
        <v>1172</v>
      </c>
      <c r="E349" s="14" t="n">
        <v>1</v>
      </c>
      <c r="F349" s="15" t="s">
        <v>902</v>
      </c>
      <c r="G349" s="14" t="s">
        <v>57</v>
      </c>
      <c r="H349" s="14" t="s">
        <v>964</v>
      </c>
      <c r="I349" s="14" t="n">
        <f aca="false">IF(E349="","",IF(OR(AND(H349="Plan A",$C$5="B"),AND(H349="Plan B",$C$5="A")),0,IF(OR(G349="per student",G349="per group",G349="per class"),E349*IF(B349="Year 7",$C$3,$C$4),E349)))</f>
        <v>1</v>
      </c>
      <c r="J349" s="15" t="s">
        <v>20</v>
      </c>
      <c r="K349" s="14" t="n">
        <v>1</v>
      </c>
      <c r="L349" s="14" t="n">
        <f aca="false">IF(OR(K349="",O349&lt;&gt;"",I349=""),"",ROUNDUP(I349*K349,0))</f>
        <v>1</v>
      </c>
      <c r="M349" s="15" t="s">
        <v>1173</v>
      </c>
      <c r="N349" s="14"/>
      <c r="O349" s="15"/>
      <c r="P349" s="15" t="s">
        <v>45</v>
      </c>
      <c r="Q349" s="13" t="s">
        <v>1174</v>
      </c>
      <c r="R349" s="14"/>
    </row>
    <row r="350" customFormat="false" ht="46.25" hidden="false" customHeight="false" outlineLevel="0" collapsed="false">
      <c r="A350" s="14" t="n">
        <v>6</v>
      </c>
      <c r="B350" s="15" t="s">
        <v>39</v>
      </c>
      <c r="C350" s="15" t="s">
        <v>40</v>
      </c>
      <c r="D350" s="15" t="s">
        <v>1175</v>
      </c>
      <c r="E350" s="14" t="n">
        <v>1</v>
      </c>
      <c r="F350" s="15" t="s">
        <v>902</v>
      </c>
      <c r="G350" s="14" t="s">
        <v>57</v>
      </c>
      <c r="H350" s="14" t="s">
        <v>956</v>
      </c>
      <c r="I350" s="14" t="n">
        <f aca="false">IF(E350="","",IF(OR(AND(H350="Plan A",$C$5="B"),AND(H350="Plan B",$C$5="A")),0,IF(OR(G350="per student",G350="per group",G350="per class"),E350*IF(B350="Year 7",$C$3,$C$4),E350)))</f>
        <v>1</v>
      </c>
      <c r="J350" s="15" t="s">
        <v>20</v>
      </c>
      <c r="K350" s="14" t="n">
        <v>1</v>
      </c>
      <c r="L350" s="14" t="n">
        <f aca="false">IF(OR(K350="",O350&lt;&gt;"",I350=""),"",ROUNDUP(I350*K350,0))</f>
        <v>1</v>
      </c>
      <c r="M350" s="15" t="s">
        <v>1176</v>
      </c>
      <c r="N350" s="14"/>
      <c r="O350" s="15"/>
      <c r="P350" s="15" t="s">
        <v>45</v>
      </c>
      <c r="Q350" s="13" t="s">
        <v>1174</v>
      </c>
      <c r="R350" s="14"/>
    </row>
    <row r="351" customFormat="false" ht="23.85" hidden="false" customHeight="false" outlineLevel="0" collapsed="false">
      <c r="A351" s="14" t="n">
        <v>6</v>
      </c>
      <c r="B351" s="15" t="s">
        <v>39</v>
      </c>
      <c r="C351" s="15" t="s">
        <v>97</v>
      </c>
      <c r="D351" s="15" t="s">
        <v>1177</v>
      </c>
      <c r="E351" s="14" t="n">
        <v>1</v>
      </c>
      <c r="F351" s="15" t="s">
        <v>1178</v>
      </c>
      <c r="G351" s="14" t="s">
        <v>75</v>
      </c>
      <c r="H351" s="14"/>
      <c r="I351" s="14" t="n">
        <f aca="false">IF(E351="","",IF(OR(AND(H351="Plan A",$C$5="B"),AND(H351="Plan B",$C$5="A")),0,IF(OR(G351="per student",G351="per group",G351="per class"),E351*IF(B351="Year 7",$C$3,$C$4),E351)))</f>
        <v>1</v>
      </c>
      <c r="J351" s="15"/>
      <c r="K351" s="14"/>
      <c r="L351" s="14" t="str">
        <f aca="false">IF(OR(K351="",O351&lt;&gt;"",I351=""),"",ROUNDUP(I351*K351,0))</f>
        <v/>
      </c>
      <c r="M351" s="15" t="s">
        <v>1179</v>
      </c>
      <c r="N351" s="14"/>
      <c r="O351" s="15"/>
      <c r="P351" s="15" t="s">
        <v>77</v>
      </c>
      <c r="Q351" s="15"/>
      <c r="R351" s="14"/>
    </row>
    <row r="352" customFormat="false" ht="23.85" hidden="false" customHeight="false" outlineLevel="0" collapsed="false">
      <c r="A352" s="14" t="n">
        <v>6</v>
      </c>
      <c r="B352" s="15" t="s">
        <v>39</v>
      </c>
      <c r="C352" s="15" t="s">
        <v>97</v>
      </c>
      <c r="D352" s="15" t="s">
        <v>1180</v>
      </c>
      <c r="E352" s="14" t="n">
        <v>6</v>
      </c>
      <c r="F352" s="15" t="s">
        <v>246</v>
      </c>
      <c r="G352" s="14" t="s">
        <v>66</v>
      </c>
      <c r="H352" s="14"/>
      <c r="I352" s="14" t="n">
        <f aca="false">IF(E352="","",IF(OR(AND(H352="Plan A",$C$5="B"),AND(H352="Plan B",$C$5="A")),0,IF(OR(G352="per student",G352="per group",G352="per class"),E352*IF(B352="Year 7",$C$3,$C$4),E352)))</f>
        <v>6</v>
      </c>
      <c r="J352" s="15"/>
      <c r="K352" s="14"/>
      <c r="L352" s="14" t="str">
        <f aca="false">IF(OR(K352="",O352&lt;&gt;"",I352=""),"",ROUNDUP(I352*K352,0))</f>
        <v/>
      </c>
      <c r="M352" s="15" t="s">
        <v>1181</v>
      </c>
      <c r="N352" s="14"/>
      <c r="O352" s="15"/>
      <c r="P352" s="15" t="s">
        <v>77</v>
      </c>
      <c r="Q352" s="13" t="s">
        <v>1182</v>
      </c>
      <c r="R352" s="14"/>
    </row>
    <row r="353" customFormat="false" ht="46.25" hidden="false" customHeight="false" outlineLevel="0" collapsed="false">
      <c r="A353" s="14" t="n">
        <v>6</v>
      </c>
      <c r="B353" s="15" t="s">
        <v>39</v>
      </c>
      <c r="C353" s="15" t="s">
        <v>97</v>
      </c>
      <c r="D353" s="15" t="s">
        <v>360</v>
      </c>
      <c r="E353" s="14" t="n">
        <v>1</v>
      </c>
      <c r="F353" s="15" t="s">
        <v>361</v>
      </c>
      <c r="G353" s="14" t="s">
        <v>57</v>
      </c>
      <c r="H353" s="14"/>
      <c r="I353" s="14" t="n">
        <f aca="false">IF(E353="","",IF(OR(AND(H353="Plan A",$C$5="B"),AND(H353="Plan B",$C$5="A")),0,IF(OR(G353="per student",G353="per group",G353="per class"),E353*IF(B353="Year 7",$C$3,$C$4),E353)))</f>
        <v>1</v>
      </c>
      <c r="J353" s="15"/>
      <c r="K353" s="14"/>
      <c r="L353" s="14" t="str">
        <f aca="false">IF(OR(K353="",O353&lt;&gt;"",I353=""),"",ROUNDUP(I353*K353,0))</f>
        <v/>
      </c>
      <c r="M353" s="15" t="s">
        <v>1183</v>
      </c>
      <c r="N353" s="14"/>
      <c r="O353" s="15" t="s">
        <v>1184</v>
      </c>
      <c r="P353" s="13" t="s">
        <v>91</v>
      </c>
      <c r="Q353" s="13" t="s">
        <v>1185</v>
      </c>
      <c r="R353" s="14"/>
    </row>
    <row r="354" customFormat="false" ht="23.85" hidden="false" customHeight="false" outlineLevel="0" collapsed="false">
      <c r="A354" s="14" t="n">
        <v>6</v>
      </c>
      <c r="B354" s="15" t="s">
        <v>39</v>
      </c>
      <c r="C354" s="15" t="s">
        <v>97</v>
      </c>
      <c r="D354" s="15" t="s">
        <v>120</v>
      </c>
      <c r="E354" s="14" t="n">
        <v>24</v>
      </c>
      <c r="F354" s="15" t="s">
        <v>248</v>
      </c>
      <c r="G354" s="14" t="s">
        <v>43</v>
      </c>
      <c r="H354" s="14"/>
      <c r="I354" s="14" t="n">
        <f aca="false">IF(E354="","",IF(OR(AND(H354="Plan A",$C$5="B"),AND(H354="Plan B",$C$5="A")),0,IF(OR(G354="per student",G354="per group",G354="per class"),E354*IF(B354="Year 7",$C$3,$C$4),E354)))</f>
        <v>24</v>
      </c>
      <c r="J354" s="15"/>
      <c r="K354" s="14"/>
      <c r="L354" s="14" t="str">
        <f aca="false">IF(OR(K354="",O354&lt;&gt;"",I354=""),"",ROUNDUP(I354*K354,0))</f>
        <v/>
      </c>
      <c r="M354" s="15" t="s">
        <v>1186</v>
      </c>
      <c r="N354" s="14"/>
      <c r="O354" s="15" t="s">
        <v>365</v>
      </c>
      <c r="P354" s="15" t="s">
        <v>376</v>
      </c>
      <c r="Q354" s="13" t="s">
        <v>1187</v>
      </c>
      <c r="R354" s="14"/>
    </row>
    <row r="355" customFormat="false" ht="23.85" hidden="false" customHeight="false" outlineLevel="0" collapsed="false">
      <c r="A355" s="14" t="n">
        <v>6</v>
      </c>
      <c r="B355" s="15" t="s">
        <v>39</v>
      </c>
      <c r="C355" s="15" t="s">
        <v>97</v>
      </c>
      <c r="D355" s="15" t="s">
        <v>367</v>
      </c>
      <c r="E355" s="14" t="n">
        <v>24</v>
      </c>
      <c r="F355" s="15" t="s">
        <v>368</v>
      </c>
      <c r="G355" s="14" t="s">
        <v>43</v>
      </c>
      <c r="H355" s="14"/>
      <c r="I355" s="14" t="n">
        <f aca="false">IF(E355="","",IF(OR(AND(H355="Plan A",$C$5="B"),AND(H355="Plan B",$C$5="A")),0,IF(OR(G355="per student",G355="per group",G355="per class"),E355*IF(B355="Year 7",$C$3,$C$4),E355)))</f>
        <v>24</v>
      </c>
      <c r="J355" s="15"/>
      <c r="K355" s="14"/>
      <c r="L355" s="14" t="str">
        <f aca="false">IF(OR(K355="",O355&lt;&gt;"",I355=""),"",ROUNDUP(I355*K355,0))</f>
        <v/>
      </c>
      <c r="M355" s="15" t="s">
        <v>1188</v>
      </c>
      <c r="N355" s="14"/>
      <c r="O355" s="15" t="s">
        <v>370</v>
      </c>
      <c r="P355" s="15" t="s">
        <v>376</v>
      </c>
      <c r="Q355" s="15"/>
      <c r="R355" s="14"/>
    </row>
    <row r="356" customFormat="false" ht="57.45" hidden="false" customHeight="false" outlineLevel="0" collapsed="false">
      <c r="A356" s="14" t="n">
        <v>6</v>
      </c>
      <c r="B356" s="15" t="s">
        <v>39</v>
      </c>
      <c r="C356" s="15" t="s">
        <v>97</v>
      </c>
      <c r="D356" s="15" t="s">
        <v>1189</v>
      </c>
      <c r="E356" s="14" t="n">
        <v>6</v>
      </c>
      <c r="F356" s="15" t="s">
        <v>373</v>
      </c>
      <c r="G356" s="14" t="s">
        <v>66</v>
      </c>
      <c r="H356" s="14"/>
      <c r="I356" s="14" t="n">
        <f aca="false">IF(E356="","",IF(OR(AND(H356="Plan A",$C$5="B"),AND(H356="Plan B",$C$5="A")),0,IF(OR(G356="per student",G356="per group",G356="per class"),E356*IF(B356="Year 7",$C$3,$C$4),E356)))</f>
        <v>6</v>
      </c>
      <c r="J356" s="15"/>
      <c r="K356" s="14"/>
      <c r="L356" s="14" t="str">
        <f aca="false">IF(OR(K356="",O356&lt;&gt;"",I356=""),"",ROUNDUP(I356*K356,0))</f>
        <v/>
      </c>
      <c r="M356" s="15" t="s">
        <v>1190</v>
      </c>
      <c r="N356" s="14"/>
      <c r="O356" s="15" t="s">
        <v>481</v>
      </c>
      <c r="P356" s="15" t="s">
        <v>376</v>
      </c>
      <c r="Q356" s="13" t="s">
        <v>1191</v>
      </c>
      <c r="R356" s="14"/>
    </row>
    <row r="357" customFormat="false" ht="35.05" hidden="false" customHeight="false" outlineLevel="0" collapsed="false">
      <c r="A357" s="14" t="n">
        <v>6</v>
      </c>
      <c r="B357" s="15" t="s">
        <v>39</v>
      </c>
      <c r="C357" s="15" t="s">
        <v>97</v>
      </c>
      <c r="D357" s="15" t="s">
        <v>729</v>
      </c>
      <c r="E357" s="14" t="n">
        <v>6</v>
      </c>
      <c r="F357" s="15" t="s">
        <v>373</v>
      </c>
      <c r="G357" s="14" t="s">
        <v>66</v>
      </c>
      <c r="H357" s="14"/>
      <c r="I357" s="14" t="n">
        <f aca="false">IF(E357="","",IF(OR(AND(H357="Plan A",$C$5="B"),AND(H357="Plan B",$C$5="A")),0,IF(OR(G357="per student",G357="per group",G357="per class"),E357*IF(B357="Year 7",$C$3,$C$4),E357)))</f>
        <v>6</v>
      </c>
      <c r="J357" s="15"/>
      <c r="K357" s="14"/>
      <c r="L357" s="14" t="str">
        <f aca="false">IF(OR(K357="",O357&lt;&gt;"",I357=""),"",ROUNDUP(I357*K357,0))</f>
        <v/>
      </c>
      <c r="M357" s="15" t="s">
        <v>1192</v>
      </c>
      <c r="N357" s="14"/>
      <c r="O357" s="15" t="s">
        <v>484</v>
      </c>
      <c r="P357" s="15" t="s">
        <v>376</v>
      </c>
      <c r="Q357" s="15"/>
      <c r="R357" s="14"/>
    </row>
    <row r="358" customFormat="false" ht="46.25" hidden="false" customHeight="false" outlineLevel="0" collapsed="false">
      <c r="A358" s="14" t="n">
        <v>6</v>
      </c>
      <c r="B358" s="15" t="s">
        <v>39</v>
      </c>
      <c r="C358" s="15" t="s">
        <v>97</v>
      </c>
      <c r="D358" s="15" t="s">
        <v>1193</v>
      </c>
      <c r="E358" s="14" t="n">
        <v>24</v>
      </c>
      <c r="F358" s="15" t="s">
        <v>117</v>
      </c>
      <c r="G358" s="14" t="s">
        <v>43</v>
      </c>
      <c r="H358" s="14"/>
      <c r="I358" s="14" t="n">
        <f aca="false">IF(E358="","",IF(OR(AND(H358="Plan A",$C$5="B"),AND(H358="Plan B",$C$5="A")),0,IF(OR(G358="per student",G358="per group",G358="per class"),E358*IF(B358="Year 7",$C$3,$C$4),E358)))</f>
        <v>24</v>
      </c>
      <c r="J358" s="15"/>
      <c r="K358" s="14"/>
      <c r="L358" s="14" t="str">
        <f aca="false">IF(OR(K358="",O358&lt;&gt;"",I358=""),"",ROUNDUP(I358*K358,0))</f>
        <v/>
      </c>
      <c r="M358" s="15" t="s">
        <v>1194</v>
      </c>
      <c r="N358" s="14"/>
      <c r="O358" s="15" t="s">
        <v>1195</v>
      </c>
      <c r="P358" s="15" t="s">
        <v>376</v>
      </c>
      <c r="Q358" s="13" t="s">
        <v>1196</v>
      </c>
      <c r="R358" s="14"/>
    </row>
    <row r="359" customFormat="false" ht="23.85" hidden="false" customHeight="false" outlineLevel="0" collapsed="false">
      <c r="A359" s="14" t="n">
        <v>6</v>
      </c>
      <c r="B359" s="15" t="s">
        <v>39</v>
      </c>
      <c r="C359" s="15" t="s">
        <v>97</v>
      </c>
      <c r="D359" s="15" t="s">
        <v>386</v>
      </c>
      <c r="E359" s="14" t="n">
        <v>24</v>
      </c>
      <c r="F359" s="15" t="s">
        <v>368</v>
      </c>
      <c r="G359" s="14" t="s">
        <v>43</v>
      </c>
      <c r="H359" s="14"/>
      <c r="I359" s="14" t="n">
        <f aca="false">IF(E359="","",IF(OR(AND(H359="Plan A",$C$5="B"),AND(H359="Plan B",$C$5="A")),0,IF(OR(G359="per student",G359="per group",G359="per class"),E359*IF(B359="Year 7",$C$3,$C$4),E359)))</f>
        <v>24</v>
      </c>
      <c r="J359" s="15"/>
      <c r="K359" s="14"/>
      <c r="L359" s="14" t="str">
        <f aca="false">IF(OR(K359="",O359&lt;&gt;"",I359=""),"",ROUNDUP(I359*K359,0))</f>
        <v/>
      </c>
      <c r="M359" s="15" t="s">
        <v>646</v>
      </c>
      <c r="N359" s="14"/>
      <c r="O359" s="15" t="s">
        <v>388</v>
      </c>
      <c r="P359" s="15" t="s">
        <v>376</v>
      </c>
      <c r="Q359" s="13" t="s">
        <v>1197</v>
      </c>
      <c r="R359" s="14"/>
    </row>
    <row r="360" customFormat="false" ht="15" hidden="false" customHeight="false" outlineLevel="0" collapsed="false">
      <c r="A360" s="14" t="n">
        <v>6</v>
      </c>
      <c r="B360" s="15" t="s">
        <v>39</v>
      </c>
      <c r="C360" s="15" t="s">
        <v>124</v>
      </c>
      <c r="D360" s="15" t="s">
        <v>125</v>
      </c>
      <c r="E360" s="14" t="n">
        <v>1</v>
      </c>
      <c r="F360" s="15" t="s">
        <v>267</v>
      </c>
      <c r="G360" s="14" t="s">
        <v>127</v>
      </c>
      <c r="H360" s="14"/>
      <c r="I360" s="14" t="n">
        <f aca="false">IF(E360="","",IF(OR(AND(H360="Plan A",$C$5="B"),AND(H360="Plan B",$C$5="A")),0,IF(OR(G360="per student",G360="per group",G360="per class"),E360*IF(B360="Year 7",$C$3,$C$4),E360)))</f>
        <v>1</v>
      </c>
      <c r="J360" s="15"/>
      <c r="K360" s="14"/>
      <c r="L360" s="14" t="str">
        <f aca="false">IF(OR(K360="",O360&lt;&gt;"",I360=""),"",ROUNDUP(I360*K360,0))</f>
        <v/>
      </c>
      <c r="M360" s="15" t="s">
        <v>1198</v>
      </c>
      <c r="N360" s="14"/>
      <c r="O360" s="15" t="s">
        <v>391</v>
      </c>
      <c r="P360" s="15" t="s">
        <v>376</v>
      </c>
      <c r="Q360" s="15"/>
      <c r="R360" s="14"/>
    </row>
    <row r="361" customFormat="false" ht="35.05" hidden="false" customHeight="false" outlineLevel="0" collapsed="false">
      <c r="A361" s="14" t="n">
        <v>6</v>
      </c>
      <c r="B361" s="15" t="s">
        <v>39</v>
      </c>
      <c r="C361" s="15" t="s">
        <v>124</v>
      </c>
      <c r="D361" s="15" t="s">
        <v>1199</v>
      </c>
      <c r="E361" s="14"/>
      <c r="F361" s="15" t="s">
        <v>280</v>
      </c>
      <c r="G361" s="14" t="s">
        <v>57</v>
      </c>
      <c r="H361" s="14"/>
      <c r="I361" s="14" t="str">
        <f aca="false">IF(E361="","",IF(OR(AND(H361="Plan A",$C$5="B"),AND(H361="Plan B",$C$5="A")),0,IF(OR(G361="per student",G361="per group",G361="per class"),E361*IF(B361="Year 7",$C$3,$C$4),E361)))</f>
        <v/>
      </c>
      <c r="J361" s="15"/>
      <c r="K361" s="14"/>
      <c r="L361" s="14" t="str">
        <f aca="false">IF(OR(K361="",O361&lt;&gt;"",I361=""),"",ROUNDUP(I361*K361,0))</f>
        <v/>
      </c>
      <c r="M361" s="15" t="s">
        <v>1200</v>
      </c>
      <c r="N361" s="14"/>
      <c r="O361" s="15"/>
      <c r="P361" s="15" t="s">
        <v>138</v>
      </c>
      <c r="Q361" s="13" t="s">
        <v>1201</v>
      </c>
      <c r="R361" s="14"/>
    </row>
    <row r="362" customFormat="false" ht="35.05" hidden="false" customHeight="false" outlineLevel="0" collapsed="false">
      <c r="A362" s="14" t="n">
        <v>6</v>
      </c>
      <c r="B362" s="15" t="s">
        <v>39</v>
      </c>
      <c r="C362" s="15" t="s">
        <v>124</v>
      </c>
      <c r="D362" s="15" t="s">
        <v>1202</v>
      </c>
      <c r="E362" s="14" t="n">
        <v>30</v>
      </c>
      <c r="F362" s="15" t="s">
        <v>264</v>
      </c>
      <c r="G362" s="14" t="s">
        <v>66</v>
      </c>
      <c r="H362" s="14" t="s">
        <v>964</v>
      </c>
      <c r="I362" s="14" t="n">
        <f aca="false">IF(E362="","",IF(OR(AND(H362="Plan A",$C$5="B"),AND(H362="Plan B",$C$5="A")),0,IF(OR(G362="per student",G362="per group",G362="per class"),E362*IF(B362="Year 7",$C$3,$C$4),E362)))</f>
        <v>30</v>
      </c>
      <c r="J362" s="15"/>
      <c r="K362" s="14"/>
      <c r="L362" s="14" t="str">
        <f aca="false">IF(OR(K362="",O362&lt;&gt;"",I362=""),"",ROUNDUP(I362*K362,0))</f>
        <v/>
      </c>
      <c r="M362" s="15" t="s">
        <v>1203</v>
      </c>
      <c r="N362" s="14"/>
      <c r="O362" s="15"/>
      <c r="P362" s="15" t="s">
        <v>77</v>
      </c>
      <c r="Q362" s="13" t="s">
        <v>1204</v>
      </c>
      <c r="R362" s="14"/>
    </row>
    <row r="363" customFormat="false" ht="35.05" hidden="false" customHeight="false" outlineLevel="0" collapsed="false">
      <c r="A363" s="14" t="n">
        <v>6</v>
      </c>
      <c r="B363" s="15" t="s">
        <v>39</v>
      </c>
      <c r="C363" s="15" t="s">
        <v>124</v>
      </c>
      <c r="D363" s="15" t="s">
        <v>1205</v>
      </c>
      <c r="E363" s="14" t="n">
        <v>25</v>
      </c>
      <c r="F363" s="15" t="s">
        <v>264</v>
      </c>
      <c r="G363" s="14" t="s">
        <v>66</v>
      </c>
      <c r="H363" s="14" t="s">
        <v>956</v>
      </c>
      <c r="I363" s="14" t="n">
        <f aca="false">IF(E363="","",IF(OR(AND(H363="Plan A",$C$5="B"),AND(H363="Plan B",$C$5="A")),0,IF(OR(G363="per student",G363="per group",G363="per class"),E363*IF(B363="Year 7",$C$3,$C$4),E363)))</f>
        <v>25</v>
      </c>
      <c r="J363" s="15"/>
      <c r="K363" s="14"/>
      <c r="L363" s="14" t="str">
        <f aca="false">IF(OR(K363="",O363&lt;&gt;"",I363=""),"",ROUNDUP(I363*K363,0))</f>
        <v/>
      </c>
      <c r="M363" s="15" t="s">
        <v>1206</v>
      </c>
      <c r="N363" s="14"/>
      <c r="O363" s="15"/>
      <c r="P363" s="15" t="s">
        <v>77</v>
      </c>
      <c r="Q363" s="13" t="s">
        <v>1207</v>
      </c>
      <c r="R363" s="14"/>
    </row>
    <row r="364" customFormat="false" ht="23.85" hidden="false" customHeight="false" outlineLevel="0" collapsed="false">
      <c r="A364" s="14" t="n">
        <v>6</v>
      </c>
      <c r="B364" s="15" t="s">
        <v>39</v>
      </c>
      <c r="C364" s="15" t="s">
        <v>124</v>
      </c>
      <c r="D364" s="15" t="s">
        <v>495</v>
      </c>
      <c r="E364" s="14" t="n">
        <v>6</v>
      </c>
      <c r="F364" s="15" t="s">
        <v>591</v>
      </c>
      <c r="G364" s="14" t="s">
        <v>66</v>
      </c>
      <c r="H364" s="14"/>
      <c r="I364" s="14" t="n">
        <f aca="false">IF(E364="","",IF(OR(AND(H364="Plan A",$C$5="B"),AND(H364="Plan B",$C$5="A")),0,IF(OR(G364="per student",G364="per group",G364="per class"),E364*IF(B364="Year 7",$C$3,$C$4),E364)))</f>
        <v>6</v>
      </c>
      <c r="J364" s="15"/>
      <c r="K364" s="14"/>
      <c r="L364" s="14" t="str">
        <f aca="false">IF(OR(K364="",O364&lt;&gt;"",I364=""),"",ROUNDUP(I364*K364,0))</f>
        <v/>
      </c>
      <c r="M364" s="15" t="s">
        <v>1208</v>
      </c>
      <c r="N364" s="14"/>
      <c r="O364" s="15"/>
      <c r="P364" s="15" t="s">
        <v>77</v>
      </c>
      <c r="Q364" s="13" t="s">
        <v>1209</v>
      </c>
      <c r="R364" s="14"/>
    </row>
    <row r="365" customFormat="false" ht="23.85" hidden="false" customHeight="false" outlineLevel="0" collapsed="false">
      <c r="A365" s="14" t="n">
        <v>6</v>
      </c>
      <c r="B365" s="15" t="s">
        <v>39</v>
      </c>
      <c r="C365" s="15" t="s">
        <v>124</v>
      </c>
      <c r="D365" s="15" t="s">
        <v>1210</v>
      </c>
      <c r="E365" s="14" t="n">
        <v>30</v>
      </c>
      <c r="F365" s="15" t="s">
        <v>1211</v>
      </c>
      <c r="G365" s="14" t="s">
        <v>66</v>
      </c>
      <c r="H365" s="14" t="s">
        <v>964</v>
      </c>
      <c r="I365" s="14" t="n">
        <f aca="false">IF(E365="","",IF(OR(AND(H365="Plan A",$C$5="B"),AND(H365="Plan B",$C$5="A")),0,IF(OR(G365="per student",G365="per group",G365="per class"),E365*IF(B365="Year 7",$C$3,$C$4),E365)))</f>
        <v>30</v>
      </c>
      <c r="J365" s="15"/>
      <c r="K365" s="14"/>
      <c r="L365" s="14" t="str">
        <f aca="false">IF(OR(K365="",O365&lt;&gt;"",I365=""),"",ROUNDUP(I365*K365,0))</f>
        <v/>
      </c>
      <c r="M365" s="15" t="s">
        <v>1212</v>
      </c>
      <c r="N365" s="14"/>
      <c r="O365" s="15"/>
      <c r="P365" s="13" t="s">
        <v>91</v>
      </c>
      <c r="Q365" s="13" t="s">
        <v>1213</v>
      </c>
      <c r="R365" s="14"/>
    </row>
    <row r="366" customFormat="false" ht="15" hidden="false" customHeight="false" outlineLevel="0" collapsed="false">
      <c r="A366" s="14" t="n">
        <v>6</v>
      </c>
      <c r="B366" s="15" t="s">
        <v>39</v>
      </c>
      <c r="C366" s="15" t="s">
        <v>124</v>
      </c>
      <c r="D366" s="15" t="s">
        <v>1214</v>
      </c>
      <c r="E366" s="14" t="n">
        <v>36</v>
      </c>
      <c r="F366" s="15" t="s">
        <v>1211</v>
      </c>
      <c r="G366" s="14" t="s">
        <v>66</v>
      </c>
      <c r="H366" s="14" t="s">
        <v>956</v>
      </c>
      <c r="I366" s="14" t="n">
        <f aca="false">IF(E366="","",IF(OR(AND(H366="Plan A",$C$5="B"),AND(H366="Plan B",$C$5="A")),0,IF(OR(G366="per student",G366="per group",G366="per class"),E366*IF(B366="Year 7",$C$3,$C$4),E366)))</f>
        <v>36</v>
      </c>
      <c r="J366" s="15"/>
      <c r="K366" s="14"/>
      <c r="L366" s="14" t="str">
        <f aca="false">IF(OR(K366="",O366&lt;&gt;"",I366=""),"",ROUNDUP(I366*K366,0))</f>
        <v/>
      </c>
      <c r="M366" s="15" t="s">
        <v>1215</v>
      </c>
      <c r="N366" s="14"/>
      <c r="O366" s="15"/>
      <c r="P366" s="15" t="s">
        <v>77</v>
      </c>
      <c r="Q366" s="15"/>
      <c r="R366" s="14"/>
    </row>
    <row r="367" customFormat="false" ht="35.05" hidden="false" customHeight="false" outlineLevel="0" collapsed="false">
      <c r="A367" s="14" t="n">
        <v>6</v>
      </c>
      <c r="B367" s="15" t="s">
        <v>39</v>
      </c>
      <c r="C367" s="15" t="s">
        <v>124</v>
      </c>
      <c r="D367" s="15" t="s">
        <v>1216</v>
      </c>
      <c r="E367" s="14" t="n">
        <v>3</v>
      </c>
      <c r="F367" s="15" t="s">
        <v>1217</v>
      </c>
      <c r="G367" s="14" t="s">
        <v>66</v>
      </c>
      <c r="H367" s="14" t="s">
        <v>964</v>
      </c>
      <c r="I367" s="14" t="n">
        <f aca="false">IF(E367="","",IF(OR(AND(H367="Plan A",$C$5="B"),AND(H367="Plan B",$C$5="A")),0,IF(OR(G367="per student",G367="per group",G367="per class"),E367*IF(B367="Year 7",$C$3,$C$4),E367)))</f>
        <v>3</v>
      </c>
      <c r="J367" s="15"/>
      <c r="K367" s="14"/>
      <c r="L367" s="14" t="str">
        <f aca="false">IF(OR(K367="",O367&lt;&gt;"",I367=""),"",ROUNDUP(I367*K367,0))</f>
        <v/>
      </c>
      <c r="M367" s="15" t="s">
        <v>1218</v>
      </c>
      <c r="N367" s="14"/>
      <c r="O367" s="15"/>
      <c r="P367" s="13" t="s">
        <v>91</v>
      </c>
      <c r="Q367" s="13" t="s">
        <v>1219</v>
      </c>
      <c r="R367" s="14"/>
    </row>
    <row r="368" customFormat="false" ht="23.85" hidden="false" customHeight="false" outlineLevel="0" collapsed="false">
      <c r="A368" s="14" t="n">
        <v>6</v>
      </c>
      <c r="B368" s="15" t="s">
        <v>39</v>
      </c>
      <c r="C368" s="15" t="s">
        <v>124</v>
      </c>
      <c r="D368" s="15" t="s">
        <v>1220</v>
      </c>
      <c r="E368" s="14" t="n">
        <v>6</v>
      </c>
      <c r="F368" s="15" t="s">
        <v>1217</v>
      </c>
      <c r="G368" s="14" t="s">
        <v>66</v>
      </c>
      <c r="H368" s="14" t="s">
        <v>964</v>
      </c>
      <c r="I368" s="14" t="n">
        <f aca="false">IF(E368="","",IF(OR(AND(H368="Plan A",$C$5="B"),AND(H368="Plan B",$C$5="A")),0,IF(OR(G368="per student",G368="per group",G368="per class"),E368*IF(B368="Year 7",$C$3,$C$4),E368)))</f>
        <v>6</v>
      </c>
      <c r="J368" s="15"/>
      <c r="K368" s="14"/>
      <c r="L368" s="14" t="str">
        <f aca="false">IF(OR(K368="",O368&lt;&gt;"",I368=""),"",ROUNDUP(I368*K368,0))</f>
        <v/>
      </c>
      <c r="M368" s="15" t="s">
        <v>1221</v>
      </c>
      <c r="N368" s="14"/>
      <c r="O368" s="15"/>
      <c r="P368" s="13" t="s">
        <v>91</v>
      </c>
      <c r="Q368" s="13" t="s">
        <v>1222</v>
      </c>
      <c r="R368" s="14"/>
    </row>
    <row r="369" customFormat="false" ht="23.85" hidden="false" customHeight="false" outlineLevel="0" collapsed="false">
      <c r="A369" s="14" t="n">
        <v>6</v>
      </c>
      <c r="B369" s="15" t="s">
        <v>39</v>
      </c>
      <c r="C369" s="15" t="s">
        <v>124</v>
      </c>
      <c r="D369" s="15" t="s">
        <v>1223</v>
      </c>
      <c r="E369" s="14" t="n">
        <v>3</v>
      </c>
      <c r="F369" s="15" t="s">
        <v>1217</v>
      </c>
      <c r="G369" s="14" t="s">
        <v>66</v>
      </c>
      <c r="H369" s="14" t="s">
        <v>964</v>
      </c>
      <c r="I369" s="14" t="n">
        <f aca="false">IF(E369="","",IF(OR(AND(H369="Plan A",$C$5="B"),AND(H369="Plan B",$C$5="A")),0,IF(OR(G369="per student",G369="per group",G369="per class"),E369*IF(B369="Year 7",$C$3,$C$4),E369)))</f>
        <v>3</v>
      </c>
      <c r="J369" s="15"/>
      <c r="K369" s="14"/>
      <c r="L369" s="14" t="str">
        <f aca="false">IF(OR(K369="",O369&lt;&gt;"",I369=""),"",ROUNDUP(I369*K369,0))</f>
        <v/>
      </c>
      <c r="M369" s="15" t="s">
        <v>1218</v>
      </c>
      <c r="N369" s="14"/>
      <c r="O369" s="15"/>
      <c r="P369" s="13" t="s">
        <v>91</v>
      </c>
      <c r="Q369" s="13" t="s">
        <v>1224</v>
      </c>
      <c r="R369" s="14"/>
    </row>
    <row r="370" customFormat="false" ht="35.05" hidden="false" customHeight="false" outlineLevel="0" collapsed="false">
      <c r="A370" s="14" t="n">
        <v>6</v>
      </c>
      <c r="B370" s="15" t="s">
        <v>39</v>
      </c>
      <c r="C370" s="15" t="s">
        <v>124</v>
      </c>
      <c r="D370" s="15" t="s">
        <v>1225</v>
      </c>
      <c r="E370" s="14" t="n">
        <v>3</v>
      </c>
      <c r="F370" s="15" t="s">
        <v>1217</v>
      </c>
      <c r="G370" s="14" t="s">
        <v>66</v>
      </c>
      <c r="H370" s="14" t="s">
        <v>964</v>
      </c>
      <c r="I370" s="14" t="n">
        <f aca="false">IF(E370="","",IF(OR(AND(H370="Plan A",$C$5="B"),AND(H370="Plan B",$C$5="A")),0,IF(OR(G370="per student",G370="per group",G370="per class"),E370*IF(B370="Year 7",$C$3,$C$4),E370)))</f>
        <v>3</v>
      </c>
      <c r="J370" s="15"/>
      <c r="K370" s="14"/>
      <c r="L370" s="14" t="str">
        <f aca="false">IF(OR(K370="",O370&lt;&gt;"",I370=""),"",ROUNDUP(I370*K370,0))</f>
        <v/>
      </c>
      <c r="M370" s="15" t="s">
        <v>1226</v>
      </c>
      <c r="N370" s="14"/>
      <c r="O370" s="15"/>
      <c r="P370" s="13" t="s">
        <v>91</v>
      </c>
      <c r="Q370" s="13" t="s">
        <v>1227</v>
      </c>
      <c r="R370" s="14"/>
    </row>
    <row r="371" customFormat="false" ht="35.05" hidden="false" customHeight="false" outlineLevel="0" collapsed="false">
      <c r="A371" s="14" t="n">
        <v>6</v>
      </c>
      <c r="B371" s="15" t="s">
        <v>39</v>
      </c>
      <c r="C371" s="15" t="s">
        <v>124</v>
      </c>
      <c r="D371" s="15" t="s">
        <v>1228</v>
      </c>
      <c r="E371" s="14" t="n">
        <v>3</v>
      </c>
      <c r="F371" s="15" t="s">
        <v>1217</v>
      </c>
      <c r="G371" s="14" t="s">
        <v>66</v>
      </c>
      <c r="H371" s="14" t="s">
        <v>964</v>
      </c>
      <c r="I371" s="14" t="n">
        <f aca="false">IF(E371="","",IF(OR(AND(H371="Plan A",$C$5="B"),AND(H371="Plan B",$C$5="A")),0,IF(OR(G371="per student",G371="per group",G371="per class"),E371*IF(B371="Year 7",$C$3,$C$4),E371)))</f>
        <v>3</v>
      </c>
      <c r="J371" s="15"/>
      <c r="K371" s="14"/>
      <c r="L371" s="14" t="str">
        <f aca="false">IF(OR(K371="",O371&lt;&gt;"",I371=""),"",ROUNDUP(I371*K371,0))</f>
        <v/>
      </c>
      <c r="M371" s="15" t="s">
        <v>1226</v>
      </c>
      <c r="N371" s="14"/>
      <c r="O371" s="15"/>
      <c r="P371" s="13" t="s">
        <v>91</v>
      </c>
      <c r="Q371" s="13" t="s">
        <v>1229</v>
      </c>
      <c r="R371" s="14"/>
    </row>
    <row r="372" customFormat="false" ht="23.85" hidden="false" customHeight="false" outlineLevel="0" collapsed="false">
      <c r="A372" s="14" t="n">
        <v>6</v>
      </c>
      <c r="B372" s="15" t="s">
        <v>39</v>
      </c>
      <c r="C372" s="15" t="s">
        <v>124</v>
      </c>
      <c r="D372" s="15" t="s">
        <v>1230</v>
      </c>
      <c r="E372" s="14" t="n">
        <v>6</v>
      </c>
      <c r="F372" s="15" t="s">
        <v>1231</v>
      </c>
      <c r="G372" s="14" t="s">
        <v>66</v>
      </c>
      <c r="H372" s="14" t="s">
        <v>956</v>
      </c>
      <c r="I372" s="14" t="n">
        <f aca="false">IF(E372="","",IF(OR(AND(H372="Plan A",$C$5="B"),AND(H372="Plan B",$C$5="A")),0,IF(OR(G372="per student",G372="per group",G372="per class"),E372*IF(B372="Year 7",$C$3,$C$4),E372)))</f>
        <v>6</v>
      </c>
      <c r="J372" s="15"/>
      <c r="K372" s="14"/>
      <c r="L372" s="14" t="str">
        <f aca="false">IF(OR(K372="",O372&lt;&gt;"",I372=""),"",ROUNDUP(I372*K372,0))</f>
        <v/>
      </c>
      <c r="M372" s="15" t="s">
        <v>1232</v>
      </c>
      <c r="N372" s="14"/>
      <c r="O372" s="15"/>
      <c r="P372" s="15" t="s">
        <v>77</v>
      </c>
      <c r="Q372" s="13" t="s">
        <v>1233</v>
      </c>
      <c r="R372" s="14"/>
    </row>
    <row r="373" customFormat="false" ht="23.85" hidden="false" customHeight="false" outlineLevel="0" collapsed="false">
      <c r="A373" s="14" t="n">
        <v>6</v>
      </c>
      <c r="B373" s="15" t="s">
        <v>39</v>
      </c>
      <c r="C373" s="15" t="s">
        <v>124</v>
      </c>
      <c r="D373" s="15" t="s">
        <v>1234</v>
      </c>
      <c r="E373" s="14" t="n">
        <v>12</v>
      </c>
      <c r="F373" s="15" t="s">
        <v>1235</v>
      </c>
      <c r="G373" s="14" t="s">
        <v>66</v>
      </c>
      <c r="H373" s="14" t="s">
        <v>956</v>
      </c>
      <c r="I373" s="14" t="n">
        <f aca="false">IF(E373="","",IF(OR(AND(H373="Plan A",$C$5="B"),AND(H373="Plan B",$C$5="A")),0,IF(OR(G373="per student",G373="per group",G373="per class"),E373*IF(B373="Year 7",$C$3,$C$4),E373)))</f>
        <v>12</v>
      </c>
      <c r="J373" s="15"/>
      <c r="K373" s="14"/>
      <c r="L373" s="14" t="str">
        <f aca="false">IF(OR(K373="",O373&lt;&gt;"",I373=""),"",ROUNDUP(I373*K373,0))</f>
        <v/>
      </c>
      <c r="M373" s="15" t="s">
        <v>1236</v>
      </c>
      <c r="N373" s="14"/>
      <c r="O373" s="15"/>
      <c r="P373" s="15" t="s">
        <v>77</v>
      </c>
      <c r="Q373" s="13" t="s">
        <v>1237</v>
      </c>
      <c r="R373" s="14"/>
    </row>
    <row r="374" customFormat="false" ht="23.85" hidden="false" customHeight="false" outlineLevel="0" collapsed="false">
      <c r="A374" s="14" t="n">
        <v>6</v>
      </c>
      <c r="B374" s="15" t="s">
        <v>39</v>
      </c>
      <c r="C374" s="15" t="s">
        <v>124</v>
      </c>
      <c r="D374" s="15" t="s">
        <v>1238</v>
      </c>
      <c r="E374" s="14" t="n">
        <v>6</v>
      </c>
      <c r="F374" s="15" t="s">
        <v>1231</v>
      </c>
      <c r="G374" s="14" t="s">
        <v>66</v>
      </c>
      <c r="H374" s="14" t="s">
        <v>956</v>
      </c>
      <c r="I374" s="14" t="n">
        <f aca="false">IF(E374="","",IF(OR(AND(H374="Plan A",$C$5="B"),AND(H374="Plan B",$C$5="A")),0,IF(OR(G374="per student",G374="per group",G374="per class"),E374*IF(B374="Year 7",$C$3,$C$4),E374)))</f>
        <v>6</v>
      </c>
      <c r="J374" s="15"/>
      <c r="K374" s="14"/>
      <c r="L374" s="14" t="str">
        <f aca="false">IF(OR(K374="",O374&lt;&gt;"",I374=""),"",ROUNDUP(I374*K374,0))</f>
        <v/>
      </c>
      <c r="M374" s="15" t="s">
        <v>1232</v>
      </c>
      <c r="N374" s="14"/>
      <c r="O374" s="15"/>
      <c r="P374" s="15" t="s">
        <v>77</v>
      </c>
      <c r="Q374" s="13" t="s">
        <v>1239</v>
      </c>
      <c r="R374" s="14"/>
    </row>
    <row r="375" customFormat="false" ht="23.85" hidden="false" customHeight="false" outlineLevel="0" collapsed="false">
      <c r="A375" s="14" t="n">
        <v>6</v>
      </c>
      <c r="B375" s="15" t="s">
        <v>39</v>
      </c>
      <c r="C375" s="15" t="s">
        <v>124</v>
      </c>
      <c r="D375" s="15" t="s">
        <v>1240</v>
      </c>
      <c r="E375" s="14" t="n">
        <v>6</v>
      </c>
      <c r="F375" s="15" t="s">
        <v>1231</v>
      </c>
      <c r="G375" s="14" t="s">
        <v>66</v>
      </c>
      <c r="H375" s="14" t="s">
        <v>956</v>
      </c>
      <c r="I375" s="14" t="n">
        <f aca="false">IF(E375="","",IF(OR(AND(H375="Plan A",$C$5="B"),AND(H375="Plan B",$C$5="A")),0,IF(OR(G375="per student",G375="per group",G375="per class"),E375*IF(B375="Year 7",$C$3,$C$4),E375)))</f>
        <v>6</v>
      </c>
      <c r="J375" s="15"/>
      <c r="K375" s="14"/>
      <c r="L375" s="14" t="str">
        <f aca="false">IF(OR(K375="",O375&lt;&gt;"",I375=""),"",ROUNDUP(I375*K375,0))</f>
        <v/>
      </c>
      <c r="M375" s="15" t="s">
        <v>1241</v>
      </c>
      <c r="N375" s="14"/>
      <c r="O375" s="15"/>
      <c r="P375" s="15" t="s">
        <v>77</v>
      </c>
      <c r="Q375" s="13" t="s">
        <v>1233</v>
      </c>
      <c r="R375" s="14"/>
    </row>
    <row r="376" customFormat="false" ht="23.85" hidden="false" customHeight="false" outlineLevel="0" collapsed="false">
      <c r="A376" s="14" t="n">
        <v>6</v>
      </c>
      <c r="B376" s="15" t="s">
        <v>39</v>
      </c>
      <c r="C376" s="15" t="s">
        <v>124</v>
      </c>
      <c r="D376" s="15" t="s">
        <v>1242</v>
      </c>
      <c r="E376" s="14" t="n">
        <v>6</v>
      </c>
      <c r="F376" s="15" t="s">
        <v>1231</v>
      </c>
      <c r="G376" s="14" t="s">
        <v>66</v>
      </c>
      <c r="H376" s="14" t="s">
        <v>956</v>
      </c>
      <c r="I376" s="14" t="n">
        <f aca="false">IF(E376="","",IF(OR(AND(H376="Plan A",$C$5="B"),AND(H376="Plan B",$C$5="A")),0,IF(OR(G376="per student",G376="per group",G376="per class"),E376*IF(B376="Year 7",$C$3,$C$4),E376)))</f>
        <v>6</v>
      </c>
      <c r="J376" s="15"/>
      <c r="K376" s="14"/>
      <c r="L376" s="14" t="str">
        <f aca="false">IF(OR(K376="",O376&lt;&gt;"",I376=""),"",ROUNDUP(I376*K376,0))</f>
        <v/>
      </c>
      <c r="M376" s="15" t="s">
        <v>1241</v>
      </c>
      <c r="N376" s="14"/>
      <c r="O376" s="15"/>
      <c r="P376" s="15" t="s">
        <v>77</v>
      </c>
      <c r="Q376" s="13" t="s">
        <v>1233</v>
      </c>
      <c r="R376" s="14"/>
    </row>
    <row r="377" customFormat="false" ht="57.45" hidden="false" customHeight="false" outlineLevel="0" collapsed="false">
      <c r="A377" s="14" t="n">
        <v>6</v>
      </c>
      <c r="B377" s="15" t="s">
        <v>39</v>
      </c>
      <c r="C377" s="15" t="s">
        <v>124</v>
      </c>
      <c r="D377" s="15" t="s">
        <v>1243</v>
      </c>
      <c r="E377" s="14" t="n">
        <v>6</v>
      </c>
      <c r="F377" s="15" t="s">
        <v>1244</v>
      </c>
      <c r="G377" s="14" t="s">
        <v>66</v>
      </c>
      <c r="H377" s="14" t="s">
        <v>964</v>
      </c>
      <c r="I377" s="14" t="n">
        <f aca="false">IF(E377="","",IF(OR(AND(H377="Plan A",$C$5="B"),AND(H377="Plan B",$C$5="A")),0,IF(OR(G377="per student",G377="per group",G377="per class"),E377*IF(B377="Year 7",$C$3,$C$4),E377)))</f>
        <v>6</v>
      </c>
      <c r="J377" s="15"/>
      <c r="K377" s="14"/>
      <c r="L377" s="14" t="str">
        <f aca="false">IF(OR(K377="",O377&lt;&gt;"",I377=""),"",ROUNDUP(I377*K377,0))</f>
        <v/>
      </c>
      <c r="M377" s="15" t="s">
        <v>1245</v>
      </c>
      <c r="N377" s="14"/>
      <c r="O377" s="15"/>
      <c r="P377" s="13" t="s">
        <v>91</v>
      </c>
      <c r="Q377" s="13" t="s">
        <v>1246</v>
      </c>
      <c r="R377" s="14"/>
    </row>
    <row r="378" customFormat="false" ht="23.85" hidden="false" customHeight="false" outlineLevel="0" collapsed="false">
      <c r="A378" s="14" t="n">
        <v>6</v>
      </c>
      <c r="B378" s="15" t="s">
        <v>39</v>
      </c>
      <c r="C378" s="15" t="s">
        <v>124</v>
      </c>
      <c r="D378" s="15" t="s">
        <v>1247</v>
      </c>
      <c r="E378" s="14" t="n">
        <v>1</v>
      </c>
      <c r="F378" s="15" t="s">
        <v>960</v>
      </c>
      <c r="G378" s="14" t="s">
        <v>57</v>
      </c>
      <c r="H378" s="14" t="s">
        <v>956</v>
      </c>
      <c r="I378" s="14" t="n">
        <f aca="false">IF(E378="","",IF(OR(AND(H378="Plan A",$C$5="B"),AND(H378="Plan B",$C$5="A")),0,IF(OR(G378="per student",G378="per group",G378="per class"),E378*IF(B378="Year 7",$C$3,$C$4),E378)))</f>
        <v>1</v>
      </c>
      <c r="J378" s="15"/>
      <c r="K378" s="14"/>
      <c r="L378" s="14" t="str">
        <f aca="false">IF(OR(K378="",O378&lt;&gt;"",I378=""),"",ROUNDUP(I378*K378,0))</f>
        <v/>
      </c>
      <c r="M378" s="15" t="s">
        <v>1248</v>
      </c>
      <c r="N378" s="14"/>
      <c r="O378" s="15"/>
      <c r="P378" s="15" t="s">
        <v>77</v>
      </c>
      <c r="Q378" s="13" t="s">
        <v>1249</v>
      </c>
      <c r="R378" s="14"/>
    </row>
    <row r="379" customFormat="false" ht="23.85" hidden="false" customHeight="false" outlineLevel="0" collapsed="false">
      <c r="A379" s="14" t="n">
        <v>6</v>
      </c>
      <c r="B379" s="15" t="s">
        <v>39</v>
      </c>
      <c r="C379" s="15" t="s">
        <v>124</v>
      </c>
      <c r="D379" s="15" t="s">
        <v>1250</v>
      </c>
      <c r="E379" s="14" t="n">
        <v>7</v>
      </c>
      <c r="F379" s="15" t="s">
        <v>1251</v>
      </c>
      <c r="G379" s="14" t="s">
        <v>66</v>
      </c>
      <c r="H379" s="14" t="s">
        <v>956</v>
      </c>
      <c r="I379" s="14" t="n">
        <f aca="false">IF(E379="","",IF(OR(AND(H379="Plan A",$C$5="B"),AND(H379="Plan B",$C$5="A")),0,IF(OR(G379="per student",G379="per group",G379="per class"),E379*IF(B379="Year 7",$C$3,$C$4),E379)))</f>
        <v>7</v>
      </c>
      <c r="J379" s="15"/>
      <c r="K379" s="14"/>
      <c r="L379" s="14" t="str">
        <f aca="false">IF(OR(K379="",O379&lt;&gt;"",I379=""),"",ROUNDUP(I379*K379,0))</f>
        <v/>
      </c>
      <c r="M379" s="15" t="s">
        <v>1252</v>
      </c>
      <c r="N379" s="14"/>
      <c r="O379" s="15"/>
      <c r="P379" s="15" t="s">
        <v>77</v>
      </c>
      <c r="Q379" s="13" t="s">
        <v>1253</v>
      </c>
      <c r="R379" s="14"/>
    </row>
    <row r="380" customFormat="false" ht="23.85" hidden="false" customHeight="false" outlineLevel="0" collapsed="false">
      <c r="A380" s="14" t="n">
        <v>6</v>
      </c>
      <c r="B380" s="15" t="s">
        <v>39</v>
      </c>
      <c r="C380" s="15" t="s">
        <v>124</v>
      </c>
      <c r="D380" s="15" t="s">
        <v>1254</v>
      </c>
      <c r="E380" s="14" t="n">
        <v>6</v>
      </c>
      <c r="F380" s="15" t="s">
        <v>585</v>
      </c>
      <c r="G380" s="14" t="s">
        <v>66</v>
      </c>
      <c r="H380" s="14" t="s">
        <v>956</v>
      </c>
      <c r="I380" s="14" t="n">
        <f aca="false">IF(E380="","",IF(OR(AND(H380="Plan A",$C$5="B"),AND(H380="Plan B",$C$5="A")),0,IF(OR(G380="per student",G380="per group",G380="per class"),E380*IF(B380="Year 7",$C$3,$C$4),E380)))</f>
        <v>6</v>
      </c>
      <c r="J380" s="15"/>
      <c r="K380" s="14"/>
      <c r="L380" s="14" t="str">
        <f aca="false">IF(OR(K380="",O380&lt;&gt;"",I380=""),"",ROUNDUP(I380*K380,0))</f>
        <v/>
      </c>
      <c r="M380" s="15" t="s">
        <v>1255</v>
      </c>
      <c r="N380" s="14"/>
      <c r="O380" s="15" t="s">
        <v>1256</v>
      </c>
      <c r="P380" s="13" t="s">
        <v>91</v>
      </c>
      <c r="Q380" s="13" t="s">
        <v>1257</v>
      </c>
      <c r="R380" s="14"/>
    </row>
    <row r="381" customFormat="false" ht="23.85" hidden="false" customHeight="false" outlineLevel="0" collapsed="false">
      <c r="A381" s="14" t="n">
        <v>6</v>
      </c>
      <c r="B381" s="15" t="s">
        <v>39</v>
      </c>
      <c r="C381" s="15" t="s">
        <v>124</v>
      </c>
      <c r="D381" s="15" t="s">
        <v>1258</v>
      </c>
      <c r="E381" s="14" t="n">
        <v>6</v>
      </c>
      <c r="F381" s="15" t="s">
        <v>585</v>
      </c>
      <c r="G381" s="14" t="s">
        <v>66</v>
      </c>
      <c r="H381" s="14" t="s">
        <v>964</v>
      </c>
      <c r="I381" s="14" t="n">
        <f aca="false">IF(E381="","",IF(OR(AND(H381="Plan A",$C$5="B"),AND(H381="Plan B",$C$5="A")),0,IF(OR(G381="per student",G381="per group",G381="per class"),E381*IF(B381="Year 7",$C$3,$C$4),E381)))</f>
        <v>6</v>
      </c>
      <c r="J381" s="15"/>
      <c r="K381" s="14"/>
      <c r="L381" s="14" t="str">
        <f aca="false">IF(OR(K381="",O381&lt;&gt;"",I381=""),"",ROUNDUP(I381*K381,0))</f>
        <v/>
      </c>
      <c r="M381" s="15" t="s">
        <v>1259</v>
      </c>
      <c r="N381" s="14" t="s">
        <v>105</v>
      </c>
      <c r="O381" s="15" t="s">
        <v>1256</v>
      </c>
      <c r="P381" s="13" t="s">
        <v>91</v>
      </c>
      <c r="Q381" s="13" t="s">
        <v>1257</v>
      </c>
      <c r="R381" s="14"/>
    </row>
    <row r="382" customFormat="false" ht="23.85" hidden="false" customHeight="false" outlineLevel="0" collapsed="false">
      <c r="A382" s="14" t="n">
        <v>6</v>
      </c>
      <c r="B382" s="15" t="s">
        <v>39</v>
      </c>
      <c r="C382" s="15" t="s">
        <v>124</v>
      </c>
      <c r="D382" s="15" t="s">
        <v>1260</v>
      </c>
      <c r="E382" s="14" t="n">
        <v>2</v>
      </c>
      <c r="F382" s="15" t="s">
        <v>591</v>
      </c>
      <c r="G382" s="14" t="s">
        <v>57</v>
      </c>
      <c r="H382" s="14" t="s">
        <v>964</v>
      </c>
      <c r="I382" s="14" t="n">
        <f aca="false">IF(E382="","",IF(OR(AND(H382="Plan A",$C$5="B"),AND(H382="Plan B",$C$5="A")),0,IF(OR(G382="per student",G382="per group",G382="per class"),E382*IF(B382="Year 7",$C$3,$C$4),E382)))</f>
        <v>2</v>
      </c>
      <c r="J382" s="15"/>
      <c r="K382" s="14"/>
      <c r="L382" s="14" t="str">
        <f aca="false">IF(OR(K382="",O382&lt;&gt;"",I382=""),"",ROUNDUP(I382*K382,0))</f>
        <v/>
      </c>
      <c r="M382" s="15" t="s">
        <v>1261</v>
      </c>
      <c r="N382" s="14"/>
      <c r="O382" s="15"/>
      <c r="P382" s="15" t="s">
        <v>77</v>
      </c>
      <c r="Q382" s="13" t="s">
        <v>1262</v>
      </c>
      <c r="R382" s="14"/>
    </row>
    <row r="383" customFormat="false" ht="15" hidden="false" customHeight="false" outlineLevel="0" collapsed="false">
      <c r="A383" s="14" t="n">
        <v>6</v>
      </c>
      <c r="B383" s="15" t="s">
        <v>39</v>
      </c>
      <c r="C383" s="15" t="s">
        <v>124</v>
      </c>
      <c r="D383" s="15" t="s">
        <v>1263</v>
      </c>
      <c r="E383" s="14" t="n">
        <v>1</v>
      </c>
      <c r="F383" s="15" t="s">
        <v>267</v>
      </c>
      <c r="G383" s="14" t="s">
        <v>57</v>
      </c>
      <c r="H383" s="14" t="s">
        <v>964</v>
      </c>
      <c r="I383" s="14" t="n">
        <f aca="false">IF(E383="","",IF(OR(AND(H383="Plan A",$C$5="B"),AND(H383="Plan B",$C$5="A")),0,IF(OR(G383="per student",G383="per group",G383="per class"),E383*IF(B383="Year 7",$C$3,$C$4),E383)))</f>
        <v>1</v>
      </c>
      <c r="J383" s="15"/>
      <c r="K383" s="14"/>
      <c r="L383" s="14" t="str">
        <f aca="false">IF(OR(K383="",O383&lt;&gt;"",I383=""),"",ROUNDUP(I383*K383,0))</f>
        <v/>
      </c>
      <c r="M383" s="15" t="s">
        <v>1264</v>
      </c>
      <c r="N383" s="14"/>
      <c r="O383" s="15"/>
      <c r="P383" s="15" t="s">
        <v>77</v>
      </c>
      <c r="Q383" s="13" t="s">
        <v>1265</v>
      </c>
      <c r="R383" s="14"/>
    </row>
    <row r="384" customFormat="false" ht="23.85" hidden="false" customHeight="false" outlineLevel="0" collapsed="false">
      <c r="A384" s="14" t="n">
        <v>6</v>
      </c>
      <c r="B384" s="15" t="s">
        <v>39</v>
      </c>
      <c r="C384" s="15" t="s">
        <v>124</v>
      </c>
      <c r="D384" s="15" t="s">
        <v>1266</v>
      </c>
      <c r="E384" s="14" t="n">
        <v>1</v>
      </c>
      <c r="F384" s="15" t="s">
        <v>1267</v>
      </c>
      <c r="G384" s="14" t="s">
        <v>57</v>
      </c>
      <c r="H384" s="14" t="s">
        <v>964</v>
      </c>
      <c r="I384" s="14" t="n">
        <f aca="false">IF(E384="","",IF(OR(AND(H384="Plan A",$C$5="B"),AND(H384="Plan B",$C$5="A")),0,IF(OR(G384="per student",G384="per group",G384="per class"),E384*IF(B384="Year 7",$C$3,$C$4),E384)))</f>
        <v>1</v>
      </c>
      <c r="J384" s="15"/>
      <c r="K384" s="14"/>
      <c r="L384" s="14" t="str">
        <f aca="false">IF(OR(K384="",O384&lt;&gt;"",I384=""),"",ROUNDUP(I384*K384,0))</f>
        <v/>
      </c>
      <c r="M384" s="15" t="s">
        <v>1268</v>
      </c>
      <c r="N384" s="14"/>
      <c r="O384" s="15"/>
      <c r="P384" s="15" t="s">
        <v>77</v>
      </c>
      <c r="Q384" s="15"/>
      <c r="R384" s="14"/>
    </row>
    <row r="385" customFormat="false" ht="35.05" hidden="false" customHeight="false" outlineLevel="0" collapsed="false">
      <c r="A385" s="14" t="n">
        <v>6</v>
      </c>
      <c r="B385" s="15" t="s">
        <v>39</v>
      </c>
      <c r="C385" s="15" t="s">
        <v>124</v>
      </c>
      <c r="D385" s="15" t="s">
        <v>1269</v>
      </c>
      <c r="E385" s="14" t="n">
        <v>2</v>
      </c>
      <c r="F385" s="15" t="s">
        <v>663</v>
      </c>
      <c r="G385" s="14" t="s">
        <v>127</v>
      </c>
      <c r="H385" s="14" t="s">
        <v>956</v>
      </c>
      <c r="I385" s="14" t="n">
        <f aca="false">IF(E385="","",IF(OR(AND(H385="Plan A",$C$5="B"),AND(H385="Plan B",$C$5="A")),0,IF(OR(G385="per student",G385="per group",G385="per class"),E385*IF(B385="Year 7",$C$3,$C$4),E385)))</f>
        <v>2</v>
      </c>
      <c r="J385" s="15"/>
      <c r="K385" s="14"/>
      <c r="L385" s="14" t="str">
        <f aca="false">IF(OR(K385="",O385&lt;&gt;"",I385=""),"",ROUNDUP(I385*K385,0))</f>
        <v/>
      </c>
      <c r="M385" s="15" t="s">
        <v>1270</v>
      </c>
      <c r="N385" s="14"/>
      <c r="O385" s="15"/>
      <c r="P385" s="13" t="s">
        <v>91</v>
      </c>
      <c r="Q385" s="13" t="s">
        <v>1271</v>
      </c>
      <c r="R385" s="14"/>
    </row>
    <row r="386" customFormat="false" ht="23.85" hidden="false" customHeight="false" outlineLevel="0" collapsed="false">
      <c r="A386" s="14" t="n">
        <v>6</v>
      </c>
      <c r="B386" s="15" t="s">
        <v>39</v>
      </c>
      <c r="C386" s="15" t="s">
        <v>124</v>
      </c>
      <c r="D386" s="15" t="s">
        <v>1272</v>
      </c>
      <c r="E386" s="14" t="n">
        <v>1</v>
      </c>
      <c r="F386" s="15" t="s">
        <v>1091</v>
      </c>
      <c r="G386" s="14" t="s">
        <v>57</v>
      </c>
      <c r="H386" s="14" t="s">
        <v>956</v>
      </c>
      <c r="I386" s="14" t="n">
        <f aca="false">IF(E386="","",IF(OR(AND(H386="Plan A",$C$5="B"),AND(H386="Plan B",$C$5="A")),0,IF(OR(G386="per student",G386="per group",G386="per class"),E386*IF(B386="Year 7",$C$3,$C$4),E386)))</f>
        <v>1</v>
      </c>
      <c r="J386" s="15"/>
      <c r="K386" s="14"/>
      <c r="L386" s="14" t="str">
        <f aca="false">IF(OR(K386="",O386&lt;&gt;"",I386=""),"",ROUNDUP(I386*K386,0))</f>
        <v/>
      </c>
      <c r="M386" s="15" t="s">
        <v>1273</v>
      </c>
      <c r="N386" s="14"/>
      <c r="O386" s="15"/>
      <c r="P386" s="15" t="s">
        <v>77</v>
      </c>
      <c r="Q386" s="13" t="s">
        <v>1274</v>
      </c>
      <c r="R386" s="14"/>
    </row>
    <row r="387" customFormat="false" ht="23.85" hidden="false" customHeight="false" outlineLevel="0" collapsed="false">
      <c r="A387" s="14" t="n">
        <v>6</v>
      </c>
      <c r="B387" s="15" t="s">
        <v>39</v>
      </c>
      <c r="C387" s="15" t="s">
        <v>124</v>
      </c>
      <c r="D387" s="15" t="s">
        <v>1275</v>
      </c>
      <c r="E387" s="14" t="n">
        <v>1</v>
      </c>
      <c r="F387" s="15" t="s">
        <v>1276</v>
      </c>
      <c r="G387" s="14" t="s">
        <v>75</v>
      </c>
      <c r="H387" s="14"/>
      <c r="I387" s="14" t="n">
        <f aca="false">IF(E387="","",IF(OR(AND(H387="Plan A",$C$5="B"),AND(H387="Plan B",$C$5="A")),0,IF(OR(G387="per student",G387="per group",G387="per class"),E387*IF(B387="Year 7",$C$3,$C$4),E387)))</f>
        <v>1</v>
      </c>
      <c r="J387" s="15"/>
      <c r="K387" s="14"/>
      <c r="L387" s="14" t="str">
        <f aca="false">IF(OR(K387="",O387&lt;&gt;"",I387=""),"",ROUNDUP(I387*K387,0))</f>
        <v/>
      </c>
      <c r="M387" s="15" t="s">
        <v>1277</v>
      </c>
      <c r="N387" s="14"/>
      <c r="O387" s="15"/>
      <c r="P387" s="15" t="s">
        <v>77</v>
      </c>
      <c r="Q387" s="15"/>
      <c r="R387" s="14"/>
    </row>
    <row r="388" customFormat="false" ht="15" hidden="false" customHeight="false" outlineLevel="0" collapsed="false">
      <c r="A388" s="14" t="n">
        <v>6</v>
      </c>
      <c r="B388" s="15" t="s">
        <v>39</v>
      </c>
      <c r="C388" s="15" t="s">
        <v>294</v>
      </c>
      <c r="D388" s="15" t="s">
        <v>1278</v>
      </c>
      <c r="E388" s="14" t="n">
        <v>36</v>
      </c>
      <c r="F388" s="15" t="s">
        <v>397</v>
      </c>
      <c r="G388" s="14" t="s">
        <v>66</v>
      </c>
      <c r="H388" s="14"/>
      <c r="I388" s="14" t="n">
        <f aca="false">IF(E388="","",IF(OR(AND(H388="Plan A",$C$5="B"),AND(H388="Plan B",$C$5="A")),0,IF(OR(G388="per student",G388="per group",G388="per class"),E388*IF(B388="Year 7",$C$3,$C$4),E388)))</f>
        <v>36</v>
      </c>
      <c r="J388" s="15"/>
      <c r="K388" s="14"/>
      <c r="L388" s="14" t="str">
        <f aca="false">IF(OR(K388="",O388&lt;&gt;"",I388=""),"",ROUNDUP(I388*K388,0))</f>
        <v/>
      </c>
      <c r="M388" s="15" t="s">
        <v>1279</v>
      </c>
      <c r="N388" s="14"/>
      <c r="O388" s="15"/>
      <c r="P388" s="15" t="s">
        <v>77</v>
      </c>
      <c r="Q388" s="13" t="s">
        <v>1280</v>
      </c>
      <c r="R388" s="14"/>
    </row>
    <row r="389" customFormat="false" ht="23.85" hidden="false" customHeight="false" outlineLevel="0" collapsed="false">
      <c r="A389" s="14" t="n">
        <v>6</v>
      </c>
      <c r="B389" s="15" t="s">
        <v>39</v>
      </c>
      <c r="C389" s="15" t="s">
        <v>294</v>
      </c>
      <c r="D389" s="15" t="s">
        <v>1281</v>
      </c>
      <c r="E389" s="14" t="n">
        <v>12</v>
      </c>
      <c r="F389" s="15" t="s">
        <v>581</v>
      </c>
      <c r="G389" s="14" t="s">
        <v>66</v>
      </c>
      <c r="H389" s="14" t="s">
        <v>964</v>
      </c>
      <c r="I389" s="14" t="n">
        <f aca="false">IF(E389="","",IF(OR(AND(H389="Plan A",$C$5="B"),AND(H389="Plan B",$C$5="A")),0,IF(OR(G389="per student",G389="per group",G389="per class"),E389*IF(B389="Year 7",$C$3,$C$4),E389)))</f>
        <v>12</v>
      </c>
      <c r="J389" s="15"/>
      <c r="K389" s="14"/>
      <c r="L389" s="14" t="str">
        <f aca="false">IF(OR(K389="",O389&lt;&gt;"",I389=""),"",ROUNDUP(I389*K389,0))</f>
        <v/>
      </c>
      <c r="M389" s="15" t="s">
        <v>1282</v>
      </c>
      <c r="N389" s="14"/>
      <c r="O389" s="15"/>
      <c r="P389" s="15" t="s">
        <v>77</v>
      </c>
      <c r="Q389" s="15"/>
      <c r="R389" s="14"/>
    </row>
    <row r="390" customFormat="false" ht="23.85" hidden="false" customHeight="false" outlineLevel="0" collapsed="false">
      <c r="A390" s="14" t="n">
        <v>6</v>
      </c>
      <c r="B390" s="15" t="s">
        <v>39</v>
      </c>
      <c r="C390" s="15" t="s">
        <v>294</v>
      </c>
      <c r="D390" s="15" t="s">
        <v>1283</v>
      </c>
      <c r="E390" s="14" t="n">
        <v>28</v>
      </c>
      <c r="F390" s="15" t="s">
        <v>845</v>
      </c>
      <c r="G390" s="14" t="s">
        <v>127</v>
      </c>
      <c r="H390" s="14" t="s">
        <v>964</v>
      </c>
      <c r="I390" s="14" t="n">
        <f aca="false">IF(E390="","",IF(OR(AND(H390="Plan A",$C$5="B"),AND(H390="Plan B",$C$5="A")),0,IF(OR(G390="per student",G390="per group",G390="per class"),E390*IF(B390="Year 7",$C$3,$C$4),E390)))</f>
        <v>28</v>
      </c>
      <c r="J390" s="15"/>
      <c r="K390" s="14"/>
      <c r="L390" s="14" t="str">
        <f aca="false">IF(OR(K390="",O390&lt;&gt;"",I390=""),"",ROUNDUP(I390*K390,0))</f>
        <v/>
      </c>
      <c r="M390" s="15" t="s">
        <v>1284</v>
      </c>
      <c r="N390" s="14"/>
      <c r="O390" s="15"/>
      <c r="P390" s="13" t="s">
        <v>91</v>
      </c>
      <c r="Q390" s="13" t="s">
        <v>1285</v>
      </c>
      <c r="R390" s="14"/>
    </row>
    <row r="391" customFormat="false" ht="35.05" hidden="false" customHeight="false" outlineLevel="0" collapsed="false">
      <c r="A391" s="14" t="n">
        <v>6</v>
      </c>
      <c r="B391" s="15" t="s">
        <v>39</v>
      </c>
      <c r="C391" s="15" t="s">
        <v>294</v>
      </c>
      <c r="D391" s="15" t="s">
        <v>1286</v>
      </c>
      <c r="E391" s="14" t="n">
        <v>28</v>
      </c>
      <c r="F391" s="15" t="s">
        <v>1287</v>
      </c>
      <c r="G391" s="14" t="s">
        <v>127</v>
      </c>
      <c r="H391" s="14" t="s">
        <v>964</v>
      </c>
      <c r="I391" s="14" t="n">
        <f aca="false">IF(E391="","",IF(OR(AND(H391="Plan A",$C$5="B"),AND(H391="Plan B",$C$5="A")),0,IF(OR(G391="per student",G391="per group",G391="per class"),E391*IF(B391="Year 7",$C$3,$C$4),E391)))</f>
        <v>28</v>
      </c>
      <c r="J391" s="15"/>
      <c r="K391" s="14"/>
      <c r="L391" s="14" t="str">
        <f aca="false">IF(OR(K391="",O391&lt;&gt;"",I391=""),"",ROUNDUP(I391*K391,0))</f>
        <v/>
      </c>
      <c r="M391" s="15" t="s">
        <v>1288</v>
      </c>
      <c r="N391" s="14"/>
      <c r="O391" s="15"/>
      <c r="P391" s="15" t="s">
        <v>77</v>
      </c>
      <c r="Q391" s="13" t="s">
        <v>1289</v>
      </c>
      <c r="R391" s="14"/>
    </row>
    <row r="392" customFormat="false" ht="23.85" hidden="false" customHeight="false" outlineLevel="0" collapsed="false">
      <c r="A392" s="14" t="n">
        <v>6</v>
      </c>
      <c r="B392" s="15" t="s">
        <v>39</v>
      </c>
      <c r="C392" s="15" t="s">
        <v>294</v>
      </c>
      <c r="D392" s="15" t="s">
        <v>1290</v>
      </c>
      <c r="E392" s="14" t="n">
        <v>3.6</v>
      </c>
      <c r="F392" s="15" t="s">
        <v>1291</v>
      </c>
      <c r="G392" s="14" t="s">
        <v>127</v>
      </c>
      <c r="H392" s="14" t="s">
        <v>956</v>
      </c>
      <c r="I392" s="14" t="n">
        <f aca="false">IF(E392="","",IF(OR(AND(H392="Plan A",$C$5="B"),AND(H392="Plan B",$C$5="A")),0,IF(OR(G392="per student",G392="per group",G392="per class"),E392*IF(B392="Year 7",$C$3,$C$4),E392)))</f>
        <v>3.6</v>
      </c>
      <c r="J392" s="15"/>
      <c r="K392" s="14"/>
      <c r="L392" s="14" t="str">
        <f aca="false">IF(OR(K392="",O392&lt;&gt;"",I392=""),"",ROUNDUP(I392*K392,0))</f>
        <v/>
      </c>
      <c r="M392" s="15" t="s">
        <v>1292</v>
      </c>
      <c r="N392" s="14"/>
      <c r="O392" s="15"/>
      <c r="P392" s="15" t="s">
        <v>77</v>
      </c>
      <c r="Q392" s="13" t="s">
        <v>1293</v>
      </c>
      <c r="R392" s="14"/>
    </row>
    <row r="393" customFormat="false" ht="35.05" hidden="false" customHeight="false" outlineLevel="0" collapsed="false">
      <c r="A393" s="14" t="n">
        <v>6</v>
      </c>
      <c r="B393" s="15" t="s">
        <v>39</v>
      </c>
      <c r="C393" s="15" t="s">
        <v>144</v>
      </c>
      <c r="D393" s="15" t="s">
        <v>1294</v>
      </c>
      <c r="E393" s="14" t="n">
        <v>6</v>
      </c>
      <c r="F393" s="15" t="s">
        <v>1295</v>
      </c>
      <c r="G393" s="14" t="s">
        <v>66</v>
      </c>
      <c r="H393" s="14" t="s">
        <v>964</v>
      </c>
      <c r="I393" s="14" t="n">
        <f aca="false">IF(E393="","",IF(OR(AND(H393="Plan A",$C$5="B"),AND(H393="Plan B",$C$5="A")),0,IF(OR(G393="per student",G393="per group",G393="per class"),E393*IF(B393="Year 7",$C$3,$C$4),E393)))</f>
        <v>6</v>
      </c>
      <c r="J393" s="15"/>
      <c r="K393" s="14"/>
      <c r="L393" s="14" t="str">
        <f aca="false">IF(OR(K393="",O393&lt;&gt;"",I393=""),"",ROUNDUP(I393*K393,0))</f>
        <v/>
      </c>
      <c r="M393" s="15" t="s">
        <v>1296</v>
      </c>
      <c r="N393" s="14"/>
      <c r="O393" s="15"/>
      <c r="P393" s="15" t="s">
        <v>77</v>
      </c>
      <c r="Q393" s="13" t="s">
        <v>1297</v>
      </c>
      <c r="R393" s="14"/>
    </row>
    <row r="394" customFormat="false" ht="46.25" hidden="false" customHeight="false" outlineLevel="0" collapsed="false">
      <c r="A394" s="14" t="n">
        <v>6</v>
      </c>
      <c r="B394" s="15" t="s">
        <v>39</v>
      </c>
      <c r="C394" s="15" t="s">
        <v>144</v>
      </c>
      <c r="D394" s="15" t="s">
        <v>1298</v>
      </c>
      <c r="E394" s="14" t="n">
        <v>6</v>
      </c>
      <c r="F394" s="15" t="s">
        <v>1299</v>
      </c>
      <c r="G394" s="14" t="s">
        <v>66</v>
      </c>
      <c r="H394" s="14" t="s">
        <v>956</v>
      </c>
      <c r="I394" s="14" t="n">
        <f aca="false">IF(E394="","",IF(OR(AND(H394="Plan A",$C$5="B"),AND(H394="Plan B",$C$5="A")),0,IF(OR(G394="per student",G394="per group",G394="per class"),E394*IF(B394="Year 7",$C$3,$C$4),E394)))</f>
        <v>6</v>
      </c>
      <c r="J394" s="15"/>
      <c r="K394" s="14"/>
      <c r="L394" s="14" t="str">
        <f aca="false">IF(OR(K394="",O394&lt;&gt;"",I394=""),"",ROUNDUP(I394*K394,0))</f>
        <v/>
      </c>
      <c r="M394" s="15" t="s">
        <v>1300</v>
      </c>
      <c r="N394" s="14"/>
      <c r="O394" s="15"/>
      <c r="P394" s="15" t="s">
        <v>77</v>
      </c>
      <c r="Q394" s="13" t="s">
        <v>1301</v>
      </c>
      <c r="R394" s="14"/>
    </row>
    <row r="395" customFormat="false" ht="35.05" hidden="false" customHeight="false" outlineLevel="0" collapsed="false">
      <c r="A395" s="14" t="n">
        <v>6</v>
      </c>
      <c r="B395" s="15" t="s">
        <v>39</v>
      </c>
      <c r="C395" s="15" t="s">
        <v>144</v>
      </c>
      <c r="D395" s="15" t="s">
        <v>1302</v>
      </c>
      <c r="E395" s="14" t="n">
        <v>28</v>
      </c>
      <c r="F395" s="15" t="s">
        <v>1303</v>
      </c>
      <c r="G395" s="14" t="s">
        <v>127</v>
      </c>
      <c r="H395" s="14" t="s">
        <v>964</v>
      </c>
      <c r="I395" s="14" t="n">
        <f aca="false">IF(E395="","",IF(OR(AND(H395="Plan A",$C$5="B"),AND(H395="Plan B",$C$5="A")),0,IF(OR(G395="per student",G395="per group",G395="per class"),E395*IF(B395="Year 7",$C$3,$C$4),E395)))</f>
        <v>28</v>
      </c>
      <c r="J395" s="15"/>
      <c r="K395" s="14"/>
      <c r="L395" s="14" t="str">
        <f aca="false">IF(OR(K395="",O395&lt;&gt;"",I395=""),"",ROUNDUP(I395*K395,0))</f>
        <v/>
      </c>
      <c r="M395" s="15" t="s">
        <v>1304</v>
      </c>
      <c r="N395" s="14"/>
      <c r="O395" s="15"/>
      <c r="P395" s="15" t="s">
        <v>77</v>
      </c>
      <c r="Q395" s="13" t="s">
        <v>1305</v>
      </c>
      <c r="R395" s="14"/>
    </row>
    <row r="396" customFormat="false" ht="35.05" hidden="false" customHeight="false" outlineLevel="0" collapsed="false">
      <c r="A396" s="14" t="n">
        <v>6</v>
      </c>
      <c r="B396" s="15" t="s">
        <v>39</v>
      </c>
      <c r="C396" s="15" t="s">
        <v>144</v>
      </c>
      <c r="D396" s="15" t="s">
        <v>1306</v>
      </c>
      <c r="E396" s="14" t="n">
        <v>24</v>
      </c>
      <c r="F396" s="15" t="s">
        <v>264</v>
      </c>
      <c r="G396" s="14" t="s">
        <v>66</v>
      </c>
      <c r="H396" s="14" t="s">
        <v>964</v>
      </c>
      <c r="I396" s="14" t="n">
        <f aca="false">IF(E396="","",IF(OR(AND(H396="Plan A",$C$5="B"),AND(H396="Plan B",$C$5="A")),0,IF(OR(G396="per student",G396="per group",G396="per class"),E396*IF(B396="Year 7",$C$3,$C$4),E396)))</f>
        <v>24</v>
      </c>
      <c r="J396" s="15"/>
      <c r="K396" s="14"/>
      <c r="L396" s="14" t="str">
        <f aca="false">IF(OR(K396="",O396&lt;&gt;"",I396=""),"",ROUNDUP(I396*K396,0))</f>
        <v/>
      </c>
      <c r="M396" s="15" t="s">
        <v>1307</v>
      </c>
      <c r="N396" s="14"/>
      <c r="O396" s="15"/>
      <c r="P396" s="13" t="s">
        <v>215</v>
      </c>
      <c r="Q396" s="13" t="s">
        <v>1308</v>
      </c>
      <c r="R396" s="14"/>
    </row>
    <row r="397" customFormat="false" ht="23.85" hidden="false" customHeight="false" outlineLevel="0" collapsed="false">
      <c r="A397" s="14" t="n">
        <v>6</v>
      </c>
      <c r="B397" s="15" t="s">
        <v>39</v>
      </c>
      <c r="C397" s="15" t="s">
        <v>144</v>
      </c>
      <c r="D397" s="15" t="s">
        <v>1309</v>
      </c>
      <c r="E397" s="14" t="n">
        <v>24</v>
      </c>
      <c r="F397" s="15" t="s">
        <v>264</v>
      </c>
      <c r="G397" s="14" t="s">
        <v>66</v>
      </c>
      <c r="H397" s="14" t="s">
        <v>956</v>
      </c>
      <c r="I397" s="14" t="n">
        <f aca="false">IF(E397="","",IF(OR(AND(H397="Plan A",$C$5="B"),AND(H397="Plan B",$C$5="A")),0,IF(OR(G397="per student",G397="per group",G397="per class"),E397*IF(B397="Year 7",$C$3,$C$4),E397)))</f>
        <v>24</v>
      </c>
      <c r="J397" s="15"/>
      <c r="K397" s="14"/>
      <c r="L397" s="14" t="str">
        <f aca="false">IF(OR(K397="",O397&lt;&gt;"",I397=""),"",ROUNDUP(I397*K397,0))</f>
        <v/>
      </c>
      <c r="M397" s="15" t="s">
        <v>1310</v>
      </c>
      <c r="N397" s="14"/>
      <c r="O397" s="15"/>
      <c r="P397" s="15" t="s">
        <v>77</v>
      </c>
      <c r="Q397" s="13" t="s">
        <v>1311</v>
      </c>
      <c r="R397" s="14"/>
    </row>
    <row r="398" customFormat="false" ht="68.65" hidden="false" customHeight="false" outlineLevel="0" collapsed="false">
      <c r="A398" s="14" t="n">
        <v>6</v>
      </c>
      <c r="B398" s="15" t="s">
        <v>153</v>
      </c>
      <c r="C398" s="15" t="s">
        <v>40</v>
      </c>
      <c r="D398" s="15" t="s">
        <v>1312</v>
      </c>
      <c r="E398" s="14" t="n">
        <v>24</v>
      </c>
      <c r="F398" s="15" t="s">
        <v>887</v>
      </c>
      <c r="G398" s="14" t="s">
        <v>43</v>
      </c>
      <c r="H398" s="14"/>
      <c r="I398" s="14" t="n">
        <f aca="false">IF(E398="","",IF(OR(AND(H398="Plan A",$C$5="B"),AND(H398="Plan B",$C$5="A")),0,IF(OR(G398="per student",G398="per group",G398="per class"),E398*IF(B398="Year 7",$C$3,$C$4),E398)))</f>
        <v>24</v>
      </c>
      <c r="J398" s="15" t="s">
        <v>13</v>
      </c>
      <c r="K398" s="14" t="n">
        <v>2</v>
      </c>
      <c r="L398" s="14" t="n">
        <f aca="false">IF(OR(K398="",O398&lt;&gt;"",I398=""),"",ROUNDUP(I398*K398,0))</f>
        <v>48</v>
      </c>
      <c r="M398" s="15" t="s">
        <v>1313</v>
      </c>
      <c r="N398" s="14"/>
      <c r="O398" s="15"/>
      <c r="P398" s="15" t="s">
        <v>45</v>
      </c>
      <c r="Q398" s="13" t="s">
        <v>1314</v>
      </c>
      <c r="R398" s="14"/>
    </row>
    <row r="399" customFormat="false" ht="46.25" hidden="false" customHeight="false" outlineLevel="0" collapsed="false">
      <c r="A399" s="14" t="n">
        <v>6</v>
      </c>
      <c r="B399" s="15" t="s">
        <v>153</v>
      </c>
      <c r="C399" s="15" t="s">
        <v>40</v>
      </c>
      <c r="D399" s="15" t="s">
        <v>1315</v>
      </c>
      <c r="E399" s="14" t="n">
        <v>6</v>
      </c>
      <c r="F399" s="15" t="s">
        <v>1316</v>
      </c>
      <c r="G399" s="14" t="s">
        <v>66</v>
      </c>
      <c r="H399" s="14"/>
      <c r="I399" s="14" t="n">
        <f aca="false">IF(E399="","",IF(OR(AND(H399="Plan A",$C$5="B"),AND(H399="Plan B",$C$5="A")),0,IF(OR(G399="per student",G399="per group",G399="per class"),E399*IF(B399="Year 7",$C$3,$C$4),E399)))</f>
        <v>6</v>
      </c>
      <c r="J399" s="15" t="s">
        <v>13</v>
      </c>
      <c r="K399" s="14" t="n">
        <v>1</v>
      </c>
      <c r="L399" s="14" t="n">
        <f aca="false">IF(OR(K399="",O399&lt;&gt;"",I399=""),"",ROUNDUP(I399*K399,0))</f>
        <v>6</v>
      </c>
      <c r="M399" s="15" t="s">
        <v>1317</v>
      </c>
      <c r="N399" s="14"/>
      <c r="O399" s="15"/>
      <c r="P399" s="13" t="s">
        <v>91</v>
      </c>
      <c r="Q399" s="13" t="s">
        <v>1318</v>
      </c>
      <c r="R399" s="14"/>
    </row>
    <row r="400" customFormat="false" ht="35.05" hidden="false" customHeight="false" outlineLevel="0" collapsed="false">
      <c r="A400" s="14" t="n">
        <v>6</v>
      </c>
      <c r="B400" s="15" t="s">
        <v>153</v>
      </c>
      <c r="C400" s="15" t="s">
        <v>40</v>
      </c>
      <c r="D400" s="15" t="s">
        <v>1319</v>
      </c>
      <c r="E400" s="14" t="n">
        <v>1</v>
      </c>
      <c r="F400" s="15" t="s">
        <v>1320</v>
      </c>
      <c r="G400" s="14" t="s">
        <v>57</v>
      </c>
      <c r="H400" s="14"/>
      <c r="I400" s="14" t="n">
        <f aca="false">IF(E400="","",IF(OR(AND(H400="Plan A",$C$5="B"),AND(H400="Plan B",$C$5="A")),0,IF(OR(G400="per student",G400="per group",G400="per class"),E400*IF(B400="Year 7",$C$3,$C$4),E400)))</f>
        <v>1</v>
      </c>
      <c r="J400" s="15" t="s">
        <v>13</v>
      </c>
      <c r="K400" s="14" t="n">
        <v>1</v>
      </c>
      <c r="L400" s="14" t="n">
        <f aca="false">IF(OR(K400="",O400&lt;&gt;"",I400=""),"",ROUNDUP(I400*K400,0))</f>
        <v>1</v>
      </c>
      <c r="M400" s="15" t="s">
        <v>1321</v>
      </c>
      <c r="N400" s="14"/>
      <c r="O400" s="15"/>
      <c r="P400" s="13" t="s">
        <v>91</v>
      </c>
      <c r="Q400" s="13" t="s">
        <v>1322</v>
      </c>
      <c r="R400" s="14"/>
    </row>
    <row r="401" customFormat="false" ht="46.25" hidden="false" customHeight="false" outlineLevel="0" collapsed="false">
      <c r="A401" s="14" t="n">
        <v>6</v>
      </c>
      <c r="B401" s="15" t="s">
        <v>153</v>
      </c>
      <c r="C401" s="15" t="s">
        <v>40</v>
      </c>
      <c r="D401" s="15" t="s">
        <v>1323</v>
      </c>
      <c r="E401" s="14" t="n">
        <v>7</v>
      </c>
      <c r="F401" s="15" t="s">
        <v>1324</v>
      </c>
      <c r="G401" s="14" t="s">
        <v>57</v>
      </c>
      <c r="H401" s="14"/>
      <c r="I401" s="14" t="n">
        <f aca="false">IF(E401="","",IF(OR(AND(H401="Plan A",$C$5="B"),AND(H401="Plan B",$C$5="A")),0,IF(OR(G401="per student",G401="per group",G401="per class"),E401*IF(B401="Year 7",$C$3,$C$4),E401)))</f>
        <v>7</v>
      </c>
      <c r="J401" s="15" t="s">
        <v>20</v>
      </c>
      <c r="K401" s="14" t="n">
        <v>1</v>
      </c>
      <c r="L401" s="14" t="n">
        <f aca="false">IF(OR(K401="",O401&lt;&gt;"",I401=""),"",ROUNDUP(I401*K401,0))</f>
        <v>7</v>
      </c>
      <c r="M401" s="15" t="s">
        <v>1325</v>
      </c>
      <c r="N401" s="14"/>
      <c r="O401" s="15"/>
      <c r="P401" s="15" t="s">
        <v>45</v>
      </c>
      <c r="Q401" s="13" t="s">
        <v>1326</v>
      </c>
      <c r="R401" s="14"/>
    </row>
    <row r="402" customFormat="false" ht="35.05" hidden="false" customHeight="false" outlineLevel="0" collapsed="false">
      <c r="A402" s="14" t="n">
        <v>6</v>
      </c>
      <c r="B402" s="15" t="s">
        <v>153</v>
      </c>
      <c r="C402" s="15" t="s">
        <v>40</v>
      </c>
      <c r="D402" s="15" t="s">
        <v>1327</v>
      </c>
      <c r="E402" s="14" t="n">
        <v>3</v>
      </c>
      <c r="F402" s="15" t="s">
        <v>222</v>
      </c>
      <c r="G402" s="14" t="s">
        <v>75</v>
      </c>
      <c r="H402" s="14"/>
      <c r="I402" s="14" t="n">
        <f aca="false">IF(E402="","",IF(OR(AND(H402="Plan A",$C$5="B"),AND(H402="Plan B",$C$5="A")),0,IF(OR(G402="per student",G402="per group",G402="per class"),E402*IF(B402="Year 7",$C$3,$C$4),E402)))</f>
        <v>3</v>
      </c>
      <c r="J402" s="15" t="s">
        <v>13</v>
      </c>
      <c r="K402" s="14" t="n">
        <v>1</v>
      </c>
      <c r="L402" s="14" t="n">
        <f aca="false">IF(OR(K402="",O402&lt;&gt;"",I402=""),"",ROUNDUP(I402*K402,0))</f>
        <v>3</v>
      </c>
      <c r="M402" s="15" t="s">
        <v>1328</v>
      </c>
      <c r="N402" s="14"/>
      <c r="O402" s="15"/>
      <c r="P402" s="15" t="s">
        <v>45</v>
      </c>
      <c r="Q402" s="13" t="s">
        <v>1329</v>
      </c>
      <c r="R402" s="14"/>
    </row>
    <row r="403" customFormat="false" ht="35.05" hidden="false" customHeight="false" outlineLevel="0" collapsed="false">
      <c r="A403" s="14" t="n">
        <v>6</v>
      </c>
      <c r="B403" s="15" t="s">
        <v>153</v>
      </c>
      <c r="C403" s="15" t="s">
        <v>40</v>
      </c>
      <c r="D403" s="15" t="s">
        <v>446</v>
      </c>
      <c r="E403" s="14" t="n">
        <v>1</v>
      </c>
      <c r="F403" s="15" t="s">
        <v>191</v>
      </c>
      <c r="G403" s="14" t="s">
        <v>57</v>
      </c>
      <c r="H403" s="14"/>
      <c r="I403" s="14" t="n">
        <f aca="false">IF(E403="","",IF(OR(AND(H403="Plan A",$C$5="B"),AND(H403="Plan B",$C$5="A")),0,IF(OR(G403="per student",G403="per group",G403="per class"),E403*IF(B403="Year 7",$C$3,$C$4),E403)))</f>
        <v>1</v>
      </c>
      <c r="J403" s="15" t="s">
        <v>20</v>
      </c>
      <c r="K403" s="14" t="n">
        <v>1</v>
      </c>
      <c r="L403" s="14" t="n">
        <f aca="false">IF(OR(K403="",O403&lt;&gt;"",I403=""),"",ROUNDUP(I403*K403,0))</f>
        <v>1</v>
      </c>
      <c r="M403" s="15" t="s">
        <v>1330</v>
      </c>
      <c r="N403" s="14"/>
      <c r="O403" s="15"/>
      <c r="P403" s="15" t="s">
        <v>45</v>
      </c>
      <c r="Q403" s="13" t="s">
        <v>1331</v>
      </c>
      <c r="R403" s="14"/>
    </row>
    <row r="404" customFormat="false" ht="23.85" hidden="false" customHeight="false" outlineLevel="0" collapsed="false">
      <c r="A404" s="14" t="n">
        <v>6</v>
      </c>
      <c r="B404" s="15" t="s">
        <v>153</v>
      </c>
      <c r="C404" s="15" t="s">
        <v>97</v>
      </c>
      <c r="D404" s="15" t="s">
        <v>243</v>
      </c>
      <c r="E404" s="14" t="n">
        <v>7</v>
      </c>
      <c r="F404" s="15" t="s">
        <v>241</v>
      </c>
      <c r="G404" s="14" t="s">
        <v>57</v>
      </c>
      <c r="H404" s="14"/>
      <c r="I404" s="14" t="n">
        <f aca="false">IF(E404="","",IF(OR(AND(H404="Plan A",$C$5="B"),AND(H404="Plan B",$C$5="A")),0,IF(OR(G404="per student",G404="per group",G404="per class"),E404*IF(B404="Year 7",$C$3,$C$4),E404)))</f>
        <v>7</v>
      </c>
      <c r="J404" s="15"/>
      <c r="K404" s="14"/>
      <c r="L404" s="14" t="str">
        <f aca="false">IF(OR(K404="",O404&lt;&gt;"",I404=""),"",ROUNDUP(I404*K404,0))</f>
        <v/>
      </c>
      <c r="M404" s="15" t="s">
        <v>1332</v>
      </c>
      <c r="N404" s="14" t="s">
        <v>105</v>
      </c>
      <c r="O404" s="15"/>
      <c r="P404" s="15" t="s">
        <v>77</v>
      </c>
      <c r="Q404" s="13" t="s">
        <v>1333</v>
      </c>
      <c r="R404" s="14"/>
    </row>
    <row r="405" customFormat="false" ht="35.05" hidden="false" customHeight="false" outlineLevel="0" collapsed="false">
      <c r="A405" s="14" t="n">
        <v>6</v>
      </c>
      <c r="B405" s="15" t="s">
        <v>153</v>
      </c>
      <c r="C405" s="15" t="s">
        <v>97</v>
      </c>
      <c r="D405" s="15" t="s">
        <v>253</v>
      </c>
      <c r="E405" s="14"/>
      <c r="F405" s="15" t="s">
        <v>1334</v>
      </c>
      <c r="G405" s="14" t="s">
        <v>57</v>
      </c>
      <c r="H405" s="14"/>
      <c r="I405" s="14" t="str">
        <f aca="false">IF(E405="","",IF(OR(AND(H405="Plan A",$C$5="B"),AND(H405="Plan B",$C$5="A")),0,IF(OR(G405="per student",G405="per group",G405="per class"),E405*IF(B405="Year 7",$C$3,$C$4),E405)))</f>
        <v/>
      </c>
      <c r="J405" s="15"/>
      <c r="K405" s="14"/>
      <c r="L405" s="14" t="str">
        <f aca="false">IF(OR(K405="",O405&lt;&gt;"",I405=""),"",ROUNDUP(I405*K405,0))</f>
        <v/>
      </c>
      <c r="M405" s="15" t="s">
        <v>1335</v>
      </c>
      <c r="N405" s="14"/>
      <c r="O405" s="15"/>
      <c r="P405" s="15" t="s">
        <v>77</v>
      </c>
      <c r="Q405" s="13" t="s">
        <v>1336</v>
      </c>
      <c r="R405" s="14"/>
    </row>
    <row r="406" customFormat="false" ht="23.85" hidden="false" customHeight="false" outlineLevel="0" collapsed="false">
      <c r="A406" s="14" t="n">
        <v>6</v>
      </c>
      <c r="B406" s="15" t="s">
        <v>153</v>
      </c>
      <c r="C406" s="15" t="s">
        <v>97</v>
      </c>
      <c r="D406" s="15" t="s">
        <v>1337</v>
      </c>
      <c r="E406" s="14" t="n">
        <v>24</v>
      </c>
      <c r="F406" s="15" t="s">
        <v>463</v>
      </c>
      <c r="G406" s="14" t="s">
        <v>66</v>
      </c>
      <c r="H406" s="14"/>
      <c r="I406" s="14" t="n">
        <f aca="false">IF(E406="","",IF(OR(AND(H406="Plan A",$C$5="B"),AND(H406="Plan B",$C$5="A")),0,IF(OR(G406="per student",G406="per group",G406="per class"),E406*IF(B406="Year 7",$C$3,$C$4),E406)))</f>
        <v>24</v>
      </c>
      <c r="J406" s="15"/>
      <c r="K406" s="14"/>
      <c r="L406" s="14" t="str">
        <f aca="false">IF(OR(K406="",O406&lt;&gt;"",I406=""),"",ROUNDUP(I406*K406,0))</f>
        <v/>
      </c>
      <c r="M406" s="15" t="s">
        <v>1338</v>
      </c>
      <c r="N406" s="14"/>
      <c r="O406" s="15" t="s">
        <v>472</v>
      </c>
      <c r="P406" s="13" t="s">
        <v>91</v>
      </c>
      <c r="Q406" s="13" t="s">
        <v>1339</v>
      </c>
      <c r="R406" s="14"/>
    </row>
    <row r="407" customFormat="false" ht="57.45" hidden="false" customHeight="false" outlineLevel="0" collapsed="false">
      <c r="A407" s="14" t="n">
        <v>6</v>
      </c>
      <c r="B407" s="15" t="s">
        <v>153</v>
      </c>
      <c r="C407" s="15" t="s">
        <v>97</v>
      </c>
      <c r="D407" s="15" t="s">
        <v>1340</v>
      </c>
      <c r="E407" s="14" t="n">
        <v>24</v>
      </c>
      <c r="F407" s="15" t="s">
        <v>314</v>
      </c>
      <c r="G407" s="14" t="s">
        <v>43</v>
      </c>
      <c r="H407" s="14"/>
      <c r="I407" s="14" t="n">
        <f aca="false">IF(E407="","",IF(OR(AND(H407="Plan A",$C$5="B"),AND(H407="Plan B",$C$5="A")),0,IF(OR(G407="per student",G407="per group",G407="per class"),E407*IF(B407="Year 7",$C$3,$C$4),E407)))</f>
        <v>24</v>
      </c>
      <c r="J407" s="15"/>
      <c r="K407" s="14"/>
      <c r="L407" s="14" t="str">
        <f aca="false">IF(OR(K407="",O407&lt;&gt;"",I407=""),"",ROUNDUP(I407*K407,0))</f>
        <v/>
      </c>
      <c r="M407" s="15" t="s">
        <v>1341</v>
      </c>
      <c r="N407" s="14"/>
      <c r="O407" s="15" t="s">
        <v>475</v>
      </c>
      <c r="P407" s="15" t="s">
        <v>376</v>
      </c>
      <c r="Q407" s="15"/>
      <c r="R407" s="14"/>
    </row>
    <row r="408" customFormat="false" ht="23.85" hidden="false" customHeight="false" outlineLevel="0" collapsed="false">
      <c r="A408" s="14" t="n">
        <v>6</v>
      </c>
      <c r="B408" s="15" t="s">
        <v>153</v>
      </c>
      <c r="C408" s="15" t="s">
        <v>97</v>
      </c>
      <c r="D408" s="15" t="s">
        <v>367</v>
      </c>
      <c r="E408" s="14" t="n">
        <v>24</v>
      </c>
      <c r="F408" s="15" t="s">
        <v>368</v>
      </c>
      <c r="G408" s="14" t="s">
        <v>43</v>
      </c>
      <c r="H408" s="14"/>
      <c r="I408" s="14" t="n">
        <f aca="false">IF(E408="","",IF(OR(AND(H408="Plan A",$C$5="B"),AND(H408="Plan B",$C$5="A")),0,IF(OR(G408="per student",G408="per group",G408="per class"),E408*IF(B408="Year 7",$C$3,$C$4),E408)))</f>
        <v>24</v>
      </c>
      <c r="J408" s="15"/>
      <c r="K408" s="14"/>
      <c r="L408" s="14" t="str">
        <f aca="false">IF(OR(K408="",O408&lt;&gt;"",I408=""),"",ROUNDUP(I408*K408,0))</f>
        <v/>
      </c>
      <c r="M408" s="15" t="s">
        <v>1342</v>
      </c>
      <c r="N408" s="14"/>
      <c r="O408" s="15" t="s">
        <v>370</v>
      </c>
      <c r="P408" s="15" t="s">
        <v>376</v>
      </c>
      <c r="Q408" s="15"/>
      <c r="R408" s="14"/>
    </row>
    <row r="409" customFormat="false" ht="46.25" hidden="false" customHeight="false" outlineLevel="0" collapsed="false">
      <c r="A409" s="14" t="n">
        <v>6</v>
      </c>
      <c r="B409" s="15" t="s">
        <v>153</v>
      </c>
      <c r="C409" s="15" t="s">
        <v>97</v>
      </c>
      <c r="D409" s="15" t="s">
        <v>1343</v>
      </c>
      <c r="E409" s="14" t="n">
        <v>6</v>
      </c>
      <c r="F409" s="15" t="s">
        <v>373</v>
      </c>
      <c r="G409" s="14" t="s">
        <v>66</v>
      </c>
      <c r="H409" s="14"/>
      <c r="I409" s="14" t="n">
        <f aca="false">IF(E409="","",IF(OR(AND(H409="Plan A",$C$5="B"),AND(H409="Plan B",$C$5="A")),0,IF(OR(G409="per student",G409="per group",G409="per class"),E409*IF(B409="Year 7",$C$3,$C$4),E409)))</f>
        <v>6</v>
      </c>
      <c r="J409" s="15"/>
      <c r="K409" s="14"/>
      <c r="L409" s="14" t="str">
        <f aca="false">IF(OR(K409="",O409&lt;&gt;"",I409=""),"",ROUNDUP(I409*K409,0))</f>
        <v/>
      </c>
      <c r="M409" s="15" t="s">
        <v>1344</v>
      </c>
      <c r="N409" s="14"/>
      <c r="O409" s="15" t="s">
        <v>481</v>
      </c>
      <c r="P409" s="15" t="s">
        <v>376</v>
      </c>
      <c r="Q409" s="15"/>
      <c r="R409" s="14"/>
    </row>
    <row r="410" customFormat="false" ht="35.05" hidden="false" customHeight="false" outlineLevel="0" collapsed="false">
      <c r="A410" s="14" t="n">
        <v>6</v>
      </c>
      <c r="B410" s="15" t="s">
        <v>153</v>
      </c>
      <c r="C410" s="15" t="s">
        <v>97</v>
      </c>
      <c r="D410" s="15" t="s">
        <v>482</v>
      </c>
      <c r="E410" s="14" t="n">
        <v>6</v>
      </c>
      <c r="F410" s="15" t="s">
        <v>373</v>
      </c>
      <c r="G410" s="14" t="s">
        <v>66</v>
      </c>
      <c r="H410" s="14"/>
      <c r="I410" s="14" t="n">
        <f aca="false">IF(E410="","",IF(OR(AND(H410="Plan A",$C$5="B"),AND(H410="Plan B",$C$5="A")),0,IF(OR(G410="per student",G410="per group",G410="per class"),E410*IF(B410="Year 7",$C$3,$C$4),E410)))</f>
        <v>6</v>
      </c>
      <c r="J410" s="15"/>
      <c r="K410" s="14"/>
      <c r="L410" s="14" t="str">
        <f aca="false">IF(OR(K410="",O410&lt;&gt;"",I410=""),"",ROUNDUP(I410*K410,0))</f>
        <v/>
      </c>
      <c r="M410" s="15" t="s">
        <v>1345</v>
      </c>
      <c r="N410" s="14"/>
      <c r="O410" s="15" t="s">
        <v>484</v>
      </c>
      <c r="P410" s="15" t="s">
        <v>376</v>
      </c>
      <c r="Q410" s="15"/>
      <c r="R410" s="14"/>
    </row>
    <row r="411" customFormat="false" ht="23.85" hidden="false" customHeight="false" outlineLevel="0" collapsed="false">
      <c r="A411" s="14" t="n">
        <v>6</v>
      </c>
      <c r="B411" s="15" t="s">
        <v>153</v>
      </c>
      <c r="C411" s="15" t="s">
        <v>97</v>
      </c>
      <c r="D411" s="15" t="s">
        <v>485</v>
      </c>
      <c r="E411" s="14" t="n">
        <v>24</v>
      </c>
      <c r="F411" s="15" t="s">
        <v>368</v>
      </c>
      <c r="G411" s="14" t="s">
        <v>43</v>
      </c>
      <c r="H411" s="14"/>
      <c r="I411" s="14" t="n">
        <f aca="false">IF(E411="","",IF(OR(AND(H411="Plan A",$C$5="B"),AND(H411="Plan B",$C$5="A")),0,IF(OR(G411="per student",G411="per group",G411="per class"),E411*IF(B411="Year 7",$C$3,$C$4),E411)))</f>
        <v>24</v>
      </c>
      <c r="J411" s="15"/>
      <c r="K411" s="14"/>
      <c r="L411" s="14" t="str">
        <f aca="false">IF(OR(K411="",O411&lt;&gt;"",I411=""),"",ROUNDUP(I411*K411,0))</f>
        <v/>
      </c>
      <c r="M411" s="15" t="s">
        <v>1346</v>
      </c>
      <c r="N411" s="14"/>
      <c r="O411" s="15" t="s">
        <v>1347</v>
      </c>
      <c r="P411" s="15" t="s">
        <v>376</v>
      </c>
      <c r="Q411" s="13" t="s">
        <v>1348</v>
      </c>
      <c r="R411" s="14"/>
    </row>
    <row r="412" customFormat="false" ht="35.05" hidden="false" customHeight="false" outlineLevel="0" collapsed="false">
      <c r="A412" s="14" t="n">
        <v>6</v>
      </c>
      <c r="B412" s="15" t="s">
        <v>153</v>
      </c>
      <c r="C412" s="15" t="s">
        <v>124</v>
      </c>
      <c r="D412" s="15" t="s">
        <v>659</v>
      </c>
      <c r="E412" s="14" t="n">
        <v>12</v>
      </c>
      <c r="F412" s="15" t="s">
        <v>1349</v>
      </c>
      <c r="G412" s="14" t="s">
        <v>66</v>
      </c>
      <c r="H412" s="14"/>
      <c r="I412" s="14" t="n">
        <f aca="false">IF(E412="","",IF(OR(AND(H412="Plan A",$C$5="B"),AND(H412="Plan B",$C$5="A")),0,IF(OR(G412="per student",G412="per group",G412="per class"),E412*IF(B412="Year 7",$C$3,$C$4),E412)))</f>
        <v>12</v>
      </c>
      <c r="J412" s="15"/>
      <c r="K412" s="14"/>
      <c r="L412" s="14" t="str">
        <f aca="false">IF(OR(K412="",O412&lt;&gt;"",I412=""),"",ROUNDUP(I412*K412,0))</f>
        <v/>
      </c>
      <c r="M412" s="15" t="s">
        <v>1350</v>
      </c>
      <c r="N412" s="14"/>
      <c r="O412" s="15"/>
      <c r="P412" s="15" t="s">
        <v>77</v>
      </c>
      <c r="Q412" s="13" t="s">
        <v>1351</v>
      </c>
      <c r="R412" s="14"/>
    </row>
    <row r="413" customFormat="false" ht="35.05" hidden="false" customHeight="false" outlineLevel="0" collapsed="false">
      <c r="A413" s="14" t="n">
        <v>6</v>
      </c>
      <c r="B413" s="15" t="s">
        <v>153</v>
      </c>
      <c r="C413" s="15" t="s">
        <v>124</v>
      </c>
      <c r="D413" s="15" t="s">
        <v>1352</v>
      </c>
      <c r="E413" s="14" t="n">
        <v>7</v>
      </c>
      <c r="F413" s="15" t="s">
        <v>1353</v>
      </c>
      <c r="G413" s="14" t="s">
        <v>66</v>
      </c>
      <c r="H413" s="14"/>
      <c r="I413" s="14" t="n">
        <f aca="false">IF(E413="","",IF(OR(AND(H413="Plan A",$C$5="B"),AND(H413="Plan B",$C$5="A")),0,IF(OR(G413="per student",G413="per group",G413="per class"),E413*IF(B413="Year 7",$C$3,$C$4),E413)))</f>
        <v>7</v>
      </c>
      <c r="J413" s="15"/>
      <c r="K413" s="14"/>
      <c r="L413" s="14" t="str">
        <f aca="false">IF(OR(K413="",O413&lt;&gt;"",I413=""),"",ROUNDUP(I413*K413,0))</f>
        <v/>
      </c>
      <c r="M413" s="15" t="s">
        <v>1354</v>
      </c>
      <c r="N413" s="14"/>
      <c r="O413" s="15"/>
      <c r="P413" s="15" t="s">
        <v>77</v>
      </c>
      <c r="Q413" s="13" t="s">
        <v>1355</v>
      </c>
      <c r="R413" s="14"/>
    </row>
    <row r="414" customFormat="false" ht="35.05" hidden="false" customHeight="false" outlineLevel="0" collapsed="false">
      <c r="A414" s="14" t="n">
        <v>6</v>
      </c>
      <c r="B414" s="15" t="s">
        <v>153</v>
      </c>
      <c r="C414" s="15" t="s">
        <v>124</v>
      </c>
      <c r="D414" s="15" t="s">
        <v>1356</v>
      </c>
      <c r="E414" s="14" t="n">
        <v>3</v>
      </c>
      <c r="F414" s="15" t="s">
        <v>588</v>
      </c>
      <c r="G414" s="14" t="s">
        <v>75</v>
      </c>
      <c r="H414" s="14"/>
      <c r="I414" s="14" t="n">
        <f aca="false">IF(E414="","",IF(OR(AND(H414="Plan A",$C$5="B"),AND(H414="Plan B",$C$5="A")),0,IF(OR(G414="per student",G414="per group",G414="per class"),E414*IF(B414="Year 7",$C$3,$C$4),E414)))</f>
        <v>3</v>
      </c>
      <c r="J414" s="15"/>
      <c r="K414" s="14"/>
      <c r="L414" s="14" t="str">
        <f aca="false">IF(OR(K414="",O414&lt;&gt;"",I414=""),"",ROUNDUP(I414*K414,0))</f>
        <v/>
      </c>
      <c r="M414" s="15" t="s">
        <v>1357</v>
      </c>
      <c r="N414" s="14" t="s">
        <v>105</v>
      </c>
      <c r="O414" s="15"/>
      <c r="P414" s="13" t="s">
        <v>91</v>
      </c>
      <c r="Q414" s="13" t="s">
        <v>1358</v>
      </c>
      <c r="R414" s="14"/>
    </row>
    <row r="415" customFormat="false" ht="35.05" hidden="false" customHeight="false" outlineLevel="0" collapsed="false">
      <c r="A415" s="14" t="n">
        <v>6</v>
      </c>
      <c r="B415" s="15" t="s">
        <v>153</v>
      </c>
      <c r="C415" s="15" t="s">
        <v>124</v>
      </c>
      <c r="D415" s="15" t="s">
        <v>1359</v>
      </c>
      <c r="E415" s="14" t="n">
        <v>3</v>
      </c>
      <c r="F415" s="15" t="s">
        <v>1360</v>
      </c>
      <c r="G415" s="14" t="s">
        <v>75</v>
      </c>
      <c r="H415" s="14"/>
      <c r="I415" s="14" t="n">
        <f aca="false">IF(E415="","",IF(OR(AND(H415="Plan A",$C$5="B"),AND(H415="Plan B",$C$5="A")),0,IF(OR(G415="per student",G415="per group",G415="per class"),E415*IF(B415="Year 7",$C$3,$C$4),E415)))</f>
        <v>3</v>
      </c>
      <c r="J415" s="15"/>
      <c r="K415" s="14"/>
      <c r="L415" s="14" t="str">
        <f aca="false">IF(OR(K415="",O415&lt;&gt;"",I415=""),"",ROUNDUP(I415*K415,0))</f>
        <v/>
      </c>
      <c r="M415" s="15" t="s">
        <v>1361</v>
      </c>
      <c r="N415" s="14"/>
      <c r="O415" s="15"/>
      <c r="P415" s="15" t="s">
        <v>77</v>
      </c>
      <c r="Q415" s="13" t="s">
        <v>1362</v>
      </c>
      <c r="R415" s="14"/>
    </row>
    <row r="416" customFormat="false" ht="15" hidden="false" customHeight="false" outlineLevel="0" collapsed="false">
      <c r="A416" s="14" t="n">
        <v>6</v>
      </c>
      <c r="B416" s="15" t="s">
        <v>153</v>
      </c>
      <c r="C416" s="15" t="s">
        <v>124</v>
      </c>
      <c r="D416" s="15" t="s">
        <v>1363</v>
      </c>
      <c r="E416" s="14" t="n">
        <v>6</v>
      </c>
      <c r="F416" s="15" t="s">
        <v>1364</v>
      </c>
      <c r="G416" s="14" t="s">
        <v>66</v>
      </c>
      <c r="H416" s="14"/>
      <c r="I416" s="14" t="n">
        <f aca="false">IF(E416="","",IF(OR(AND(H416="Plan A",$C$5="B"),AND(H416="Plan B",$C$5="A")),0,IF(OR(G416="per student",G416="per group",G416="per class"),E416*IF(B416="Year 7",$C$3,$C$4),E416)))</f>
        <v>6</v>
      </c>
      <c r="J416" s="15"/>
      <c r="K416" s="14"/>
      <c r="L416" s="14" t="str">
        <f aca="false">IF(OR(K416="",O416&lt;&gt;"",I416=""),"",ROUNDUP(I416*K416,0))</f>
        <v/>
      </c>
      <c r="M416" s="15" t="s">
        <v>1365</v>
      </c>
      <c r="N416" s="14"/>
      <c r="O416" s="15"/>
      <c r="P416" s="15" t="s">
        <v>77</v>
      </c>
      <c r="Q416" s="13" t="s">
        <v>1366</v>
      </c>
      <c r="R416" s="14"/>
    </row>
    <row r="417" customFormat="false" ht="23.85" hidden="false" customHeight="false" outlineLevel="0" collapsed="false">
      <c r="A417" s="14" t="n">
        <v>6</v>
      </c>
      <c r="B417" s="15" t="s">
        <v>153</v>
      </c>
      <c r="C417" s="15" t="s">
        <v>124</v>
      </c>
      <c r="D417" s="15" t="s">
        <v>495</v>
      </c>
      <c r="E417" s="14" t="n">
        <v>6</v>
      </c>
      <c r="F417" s="15" t="s">
        <v>496</v>
      </c>
      <c r="G417" s="14" t="s">
        <v>66</v>
      </c>
      <c r="H417" s="14"/>
      <c r="I417" s="14" t="n">
        <f aca="false">IF(E417="","",IF(OR(AND(H417="Plan A",$C$5="B"),AND(H417="Plan B",$C$5="A")),0,IF(OR(G417="per student",G417="per group",G417="per class"),E417*IF(B417="Year 7",$C$3,$C$4),E417)))</f>
        <v>6</v>
      </c>
      <c r="J417" s="15"/>
      <c r="K417" s="14"/>
      <c r="L417" s="14" t="str">
        <f aca="false">IF(OR(K417="",O417&lt;&gt;"",I417=""),"",ROUNDUP(I417*K417,0))</f>
        <v/>
      </c>
      <c r="M417" s="15" t="s">
        <v>1367</v>
      </c>
      <c r="N417" s="14"/>
      <c r="O417" s="15" t="s">
        <v>1368</v>
      </c>
      <c r="P417" s="13" t="s">
        <v>91</v>
      </c>
      <c r="Q417" s="13" t="s">
        <v>1369</v>
      </c>
      <c r="R417" s="14"/>
    </row>
    <row r="418" customFormat="false" ht="15" hidden="false" customHeight="false" outlineLevel="0" collapsed="false">
      <c r="A418" s="14" t="n">
        <v>6</v>
      </c>
      <c r="B418" s="15" t="s">
        <v>153</v>
      </c>
      <c r="C418" s="15" t="s">
        <v>124</v>
      </c>
      <c r="D418" s="15" t="s">
        <v>125</v>
      </c>
      <c r="E418" s="14" t="n">
        <v>1</v>
      </c>
      <c r="F418" s="15" t="s">
        <v>267</v>
      </c>
      <c r="G418" s="14" t="s">
        <v>127</v>
      </c>
      <c r="H418" s="14"/>
      <c r="I418" s="14" t="n">
        <f aca="false">IF(E418="","",IF(OR(AND(H418="Plan A",$C$5="B"),AND(H418="Plan B",$C$5="A")),0,IF(OR(G418="per student",G418="per group",G418="per class"),E418*IF(B418="Year 7",$C$3,$C$4),E418)))</f>
        <v>1</v>
      </c>
      <c r="J418" s="15"/>
      <c r="K418" s="14"/>
      <c r="L418" s="14" t="str">
        <f aca="false">IF(OR(K418="",O418&lt;&gt;"",I418=""),"",ROUNDUP(I418*K418,0))</f>
        <v/>
      </c>
      <c r="M418" s="15" t="s">
        <v>1370</v>
      </c>
      <c r="N418" s="14"/>
      <c r="O418" s="15" t="s">
        <v>365</v>
      </c>
      <c r="P418" s="15" t="s">
        <v>376</v>
      </c>
      <c r="Q418" s="15"/>
      <c r="R418" s="14"/>
    </row>
    <row r="419" customFormat="false" ht="23.85" hidden="false" customHeight="false" outlineLevel="0" collapsed="false">
      <c r="A419" s="14" t="n">
        <v>6</v>
      </c>
      <c r="B419" s="15" t="s">
        <v>153</v>
      </c>
      <c r="C419" s="15" t="s">
        <v>124</v>
      </c>
      <c r="D419" s="15" t="s">
        <v>1371</v>
      </c>
      <c r="E419" s="14" t="n">
        <v>1</v>
      </c>
      <c r="F419" s="15" t="s">
        <v>1372</v>
      </c>
      <c r="G419" s="14" t="s">
        <v>127</v>
      </c>
      <c r="H419" s="14"/>
      <c r="I419" s="14" t="n">
        <f aca="false">IF(E419="","",IF(OR(AND(H419="Plan A",$C$5="B"),AND(H419="Plan B",$C$5="A")),0,IF(OR(G419="per student",G419="per group",G419="per class"),E419*IF(B419="Year 7",$C$3,$C$4),E419)))</f>
        <v>1</v>
      </c>
      <c r="J419" s="15"/>
      <c r="K419" s="14"/>
      <c r="L419" s="14" t="str">
        <f aca="false">IF(OR(K419="",O419&lt;&gt;"",I419=""),"",ROUNDUP(I419*K419,0))</f>
        <v/>
      </c>
      <c r="M419" s="15" t="s">
        <v>1373</v>
      </c>
      <c r="N419" s="14"/>
      <c r="O419" s="15" t="s">
        <v>1374</v>
      </c>
      <c r="P419" s="15" t="s">
        <v>376</v>
      </c>
      <c r="Q419" s="13" t="s">
        <v>1375</v>
      </c>
      <c r="R419" s="14"/>
    </row>
    <row r="420" customFormat="false" ht="46.25" hidden="false" customHeight="false" outlineLevel="0" collapsed="false">
      <c r="A420" s="14" t="n">
        <v>6</v>
      </c>
      <c r="B420" s="15" t="s">
        <v>153</v>
      </c>
      <c r="C420" s="15" t="s">
        <v>144</v>
      </c>
      <c r="D420" s="15" t="s">
        <v>1376</v>
      </c>
      <c r="E420" s="14" t="n">
        <v>3</v>
      </c>
      <c r="F420" s="15" t="s">
        <v>601</v>
      </c>
      <c r="G420" s="14" t="s">
        <v>75</v>
      </c>
      <c r="H420" s="14"/>
      <c r="I420" s="14" t="n">
        <f aca="false">IF(E420="","",IF(OR(AND(H420="Plan A",$C$5="B"),AND(H420="Plan B",$C$5="A")),0,IF(OR(G420="per student",G420="per group",G420="per class"),E420*IF(B420="Year 7",$C$3,$C$4),E420)))</f>
        <v>3</v>
      </c>
      <c r="J420" s="15"/>
      <c r="K420" s="14"/>
      <c r="L420" s="14" t="str">
        <f aca="false">IF(OR(K420="",O420&lt;&gt;"",I420=""),"",ROUNDUP(I420*K420,0))</f>
        <v/>
      </c>
      <c r="M420" s="15" t="s">
        <v>1377</v>
      </c>
      <c r="N420" s="14"/>
      <c r="O420" s="15"/>
      <c r="P420" s="15" t="s">
        <v>77</v>
      </c>
      <c r="Q420" s="13" t="s">
        <v>1378</v>
      </c>
      <c r="R420" s="14"/>
    </row>
    <row r="421" customFormat="false" ht="46.25" hidden="false" customHeight="false" outlineLevel="0" collapsed="false">
      <c r="A421" s="11" t="n">
        <v>7</v>
      </c>
      <c r="B421" s="12" t="s">
        <v>39</v>
      </c>
      <c r="C421" s="12" t="s">
        <v>40</v>
      </c>
      <c r="D421" s="12" t="s">
        <v>1379</v>
      </c>
      <c r="E421" s="11" t="n">
        <v>24</v>
      </c>
      <c r="F421" s="12" t="s">
        <v>1380</v>
      </c>
      <c r="G421" s="11" t="s">
        <v>43</v>
      </c>
      <c r="H421" s="11" t="s">
        <v>964</v>
      </c>
      <c r="I421" s="11" t="n">
        <f aca="false">IF(E421="","",IF(OR(AND(H421="Plan A",$C$5="B"),AND(H421="Plan B",$C$5="A")),0,IF(OR(G421="per student",G421="per group",G421="per class"),E421*IF(B421="Year 7",$C$3,$C$4),E421)))</f>
        <v>24</v>
      </c>
      <c r="J421" s="12" t="s">
        <v>13</v>
      </c>
      <c r="K421" s="11" t="n">
        <v>2</v>
      </c>
      <c r="L421" s="11" t="n">
        <f aca="false">IF(OR(K421="",O421&lt;&gt;"",I421=""),"",ROUNDUP(I421*K421,0))</f>
        <v>48</v>
      </c>
      <c r="M421" s="12" t="s">
        <v>1381</v>
      </c>
      <c r="N421" s="11"/>
      <c r="O421" s="12"/>
      <c r="P421" s="12" t="s">
        <v>45</v>
      </c>
      <c r="Q421" s="13" t="s">
        <v>1382</v>
      </c>
      <c r="R421" s="11"/>
    </row>
    <row r="422" customFormat="false" ht="35.05" hidden="false" customHeight="false" outlineLevel="0" collapsed="false">
      <c r="A422" s="11" t="n">
        <v>7</v>
      </c>
      <c r="B422" s="12" t="s">
        <v>39</v>
      </c>
      <c r="C422" s="12" t="s">
        <v>40</v>
      </c>
      <c r="D422" s="12" t="s">
        <v>1383</v>
      </c>
      <c r="E422" s="11" t="n">
        <v>24</v>
      </c>
      <c r="F422" s="12" t="s">
        <v>1380</v>
      </c>
      <c r="G422" s="11" t="s">
        <v>43</v>
      </c>
      <c r="H422" s="11" t="s">
        <v>956</v>
      </c>
      <c r="I422" s="11" t="n">
        <f aca="false">IF(E422="","",IF(OR(AND(H422="Plan A",$C$5="B"),AND(H422="Plan B",$C$5="A")),0,IF(OR(G422="per student",G422="per group",G422="per class"),E422*IF(B422="Year 7",$C$3,$C$4),E422)))</f>
        <v>24</v>
      </c>
      <c r="J422" s="12" t="s">
        <v>13</v>
      </c>
      <c r="K422" s="11" t="n">
        <v>2</v>
      </c>
      <c r="L422" s="11" t="n">
        <f aca="false">IF(OR(K422="",O422&lt;&gt;"",I422=""),"",ROUNDUP(I422*K422,0))</f>
        <v>48</v>
      </c>
      <c r="M422" s="12" t="s">
        <v>1381</v>
      </c>
      <c r="N422" s="11"/>
      <c r="O422" s="12"/>
      <c r="P422" s="12" t="s">
        <v>45</v>
      </c>
      <c r="Q422" s="13" t="s">
        <v>1384</v>
      </c>
      <c r="R422" s="11"/>
    </row>
    <row r="423" customFormat="false" ht="23.85" hidden="false" customHeight="false" outlineLevel="0" collapsed="false">
      <c r="A423" s="11" t="n">
        <v>7</v>
      </c>
      <c r="B423" s="12" t="s">
        <v>39</v>
      </c>
      <c r="C423" s="12" t="s">
        <v>40</v>
      </c>
      <c r="D423" s="12" t="s">
        <v>1385</v>
      </c>
      <c r="E423" s="11" t="n">
        <v>1</v>
      </c>
      <c r="F423" s="12" t="s">
        <v>1386</v>
      </c>
      <c r="G423" s="11" t="s">
        <v>127</v>
      </c>
      <c r="H423" s="11" t="s">
        <v>964</v>
      </c>
      <c r="I423" s="11" t="n">
        <f aca="false">IF(E423="","",IF(OR(AND(H423="Plan A",$C$5="B"),AND(H423="Plan B",$C$5="A")),0,IF(OR(G423="per student",G423="per group",G423="per class"),E423*IF(B423="Year 7",$C$3,$C$4),E423)))</f>
        <v>1</v>
      </c>
      <c r="J423" s="12" t="s">
        <v>20</v>
      </c>
      <c r="K423" s="11" t="n">
        <v>1</v>
      </c>
      <c r="L423" s="11" t="n">
        <f aca="false">IF(OR(K423="",O423&lt;&gt;"",I423=""),"",ROUNDUP(I423*K423,0))</f>
        <v>1</v>
      </c>
      <c r="M423" s="12" t="s">
        <v>1387</v>
      </c>
      <c r="N423" s="11"/>
      <c r="O423" s="12"/>
      <c r="P423" s="12" t="s">
        <v>45</v>
      </c>
      <c r="Q423" s="13" t="s">
        <v>1388</v>
      </c>
      <c r="R423" s="11"/>
    </row>
    <row r="424" customFormat="false" ht="23.85" hidden="false" customHeight="false" outlineLevel="0" collapsed="false">
      <c r="A424" s="11" t="n">
        <v>7</v>
      </c>
      <c r="B424" s="12" t="s">
        <v>39</v>
      </c>
      <c r="C424" s="12" t="s">
        <v>40</v>
      </c>
      <c r="D424" s="12" t="s">
        <v>1389</v>
      </c>
      <c r="E424" s="11" t="n">
        <v>1</v>
      </c>
      <c r="F424" s="12" t="s">
        <v>1386</v>
      </c>
      <c r="G424" s="11" t="s">
        <v>127</v>
      </c>
      <c r="H424" s="11" t="s">
        <v>956</v>
      </c>
      <c r="I424" s="11" t="n">
        <f aca="false">IF(E424="","",IF(OR(AND(H424="Plan A",$C$5="B"),AND(H424="Plan B",$C$5="A")),0,IF(OR(G424="per student",G424="per group",G424="per class"),E424*IF(B424="Year 7",$C$3,$C$4),E424)))</f>
        <v>1</v>
      </c>
      <c r="J424" s="12" t="s">
        <v>20</v>
      </c>
      <c r="K424" s="11" t="n">
        <v>1</v>
      </c>
      <c r="L424" s="11" t="n">
        <f aca="false">IF(OR(K424="",O424&lt;&gt;"",I424=""),"",ROUNDUP(I424*K424,0))</f>
        <v>1</v>
      </c>
      <c r="M424" s="12" t="s">
        <v>1390</v>
      </c>
      <c r="N424" s="11"/>
      <c r="O424" s="12"/>
      <c r="P424" s="12" t="s">
        <v>45</v>
      </c>
      <c r="Q424" s="13" t="s">
        <v>1388</v>
      </c>
      <c r="R424" s="11"/>
    </row>
    <row r="425" customFormat="false" ht="46.25" hidden="false" customHeight="false" outlineLevel="0" collapsed="false">
      <c r="A425" s="11" t="n">
        <v>7</v>
      </c>
      <c r="B425" s="12" t="s">
        <v>39</v>
      </c>
      <c r="C425" s="12" t="s">
        <v>40</v>
      </c>
      <c r="D425" s="12" t="s">
        <v>1391</v>
      </c>
      <c r="E425" s="11" t="n">
        <v>1</v>
      </c>
      <c r="F425" s="12" t="s">
        <v>341</v>
      </c>
      <c r="G425" s="11" t="s">
        <v>127</v>
      </c>
      <c r="H425" s="11" t="s">
        <v>964</v>
      </c>
      <c r="I425" s="11" t="n">
        <f aca="false">IF(E425="","",IF(OR(AND(H425="Plan A",$C$5="B"),AND(H425="Plan B",$C$5="A")),0,IF(OR(G425="per student",G425="per group",G425="per class"),E425*IF(B425="Year 7",$C$3,$C$4),E425)))</f>
        <v>1</v>
      </c>
      <c r="J425" s="12" t="s">
        <v>18</v>
      </c>
      <c r="K425" s="11" t="n">
        <v>1</v>
      </c>
      <c r="L425" s="11" t="n">
        <f aca="false">IF(OR(K425="",O425&lt;&gt;"",I425=""),"",ROUNDUP(I425*K425,0))</f>
        <v>1</v>
      </c>
      <c r="M425" s="12" t="s">
        <v>1392</v>
      </c>
      <c r="N425" s="11"/>
      <c r="O425" s="12"/>
      <c r="P425" s="12" t="s">
        <v>77</v>
      </c>
      <c r="Q425" s="13" t="s">
        <v>1393</v>
      </c>
      <c r="R425" s="11"/>
    </row>
    <row r="426" customFormat="false" ht="46.25" hidden="false" customHeight="false" outlineLevel="0" collapsed="false">
      <c r="A426" s="11" t="n">
        <v>7</v>
      </c>
      <c r="B426" s="12" t="s">
        <v>39</v>
      </c>
      <c r="C426" s="12" t="s">
        <v>40</v>
      </c>
      <c r="D426" s="12" t="s">
        <v>1394</v>
      </c>
      <c r="E426" s="11" t="n">
        <v>1</v>
      </c>
      <c r="F426" s="12" t="s">
        <v>341</v>
      </c>
      <c r="G426" s="11" t="s">
        <v>127</v>
      </c>
      <c r="H426" s="11" t="s">
        <v>956</v>
      </c>
      <c r="I426" s="11" t="n">
        <f aca="false">IF(E426="","",IF(OR(AND(H426="Plan A",$C$5="B"),AND(H426="Plan B",$C$5="A")),0,IF(OR(G426="per student",G426="per group",G426="per class"),E426*IF(B426="Year 7",$C$3,$C$4),E426)))</f>
        <v>1</v>
      </c>
      <c r="J426" s="12" t="s">
        <v>18</v>
      </c>
      <c r="K426" s="11" t="n">
        <v>1</v>
      </c>
      <c r="L426" s="11" t="n">
        <f aca="false">IF(OR(K426="",O426&lt;&gt;"",I426=""),"",ROUNDUP(I426*K426,0))</f>
        <v>1</v>
      </c>
      <c r="M426" s="12" t="s">
        <v>1395</v>
      </c>
      <c r="N426" s="11"/>
      <c r="O426" s="12"/>
      <c r="P426" s="12" t="s">
        <v>77</v>
      </c>
      <c r="Q426" s="13" t="s">
        <v>1393</v>
      </c>
      <c r="R426" s="11"/>
    </row>
    <row r="427" customFormat="false" ht="35.05" hidden="false" customHeight="false" outlineLevel="0" collapsed="false">
      <c r="A427" s="11" t="n">
        <v>7</v>
      </c>
      <c r="B427" s="12" t="s">
        <v>39</v>
      </c>
      <c r="C427" s="12" t="s">
        <v>40</v>
      </c>
      <c r="D427" s="12" t="s">
        <v>1396</v>
      </c>
      <c r="E427" s="11" t="n">
        <v>2</v>
      </c>
      <c r="F427" s="12" t="s">
        <v>1397</v>
      </c>
      <c r="G427" s="11" t="s">
        <v>127</v>
      </c>
      <c r="H427" s="11"/>
      <c r="I427" s="11" t="n">
        <f aca="false">IF(E427="","",IF(OR(AND(H427="Plan A",$C$5="B"),AND(H427="Plan B",$C$5="A")),0,IF(OR(G427="per student",G427="per group",G427="per class"),E427*IF(B427="Year 7",$C$3,$C$4),E427)))</f>
        <v>2</v>
      </c>
      <c r="J427" s="12" t="s">
        <v>13</v>
      </c>
      <c r="K427" s="11" t="n">
        <v>1</v>
      </c>
      <c r="L427" s="11" t="n">
        <f aca="false">IF(OR(K427="",O427&lt;&gt;"",I427=""),"",ROUNDUP(I427*K427,0))</f>
        <v>2</v>
      </c>
      <c r="M427" s="12" t="s">
        <v>1398</v>
      </c>
      <c r="N427" s="11"/>
      <c r="O427" s="12"/>
      <c r="P427" s="12" t="s">
        <v>45</v>
      </c>
      <c r="Q427" s="13" t="s">
        <v>1399</v>
      </c>
      <c r="R427" s="11"/>
    </row>
    <row r="428" customFormat="false" ht="35.05" hidden="false" customHeight="false" outlineLevel="0" collapsed="false">
      <c r="A428" s="11" t="n">
        <v>7</v>
      </c>
      <c r="B428" s="12" t="s">
        <v>39</v>
      </c>
      <c r="C428" s="12" t="s">
        <v>40</v>
      </c>
      <c r="D428" s="12" t="s">
        <v>1400</v>
      </c>
      <c r="E428" s="11" t="n">
        <v>8</v>
      </c>
      <c r="F428" s="12" t="s">
        <v>1401</v>
      </c>
      <c r="G428" s="11" t="s">
        <v>66</v>
      </c>
      <c r="H428" s="11"/>
      <c r="I428" s="11" t="n">
        <f aca="false">IF(E428="","",IF(OR(AND(H428="Plan A",$C$5="B"),AND(H428="Plan B",$C$5="A")),0,IF(OR(G428="per student",G428="per group",G428="per class"),E428*IF(B428="Year 7",$C$3,$C$4),E428)))</f>
        <v>8</v>
      </c>
      <c r="J428" s="12" t="s">
        <v>13</v>
      </c>
      <c r="K428" s="11"/>
      <c r="L428" s="11" t="str">
        <f aca="false">IF(OR(K428="",O428&lt;&gt;"",I428=""),"",ROUNDUP(I428*K428,0))</f>
        <v/>
      </c>
      <c r="M428" s="12" t="s">
        <v>1402</v>
      </c>
      <c r="N428" s="11"/>
      <c r="O428" s="12" t="s">
        <v>1403</v>
      </c>
      <c r="P428" s="12" t="s">
        <v>376</v>
      </c>
      <c r="Q428" s="13" t="s">
        <v>1404</v>
      </c>
      <c r="R428" s="11"/>
    </row>
    <row r="429" customFormat="false" ht="35.05" hidden="false" customHeight="false" outlineLevel="0" collapsed="false">
      <c r="A429" s="11" t="n">
        <v>7</v>
      </c>
      <c r="B429" s="12" t="s">
        <v>39</v>
      </c>
      <c r="C429" s="12" t="s">
        <v>97</v>
      </c>
      <c r="D429" s="12" t="s">
        <v>1177</v>
      </c>
      <c r="E429" s="11" t="n">
        <v>1</v>
      </c>
      <c r="F429" s="12" t="s">
        <v>1178</v>
      </c>
      <c r="G429" s="11" t="s">
        <v>127</v>
      </c>
      <c r="H429" s="11"/>
      <c r="I429" s="11" t="n">
        <f aca="false">IF(E429="","",IF(OR(AND(H429="Plan A",$C$5="B"),AND(H429="Plan B",$C$5="A")),0,IF(OR(G429="per student",G429="per group",G429="per class"),E429*IF(B429="Year 7",$C$3,$C$4),E429)))</f>
        <v>1</v>
      </c>
      <c r="J429" s="12"/>
      <c r="K429" s="11"/>
      <c r="L429" s="11" t="str">
        <f aca="false">IF(OR(K429="",O429&lt;&gt;"",I429=""),"",ROUNDUP(I429*K429,0))</f>
        <v/>
      </c>
      <c r="M429" s="12" t="s">
        <v>1405</v>
      </c>
      <c r="N429" s="11" t="s">
        <v>105</v>
      </c>
      <c r="O429" s="12"/>
      <c r="P429" s="12" t="s">
        <v>77</v>
      </c>
      <c r="Q429" s="13" t="s">
        <v>1406</v>
      </c>
      <c r="R429" s="11"/>
    </row>
    <row r="430" customFormat="false" ht="23.85" hidden="false" customHeight="false" outlineLevel="0" collapsed="false">
      <c r="A430" s="11" t="n">
        <v>7</v>
      </c>
      <c r="B430" s="12" t="s">
        <v>39</v>
      </c>
      <c r="C430" s="12" t="s">
        <v>97</v>
      </c>
      <c r="D430" s="12" t="s">
        <v>1180</v>
      </c>
      <c r="E430" s="11" t="n">
        <v>6</v>
      </c>
      <c r="F430" s="12" t="s">
        <v>246</v>
      </c>
      <c r="G430" s="11" t="s">
        <v>66</v>
      </c>
      <c r="H430" s="11"/>
      <c r="I430" s="11" t="n">
        <f aca="false">IF(E430="","",IF(OR(AND(H430="Plan A",$C$5="B"),AND(H430="Plan B",$C$5="A")),0,IF(OR(G430="per student",G430="per group",G430="per class"),E430*IF(B430="Year 7",$C$3,$C$4),E430)))</f>
        <v>6</v>
      </c>
      <c r="J430" s="12"/>
      <c r="K430" s="11"/>
      <c r="L430" s="11" t="str">
        <f aca="false">IF(OR(K430="",O430&lt;&gt;"",I430=""),"",ROUNDUP(I430*K430,0))</f>
        <v/>
      </c>
      <c r="M430" s="12" t="s">
        <v>1407</v>
      </c>
      <c r="N430" s="11"/>
      <c r="O430" s="12" t="s">
        <v>1408</v>
      </c>
      <c r="P430" s="13" t="s">
        <v>91</v>
      </c>
      <c r="Q430" s="13" t="s">
        <v>1409</v>
      </c>
      <c r="R430" s="11"/>
    </row>
    <row r="431" customFormat="false" ht="23.85" hidden="false" customHeight="false" outlineLevel="0" collapsed="false">
      <c r="A431" s="11" t="n">
        <v>7</v>
      </c>
      <c r="B431" s="12" t="s">
        <v>39</v>
      </c>
      <c r="C431" s="12" t="s">
        <v>97</v>
      </c>
      <c r="D431" s="12" t="s">
        <v>253</v>
      </c>
      <c r="E431" s="11"/>
      <c r="F431" s="12" t="s">
        <v>1410</v>
      </c>
      <c r="G431" s="11" t="s">
        <v>66</v>
      </c>
      <c r="H431" s="11"/>
      <c r="I431" s="11" t="str">
        <f aca="false">IF(E431="","",IF(OR(AND(H431="Plan A",$C$5="B"),AND(H431="Plan B",$C$5="A")),0,IF(OR(G431="per student",G431="per group",G431="per class"),E431*IF(B431="Year 7",$C$3,$C$4),E431)))</f>
        <v/>
      </c>
      <c r="J431" s="12"/>
      <c r="K431" s="11"/>
      <c r="L431" s="11" t="str">
        <f aca="false">IF(OR(K431="",O431&lt;&gt;"",I431=""),"",ROUNDUP(I431*K431,0))</f>
        <v/>
      </c>
      <c r="M431" s="12" t="s">
        <v>1411</v>
      </c>
      <c r="N431" s="11"/>
      <c r="O431" s="12"/>
      <c r="P431" s="13" t="s">
        <v>91</v>
      </c>
      <c r="Q431" s="13" t="s">
        <v>1412</v>
      </c>
      <c r="R431" s="11"/>
    </row>
    <row r="432" customFormat="false" ht="35.05" hidden="false" customHeight="false" outlineLevel="0" collapsed="false">
      <c r="A432" s="11" t="n">
        <v>7</v>
      </c>
      <c r="B432" s="12" t="s">
        <v>39</v>
      </c>
      <c r="C432" s="12" t="s">
        <v>97</v>
      </c>
      <c r="D432" s="12" t="s">
        <v>120</v>
      </c>
      <c r="E432" s="11" t="n">
        <v>24</v>
      </c>
      <c r="F432" s="12" t="s">
        <v>248</v>
      </c>
      <c r="G432" s="11" t="s">
        <v>43</v>
      </c>
      <c r="H432" s="11"/>
      <c r="I432" s="11" t="n">
        <f aca="false">IF(E432="","",IF(OR(AND(H432="Plan A",$C$5="B"),AND(H432="Plan B",$C$5="A")),0,IF(OR(G432="per student",G432="per group",G432="per class"),E432*IF(B432="Year 7",$C$3,$C$4),E432)))</f>
        <v>24</v>
      </c>
      <c r="J432" s="12"/>
      <c r="K432" s="11"/>
      <c r="L432" s="11" t="str">
        <f aca="false">IF(OR(K432="",O432&lt;&gt;"",I432=""),"",ROUNDUP(I432*K432,0))</f>
        <v/>
      </c>
      <c r="M432" s="12" t="s">
        <v>1413</v>
      </c>
      <c r="N432" s="11"/>
      <c r="O432" s="12" t="s">
        <v>472</v>
      </c>
      <c r="P432" s="13" t="s">
        <v>91</v>
      </c>
      <c r="Q432" s="13" t="s">
        <v>1414</v>
      </c>
      <c r="R432" s="11"/>
    </row>
    <row r="433" customFormat="false" ht="23.85" hidden="false" customHeight="false" outlineLevel="0" collapsed="false">
      <c r="A433" s="11" t="n">
        <v>7</v>
      </c>
      <c r="B433" s="12" t="s">
        <v>39</v>
      </c>
      <c r="C433" s="12" t="s">
        <v>97</v>
      </c>
      <c r="D433" s="12" t="s">
        <v>360</v>
      </c>
      <c r="E433" s="11" t="n">
        <v>1</v>
      </c>
      <c r="F433" s="12" t="s">
        <v>361</v>
      </c>
      <c r="G433" s="11" t="s">
        <v>127</v>
      </c>
      <c r="H433" s="11"/>
      <c r="I433" s="11" t="n">
        <f aca="false">IF(E433="","",IF(OR(AND(H433="Plan A",$C$5="B"),AND(H433="Plan B",$C$5="A")),0,IF(OR(G433="per student",G433="per group",G433="per class"),E433*IF(B433="Year 7",$C$3,$C$4),E433)))</f>
        <v>1</v>
      </c>
      <c r="J433" s="12"/>
      <c r="K433" s="11"/>
      <c r="L433" s="11" t="str">
        <f aca="false">IF(OR(K433="",O433&lt;&gt;"",I433=""),"",ROUNDUP(I433*K433,0))</f>
        <v/>
      </c>
      <c r="M433" s="12" t="s">
        <v>1415</v>
      </c>
      <c r="N433" s="11"/>
      <c r="O433" s="12" t="s">
        <v>1416</v>
      </c>
      <c r="P433" s="13" t="s">
        <v>91</v>
      </c>
      <c r="Q433" s="13" t="s">
        <v>1417</v>
      </c>
      <c r="R433" s="11"/>
    </row>
    <row r="434" customFormat="false" ht="46.25" hidden="false" customHeight="false" outlineLevel="0" collapsed="false">
      <c r="A434" s="11" t="n">
        <v>7</v>
      </c>
      <c r="B434" s="12" t="s">
        <v>39</v>
      </c>
      <c r="C434" s="12" t="s">
        <v>97</v>
      </c>
      <c r="D434" s="12" t="s">
        <v>1418</v>
      </c>
      <c r="E434" s="11" t="n">
        <v>6</v>
      </c>
      <c r="F434" s="12" t="s">
        <v>373</v>
      </c>
      <c r="G434" s="11" t="s">
        <v>66</v>
      </c>
      <c r="H434" s="11"/>
      <c r="I434" s="11" t="n">
        <f aca="false">IF(E434="","",IF(OR(AND(H434="Plan A",$C$5="B"),AND(H434="Plan B",$C$5="A")),0,IF(OR(G434="per student",G434="per group",G434="per class"),E434*IF(B434="Year 7",$C$3,$C$4),E434)))</f>
        <v>6</v>
      </c>
      <c r="J434" s="12"/>
      <c r="K434" s="11"/>
      <c r="L434" s="11" t="str">
        <f aca="false">IF(OR(K434="",O434&lt;&gt;"",I434=""),"",ROUNDUP(I434*K434,0))</f>
        <v/>
      </c>
      <c r="M434" s="12" t="s">
        <v>1419</v>
      </c>
      <c r="N434" s="11"/>
      <c r="O434" s="12" t="s">
        <v>1420</v>
      </c>
      <c r="P434" s="12" t="s">
        <v>376</v>
      </c>
      <c r="Q434" s="13" t="s">
        <v>377</v>
      </c>
      <c r="R434" s="11"/>
    </row>
    <row r="435" customFormat="false" ht="35.05" hidden="false" customHeight="false" outlineLevel="0" collapsed="false">
      <c r="A435" s="11" t="n">
        <v>7</v>
      </c>
      <c r="B435" s="12" t="s">
        <v>39</v>
      </c>
      <c r="C435" s="12" t="s">
        <v>97</v>
      </c>
      <c r="D435" s="12" t="s">
        <v>729</v>
      </c>
      <c r="E435" s="11" t="n">
        <v>6</v>
      </c>
      <c r="F435" s="12" t="s">
        <v>373</v>
      </c>
      <c r="G435" s="11" t="s">
        <v>66</v>
      </c>
      <c r="H435" s="11"/>
      <c r="I435" s="11" t="n">
        <f aca="false">IF(E435="","",IF(OR(AND(H435="Plan A",$C$5="B"),AND(H435="Plan B",$C$5="A")),0,IF(OR(G435="per student",G435="per group",G435="per class"),E435*IF(B435="Year 7",$C$3,$C$4),E435)))</f>
        <v>6</v>
      </c>
      <c r="J435" s="12"/>
      <c r="K435" s="11"/>
      <c r="L435" s="11" t="str">
        <f aca="false">IF(OR(K435="",O435&lt;&gt;"",I435=""),"",ROUNDUP(I435*K435,0))</f>
        <v/>
      </c>
      <c r="M435" s="12" t="s">
        <v>1421</v>
      </c>
      <c r="N435" s="11"/>
      <c r="O435" s="12" t="s">
        <v>1422</v>
      </c>
      <c r="P435" s="12" t="s">
        <v>376</v>
      </c>
      <c r="Q435" s="13" t="s">
        <v>1423</v>
      </c>
      <c r="R435" s="11"/>
    </row>
    <row r="436" customFormat="false" ht="35.05" hidden="false" customHeight="false" outlineLevel="0" collapsed="false">
      <c r="A436" s="11" t="n">
        <v>7</v>
      </c>
      <c r="B436" s="12" t="s">
        <v>39</v>
      </c>
      <c r="C436" s="12" t="s">
        <v>97</v>
      </c>
      <c r="D436" s="12" t="s">
        <v>386</v>
      </c>
      <c r="E436" s="11" t="n">
        <v>24</v>
      </c>
      <c r="F436" s="12" t="s">
        <v>368</v>
      </c>
      <c r="G436" s="11" t="s">
        <v>43</v>
      </c>
      <c r="H436" s="11"/>
      <c r="I436" s="11" t="n">
        <f aca="false">IF(E436="","",IF(OR(AND(H436="Plan A",$C$5="B"),AND(H436="Plan B",$C$5="A")),0,IF(OR(G436="per student",G436="per group",G436="per class"),E436*IF(B436="Year 7",$C$3,$C$4),E436)))</f>
        <v>24</v>
      </c>
      <c r="J436" s="12"/>
      <c r="K436" s="11"/>
      <c r="L436" s="11" t="str">
        <f aca="false">IF(OR(K436="",O436&lt;&gt;"",I436=""),"",ROUNDUP(I436*K436,0))</f>
        <v/>
      </c>
      <c r="M436" s="12" t="s">
        <v>646</v>
      </c>
      <c r="N436" s="11"/>
      <c r="O436" s="12" t="s">
        <v>1424</v>
      </c>
      <c r="P436" s="12" t="s">
        <v>376</v>
      </c>
      <c r="Q436" s="13" t="s">
        <v>1425</v>
      </c>
      <c r="R436" s="11"/>
    </row>
    <row r="437" customFormat="false" ht="35.05" hidden="false" customHeight="false" outlineLevel="0" collapsed="false">
      <c r="A437" s="11" t="n">
        <v>7</v>
      </c>
      <c r="B437" s="12" t="s">
        <v>39</v>
      </c>
      <c r="C437" s="12" t="s">
        <v>97</v>
      </c>
      <c r="D437" s="12" t="s">
        <v>367</v>
      </c>
      <c r="E437" s="11" t="n">
        <v>24</v>
      </c>
      <c r="F437" s="12" t="s">
        <v>368</v>
      </c>
      <c r="G437" s="11" t="s">
        <v>43</v>
      </c>
      <c r="H437" s="11"/>
      <c r="I437" s="11" t="n">
        <f aca="false">IF(E437="","",IF(OR(AND(H437="Plan A",$C$5="B"),AND(H437="Plan B",$C$5="A")),0,IF(OR(G437="per student",G437="per group",G437="per class"),E437*IF(B437="Year 7",$C$3,$C$4),E437)))</f>
        <v>24</v>
      </c>
      <c r="J437" s="12"/>
      <c r="K437" s="11"/>
      <c r="L437" s="11" t="str">
        <f aca="false">IF(OR(K437="",O437&lt;&gt;"",I437=""),"",ROUNDUP(I437*K437,0))</f>
        <v/>
      </c>
      <c r="M437" s="12" t="s">
        <v>1426</v>
      </c>
      <c r="N437" s="11" t="s">
        <v>105</v>
      </c>
      <c r="O437" s="12" t="s">
        <v>370</v>
      </c>
      <c r="P437" s="12" t="s">
        <v>376</v>
      </c>
      <c r="Q437" s="13" t="s">
        <v>1427</v>
      </c>
      <c r="R437" s="11"/>
    </row>
    <row r="438" customFormat="false" ht="15" hidden="false" customHeight="false" outlineLevel="0" collapsed="false">
      <c r="A438" s="11" t="n">
        <v>7</v>
      </c>
      <c r="B438" s="12" t="s">
        <v>39</v>
      </c>
      <c r="C438" s="12" t="s">
        <v>124</v>
      </c>
      <c r="D438" s="12" t="s">
        <v>125</v>
      </c>
      <c r="E438" s="11" t="n">
        <v>1</v>
      </c>
      <c r="F438" s="12" t="s">
        <v>267</v>
      </c>
      <c r="G438" s="11" t="s">
        <v>127</v>
      </c>
      <c r="H438" s="11"/>
      <c r="I438" s="11" t="n">
        <f aca="false">IF(E438="","",IF(OR(AND(H438="Plan A",$C$5="B"),AND(H438="Plan B",$C$5="A")),0,IF(OR(G438="per student",G438="per group",G438="per class"),E438*IF(B438="Year 7",$C$3,$C$4),E438)))</f>
        <v>1</v>
      </c>
      <c r="J438" s="12"/>
      <c r="K438" s="11"/>
      <c r="L438" s="11" t="str">
        <f aca="false">IF(OR(K438="",O438&lt;&gt;"",I438=""),"",ROUNDUP(I438*K438,0))</f>
        <v/>
      </c>
      <c r="M438" s="12" t="s">
        <v>1428</v>
      </c>
      <c r="N438" s="11"/>
      <c r="O438" s="12" t="s">
        <v>391</v>
      </c>
      <c r="P438" s="12" t="s">
        <v>376</v>
      </c>
      <c r="Q438" s="12"/>
      <c r="R438" s="11"/>
    </row>
    <row r="439" customFormat="false" ht="23.85" hidden="false" customHeight="false" outlineLevel="0" collapsed="false">
      <c r="A439" s="11" t="n">
        <v>7</v>
      </c>
      <c r="B439" s="12" t="s">
        <v>39</v>
      </c>
      <c r="C439" s="12" t="s">
        <v>124</v>
      </c>
      <c r="D439" s="12" t="s">
        <v>959</v>
      </c>
      <c r="E439" s="11" t="n">
        <v>12</v>
      </c>
      <c r="F439" s="12" t="s">
        <v>1244</v>
      </c>
      <c r="G439" s="11" t="s">
        <v>66</v>
      </c>
      <c r="H439" s="11" t="s">
        <v>964</v>
      </c>
      <c r="I439" s="11" t="n">
        <f aca="false">IF(E439="","",IF(OR(AND(H439="Plan A",$C$5="B"),AND(H439="Plan B",$C$5="A")),0,IF(OR(G439="per student",G439="per group",G439="per class"),E439*IF(B439="Year 7",$C$3,$C$4),E439)))</f>
        <v>12</v>
      </c>
      <c r="J439" s="12"/>
      <c r="K439" s="11"/>
      <c r="L439" s="11" t="str">
        <f aca="false">IF(OR(K439="",O439&lt;&gt;"",I439=""),"",ROUNDUP(I439*K439,0))</f>
        <v/>
      </c>
      <c r="M439" s="12" t="s">
        <v>1429</v>
      </c>
      <c r="N439" s="11"/>
      <c r="O439" s="12"/>
      <c r="P439" s="12" t="s">
        <v>77</v>
      </c>
      <c r="Q439" s="13" t="s">
        <v>1430</v>
      </c>
      <c r="R439" s="11"/>
    </row>
    <row r="440" customFormat="false" ht="35.05" hidden="false" customHeight="false" outlineLevel="0" collapsed="false">
      <c r="A440" s="11" t="n">
        <v>7</v>
      </c>
      <c r="B440" s="12" t="s">
        <v>39</v>
      </c>
      <c r="C440" s="12" t="s">
        <v>124</v>
      </c>
      <c r="D440" s="12" t="s">
        <v>1431</v>
      </c>
      <c r="E440" s="11" t="n">
        <v>18</v>
      </c>
      <c r="F440" s="12" t="s">
        <v>264</v>
      </c>
      <c r="G440" s="11" t="s">
        <v>66</v>
      </c>
      <c r="H440" s="11" t="s">
        <v>964</v>
      </c>
      <c r="I440" s="11" t="n">
        <f aca="false">IF(E440="","",IF(OR(AND(H440="Plan A",$C$5="B"),AND(H440="Plan B",$C$5="A")),0,IF(OR(G440="per student",G440="per group",G440="per class"),E440*IF(B440="Year 7",$C$3,$C$4),E440)))</f>
        <v>18</v>
      </c>
      <c r="J440" s="12"/>
      <c r="K440" s="11"/>
      <c r="L440" s="11" t="str">
        <f aca="false">IF(OR(K440="",O440&lt;&gt;"",I440=""),"",ROUNDUP(I440*K440,0))</f>
        <v/>
      </c>
      <c r="M440" s="12" t="s">
        <v>1432</v>
      </c>
      <c r="N440" s="11"/>
      <c r="O440" s="12"/>
      <c r="P440" s="13" t="s">
        <v>91</v>
      </c>
      <c r="Q440" s="13" t="s">
        <v>1433</v>
      </c>
      <c r="R440" s="11"/>
    </row>
    <row r="441" customFormat="false" ht="15" hidden="false" customHeight="false" outlineLevel="0" collapsed="false">
      <c r="A441" s="11" t="n">
        <v>7</v>
      </c>
      <c r="B441" s="12" t="s">
        <v>39</v>
      </c>
      <c r="C441" s="12" t="s">
        <v>124</v>
      </c>
      <c r="D441" s="12" t="s">
        <v>1434</v>
      </c>
      <c r="E441" s="11" t="n">
        <v>6</v>
      </c>
      <c r="F441" s="12" t="s">
        <v>264</v>
      </c>
      <c r="G441" s="11" t="s">
        <v>66</v>
      </c>
      <c r="H441" s="11" t="s">
        <v>964</v>
      </c>
      <c r="I441" s="11" t="n">
        <f aca="false">IF(E441="","",IF(OR(AND(H441="Plan A",$C$5="B"),AND(H441="Plan B",$C$5="A")),0,IF(OR(G441="per student",G441="per group",G441="per class"),E441*IF(B441="Year 7",$C$3,$C$4),E441)))</f>
        <v>6</v>
      </c>
      <c r="J441" s="12"/>
      <c r="K441" s="11"/>
      <c r="L441" s="11" t="str">
        <f aca="false">IF(OR(K441="",O441&lt;&gt;"",I441=""),"",ROUNDUP(I441*K441,0))</f>
        <v/>
      </c>
      <c r="M441" s="12" t="s">
        <v>1435</v>
      </c>
      <c r="N441" s="11"/>
      <c r="O441" s="12"/>
      <c r="P441" s="13" t="s">
        <v>91</v>
      </c>
      <c r="Q441" s="13" t="s">
        <v>1436</v>
      </c>
      <c r="R441" s="11"/>
    </row>
    <row r="442" customFormat="false" ht="23.85" hidden="false" customHeight="false" outlineLevel="0" collapsed="false">
      <c r="A442" s="11" t="n">
        <v>7</v>
      </c>
      <c r="B442" s="12" t="s">
        <v>39</v>
      </c>
      <c r="C442" s="12" t="s">
        <v>124</v>
      </c>
      <c r="D442" s="12" t="s">
        <v>1437</v>
      </c>
      <c r="E442" s="11" t="n">
        <v>18</v>
      </c>
      <c r="F442" s="12" t="s">
        <v>861</v>
      </c>
      <c r="G442" s="11" t="s">
        <v>66</v>
      </c>
      <c r="H442" s="11"/>
      <c r="I442" s="11" t="n">
        <f aca="false">IF(E442="","",IF(OR(AND(H442="Plan A",$C$5="B"),AND(H442="Plan B",$C$5="A")),0,IF(OR(G442="per student",G442="per group",G442="per class"),E442*IF(B442="Year 7",$C$3,$C$4),E442)))</f>
        <v>18</v>
      </c>
      <c r="J442" s="12"/>
      <c r="K442" s="11"/>
      <c r="L442" s="11" t="str">
        <f aca="false">IF(OR(K442="",O442&lt;&gt;"",I442=""),"",ROUNDUP(I442*K442,0))</f>
        <v/>
      </c>
      <c r="M442" s="12" t="s">
        <v>1438</v>
      </c>
      <c r="N442" s="11"/>
      <c r="O442" s="12"/>
      <c r="P442" s="12" t="s">
        <v>77</v>
      </c>
      <c r="Q442" s="13" t="s">
        <v>1439</v>
      </c>
      <c r="R442" s="11"/>
    </row>
    <row r="443" customFormat="false" ht="46.25" hidden="false" customHeight="false" outlineLevel="0" collapsed="false">
      <c r="A443" s="11" t="n">
        <v>7</v>
      </c>
      <c r="B443" s="12" t="s">
        <v>39</v>
      </c>
      <c r="C443" s="12" t="s">
        <v>124</v>
      </c>
      <c r="D443" s="12" t="s">
        <v>1440</v>
      </c>
      <c r="E443" s="11" t="n">
        <v>6</v>
      </c>
      <c r="F443" s="12" t="s">
        <v>591</v>
      </c>
      <c r="G443" s="11" t="s">
        <v>66</v>
      </c>
      <c r="H443" s="11"/>
      <c r="I443" s="11" t="n">
        <f aca="false">IF(E443="","",IF(OR(AND(H443="Plan A",$C$5="B"),AND(H443="Plan B",$C$5="A")),0,IF(OR(G443="per student",G443="per group",G443="per class"),E443*IF(B443="Year 7",$C$3,$C$4),E443)))</f>
        <v>6</v>
      </c>
      <c r="J443" s="12"/>
      <c r="K443" s="11"/>
      <c r="L443" s="11" t="str">
        <f aca="false">IF(OR(K443="",O443&lt;&gt;"",I443=""),"",ROUNDUP(I443*K443,0))</f>
        <v/>
      </c>
      <c r="M443" s="12" t="s">
        <v>1441</v>
      </c>
      <c r="N443" s="11"/>
      <c r="O443" s="12" t="s">
        <v>1442</v>
      </c>
      <c r="P443" s="13" t="s">
        <v>91</v>
      </c>
      <c r="Q443" s="13" t="s">
        <v>1443</v>
      </c>
      <c r="R443" s="11"/>
    </row>
    <row r="444" customFormat="false" ht="23.85" hidden="false" customHeight="false" outlineLevel="0" collapsed="false">
      <c r="A444" s="11" t="n">
        <v>7</v>
      </c>
      <c r="B444" s="12" t="s">
        <v>39</v>
      </c>
      <c r="C444" s="12" t="s">
        <v>124</v>
      </c>
      <c r="D444" s="12" t="s">
        <v>954</v>
      </c>
      <c r="E444" s="11" t="n">
        <v>1</v>
      </c>
      <c r="F444" s="12" t="s">
        <v>955</v>
      </c>
      <c r="G444" s="11" t="s">
        <v>127</v>
      </c>
      <c r="H444" s="11"/>
      <c r="I444" s="11" t="n">
        <f aca="false">IF(E444="","",IF(OR(AND(H444="Plan A",$C$5="B"),AND(H444="Plan B",$C$5="A")),0,IF(OR(G444="per student",G444="per group",G444="per class"),E444*IF(B444="Year 7",$C$3,$C$4),E444)))</f>
        <v>1</v>
      </c>
      <c r="J444" s="12"/>
      <c r="K444" s="11"/>
      <c r="L444" s="11" t="str">
        <f aca="false">IF(OR(K444="",O444&lt;&gt;"",I444=""),"",ROUNDUP(I444*K444,0))</f>
        <v/>
      </c>
      <c r="M444" s="12" t="s">
        <v>1444</v>
      </c>
      <c r="N444" s="11"/>
      <c r="O444" s="12" t="s">
        <v>1445</v>
      </c>
      <c r="P444" s="13" t="s">
        <v>91</v>
      </c>
      <c r="Q444" s="13" t="s">
        <v>1446</v>
      </c>
      <c r="R444" s="11"/>
    </row>
    <row r="445" customFormat="false" ht="35.05" hidden="false" customHeight="false" outlineLevel="0" collapsed="false">
      <c r="A445" s="11" t="n">
        <v>7</v>
      </c>
      <c r="B445" s="12" t="s">
        <v>39</v>
      </c>
      <c r="C445" s="12" t="s">
        <v>124</v>
      </c>
      <c r="D445" s="12" t="s">
        <v>987</v>
      </c>
      <c r="E445" s="11" t="n">
        <v>1</v>
      </c>
      <c r="F445" s="12" t="s">
        <v>988</v>
      </c>
      <c r="G445" s="11" t="s">
        <v>127</v>
      </c>
      <c r="H445" s="11" t="s">
        <v>964</v>
      </c>
      <c r="I445" s="11" t="n">
        <f aca="false">IF(E445="","",IF(OR(AND(H445="Plan A",$C$5="B"),AND(H445="Plan B",$C$5="A")),0,IF(OR(G445="per student",G445="per group",G445="per class"),E445*IF(B445="Year 7",$C$3,$C$4),E445)))</f>
        <v>1</v>
      </c>
      <c r="J445" s="12"/>
      <c r="K445" s="11"/>
      <c r="L445" s="11" t="str">
        <f aca="false">IF(OR(K445="",O445&lt;&gt;"",I445=""),"",ROUNDUP(I445*K445,0))</f>
        <v/>
      </c>
      <c r="M445" s="12" t="s">
        <v>1447</v>
      </c>
      <c r="N445" s="11"/>
      <c r="O445" s="12" t="s">
        <v>1448</v>
      </c>
      <c r="P445" s="13" t="s">
        <v>91</v>
      </c>
      <c r="Q445" s="13" t="s">
        <v>1449</v>
      </c>
      <c r="R445" s="11"/>
    </row>
    <row r="446" customFormat="false" ht="23.85" hidden="false" customHeight="false" outlineLevel="0" collapsed="false">
      <c r="A446" s="11" t="n">
        <v>7</v>
      </c>
      <c r="B446" s="12" t="s">
        <v>39</v>
      </c>
      <c r="C446" s="12" t="s">
        <v>124</v>
      </c>
      <c r="D446" s="12" t="s">
        <v>1450</v>
      </c>
      <c r="E446" s="11" t="n">
        <v>1</v>
      </c>
      <c r="F446" s="12" t="s">
        <v>1276</v>
      </c>
      <c r="G446" s="11" t="s">
        <v>75</v>
      </c>
      <c r="H446" s="11" t="s">
        <v>964</v>
      </c>
      <c r="I446" s="11" t="n">
        <f aca="false">IF(E446="","",IF(OR(AND(H446="Plan A",$C$5="B"),AND(H446="Plan B",$C$5="A")),0,IF(OR(G446="per student",G446="per group",G446="per class"),E446*IF(B446="Year 7",$C$3,$C$4),E446)))</f>
        <v>1</v>
      </c>
      <c r="J446" s="12"/>
      <c r="K446" s="11"/>
      <c r="L446" s="11" t="str">
        <f aca="false">IF(OR(K446="",O446&lt;&gt;"",I446=""),"",ROUNDUP(I446*K446,0))</f>
        <v/>
      </c>
      <c r="M446" s="12" t="s">
        <v>1451</v>
      </c>
      <c r="N446" s="11"/>
      <c r="O446" s="12" t="s">
        <v>1452</v>
      </c>
      <c r="P446" s="13" t="s">
        <v>91</v>
      </c>
      <c r="Q446" s="13" t="s">
        <v>1453</v>
      </c>
      <c r="R446" s="11"/>
    </row>
    <row r="447" customFormat="false" ht="23.85" hidden="false" customHeight="false" outlineLevel="0" collapsed="false">
      <c r="A447" s="11" t="n">
        <v>7</v>
      </c>
      <c r="B447" s="12" t="s">
        <v>39</v>
      </c>
      <c r="C447" s="12" t="s">
        <v>124</v>
      </c>
      <c r="D447" s="12" t="s">
        <v>1454</v>
      </c>
      <c r="E447" s="11" t="n">
        <v>1</v>
      </c>
      <c r="F447" s="12" t="s">
        <v>1267</v>
      </c>
      <c r="G447" s="11" t="s">
        <v>127</v>
      </c>
      <c r="H447" s="11" t="s">
        <v>964</v>
      </c>
      <c r="I447" s="11" t="n">
        <f aca="false">IF(E447="","",IF(OR(AND(H447="Plan A",$C$5="B"),AND(H447="Plan B",$C$5="A")),0,IF(OR(G447="per student",G447="per group",G447="per class"),E447*IF(B447="Year 7",$C$3,$C$4),E447)))</f>
        <v>1</v>
      </c>
      <c r="J447" s="12"/>
      <c r="K447" s="11"/>
      <c r="L447" s="11" t="str">
        <f aca="false">IF(OR(K447="",O447&lt;&gt;"",I447=""),"",ROUNDUP(I447*K447,0))</f>
        <v/>
      </c>
      <c r="M447" s="12" t="s">
        <v>1455</v>
      </c>
      <c r="N447" s="11"/>
      <c r="O447" s="12"/>
      <c r="P447" s="12" t="s">
        <v>77</v>
      </c>
      <c r="Q447" s="13" t="s">
        <v>1456</v>
      </c>
      <c r="R447" s="11"/>
    </row>
    <row r="448" customFormat="false" ht="23.85" hidden="false" customHeight="false" outlineLevel="0" collapsed="false">
      <c r="A448" s="11" t="n">
        <v>7</v>
      </c>
      <c r="B448" s="12" t="s">
        <v>39</v>
      </c>
      <c r="C448" s="12" t="s">
        <v>124</v>
      </c>
      <c r="D448" s="12" t="s">
        <v>1457</v>
      </c>
      <c r="E448" s="11" t="n">
        <v>1</v>
      </c>
      <c r="F448" s="12" t="s">
        <v>1458</v>
      </c>
      <c r="G448" s="11" t="s">
        <v>127</v>
      </c>
      <c r="H448" s="11" t="s">
        <v>956</v>
      </c>
      <c r="I448" s="11" t="n">
        <f aca="false">IF(E448="","",IF(OR(AND(H448="Plan A",$C$5="B"),AND(H448="Plan B",$C$5="A")),0,IF(OR(G448="per student",G448="per group",G448="per class"),E448*IF(B448="Year 7",$C$3,$C$4),E448)))</f>
        <v>1</v>
      </c>
      <c r="J448" s="12"/>
      <c r="K448" s="11"/>
      <c r="L448" s="11" t="str">
        <f aca="false">IF(OR(K448="",O448&lt;&gt;"",I448=""),"",ROUNDUP(I448*K448,0))</f>
        <v/>
      </c>
      <c r="M448" s="12" t="s">
        <v>1459</v>
      </c>
      <c r="N448" s="11"/>
      <c r="O448" s="12"/>
      <c r="P448" s="12" t="s">
        <v>77</v>
      </c>
      <c r="Q448" s="13" t="s">
        <v>1460</v>
      </c>
      <c r="R448" s="11"/>
    </row>
    <row r="449" customFormat="false" ht="23.85" hidden="false" customHeight="false" outlineLevel="0" collapsed="false">
      <c r="A449" s="11" t="n">
        <v>7</v>
      </c>
      <c r="B449" s="12" t="s">
        <v>39</v>
      </c>
      <c r="C449" s="12" t="s">
        <v>124</v>
      </c>
      <c r="D449" s="12" t="s">
        <v>1461</v>
      </c>
      <c r="E449" s="11"/>
      <c r="F449" s="12" t="s">
        <v>1462</v>
      </c>
      <c r="G449" s="11" t="s">
        <v>57</v>
      </c>
      <c r="H449" s="11" t="s">
        <v>956</v>
      </c>
      <c r="I449" s="11" t="str">
        <f aca="false">IF(E449="","",IF(OR(AND(H449="Plan A",$C$5="B"),AND(H449="Plan B",$C$5="A")),0,IF(OR(G449="per student",G449="per group",G449="per class"),E449*IF(B449="Year 7",$C$3,$C$4),E449)))</f>
        <v/>
      </c>
      <c r="J449" s="12"/>
      <c r="K449" s="11"/>
      <c r="L449" s="11" t="str">
        <f aca="false">IF(OR(K449="",O449&lt;&gt;"",I449=""),"",ROUNDUP(I449*K449,0))</f>
        <v/>
      </c>
      <c r="M449" s="12" t="s">
        <v>1463</v>
      </c>
      <c r="N449" s="11"/>
      <c r="O449" s="12"/>
      <c r="P449" s="12" t="s">
        <v>138</v>
      </c>
      <c r="Q449" s="13" t="s">
        <v>1464</v>
      </c>
      <c r="R449" s="11"/>
    </row>
    <row r="450" customFormat="false" ht="35.05" hidden="false" customHeight="false" outlineLevel="0" collapsed="false">
      <c r="A450" s="11" t="n">
        <v>7</v>
      </c>
      <c r="B450" s="12" t="s">
        <v>39</v>
      </c>
      <c r="C450" s="12" t="s">
        <v>294</v>
      </c>
      <c r="D450" s="12" t="s">
        <v>1465</v>
      </c>
      <c r="E450" s="11"/>
      <c r="F450" s="12" t="s">
        <v>1466</v>
      </c>
      <c r="G450" s="11" t="s">
        <v>127</v>
      </c>
      <c r="H450" s="11"/>
      <c r="I450" s="11" t="str">
        <f aca="false">IF(E450="","",IF(OR(AND(H450="Plan A",$C$5="B"),AND(H450="Plan B",$C$5="A")),0,IF(OR(G450="per student",G450="per group",G450="per class"),E450*IF(B450="Year 7",$C$3,$C$4),E450)))</f>
        <v/>
      </c>
      <c r="J450" s="12"/>
      <c r="K450" s="11"/>
      <c r="L450" s="11" t="str">
        <f aca="false">IF(OR(K450="",O450&lt;&gt;"",I450=""),"",ROUNDUP(I450*K450,0))</f>
        <v/>
      </c>
      <c r="M450" s="12" t="s">
        <v>1467</v>
      </c>
      <c r="N450" s="11"/>
      <c r="O450" s="12"/>
      <c r="P450" s="13" t="s">
        <v>91</v>
      </c>
      <c r="Q450" s="13" t="s">
        <v>1468</v>
      </c>
      <c r="R450" s="11"/>
    </row>
    <row r="451" customFormat="false" ht="23.85" hidden="false" customHeight="false" outlineLevel="0" collapsed="false">
      <c r="A451" s="11" t="n">
        <v>7</v>
      </c>
      <c r="B451" s="12" t="s">
        <v>39</v>
      </c>
      <c r="C451" s="12" t="s">
        <v>294</v>
      </c>
      <c r="D451" s="12" t="s">
        <v>1469</v>
      </c>
      <c r="E451" s="11"/>
      <c r="F451" s="12" t="s">
        <v>1466</v>
      </c>
      <c r="G451" s="11" t="s">
        <v>127</v>
      </c>
      <c r="H451" s="11"/>
      <c r="I451" s="11" t="str">
        <f aca="false">IF(E451="","",IF(OR(AND(H451="Plan A",$C$5="B"),AND(H451="Plan B",$C$5="A")),0,IF(OR(G451="per student",G451="per group",G451="per class"),E451*IF(B451="Year 7",$C$3,$C$4),E451)))</f>
        <v/>
      </c>
      <c r="J451" s="12"/>
      <c r="K451" s="11"/>
      <c r="L451" s="11" t="str">
        <f aca="false">IF(OR(K451="",O451&lt;&gt;"",I451=""),"",ROUNDUP(I451*K451,0))</f>
        <v/>
      </c>
      <c r="M451" s="12" t="s">
        <v>1470</v>
      </c>
      <c r="N451" s="11"/>
      <c r="O451" s="12"/>
      <c r="P451" s="13" t="s">
        <v>91</v>
      </c>
      <c r="Q451" s="13" t="s">
        <v>1471</v>
      </c>
      <c r="R451" s="11"/>
    </row>
    <row r="452" customFormat="false" ht="23.85" hidden="false" customHeight="false" outlineLevel="0" collapsed="false">
      <c r="A452" s="11" t="n">
        <v>7</v>
      </c>
      <c r="B452" s="12" t="s">
        <v>39</v>
      </c>
      <c r="C452" s="12" t="s">
        <v>294</v>
      </c>
      <c r="D452" s="12" t="s">
        <v>1472</v>
      </c>
      <c r="E452" s="11"/>
      <c r="F452" s="12" t="s">
        <v>1466</v>
      </c>
      <c r="G452" s="11" t="s">
        <v>127</v>
      </c>
      <c r="H452" s="11"/>
      <c r="I452" s="11" t="str">
        <f aca="false">IF(E452="","",IF(OR(AND(H452="Plan A",$C$5="B"),AND(H452="Plan B",$C$5="A")),0,IF(OR(G452="per student",G452="per group",G452="per class"),E452*IF(B452="Year 7",$C$3,$C$4),E452)))</f>
        <v/>
      </c>
      <c r="J452" s="12"/>
      <c r="K452" s="11"/>
      <c r="L452" s="11" t="str">
        <f aca="false">IF(OR(K452="",O452&lt;&gt;"",I452=""),"",ROUNDUP(I452*K452,0))</f>
        <v/>
      </c>
      <c r="M452" s="12" t="s">
        <v>1473</v>
      </c>
      <c r="N452" s="11"/>
      <c r="O452" s="12"/>
      <c r="P452" s="13" t="s">
        <v>91</v>
      </c>
      <c r="Q452" s="13" t="s">
        <v>1474</v>
      </c>
      <c r="R452" s="11"/>
    </row>
    <row r="453" customFormat="false" ht="23.85" hidden="false" customHeight="false" outlineLevel="0" collapsed="false">
      <c r="A453" s="11" t="n">
        <v>7</v>
      </c>
      <c r="B453" s="12" t="s">
        <v>39</v>
      </c>
      <c r="C453" s="12" t="s">
        <v>294</v>
      </c>
      <c r="D453" s="12" t="s">
        <v>1475</v>
      </c>
      <c r="E453" s="11"/>
      <c r="F453" s="12" t="s">
        <v>1466</v>
      </c>
      <c r="G453" s="11" t="s">
        <v>127</v>
      </c>
      <c r="H453" s="11"/>
      <c r="I453" s="11" t="str">
        <f aca="false">IF(E453="","",IF(OR(AND(H453="Plan A",$C$5="B"),AND(H453="Plan B",$C$5="A")),0,IF(OR(G453="per student",G453="per group",G453="per class"),E453*IF(B453="Year 7",$C$3,$C$4),E453)))</f>
        <v/>
      </c>
      <c r="J453" s="12"/>
      <c r="K453" s="11"/>
      <c r="L453" s="11" t="str">
        <f aca="false">IF(OR(K453="",O453&lt;&gt;"",I453=""),"",ROUNDUP(I453*K453,0))</f>
        <v/>
      </c>
      <c r="M453" s="12" t="s">
        <v>1476</v>
      </c>
      <c r="N453" s="11"/>
      <c r="O453" s="12"/>
      <c r="P453" s="13" t="s">
        <v>91</v>
      </c>
      <c r="Q453" s="13" t="s">
        <v>1471</v>
      </c>
      <c r="R453" s="11"/>
    </row>
    <row r="454" customFormat="false" ht="23.85" hidden="false" customHeight="false" outlineLevel="0" collapsed="false">
      <c r="A454" s="11" t="n">
        <v>7</v>
      </c>
      <c r="B454" s="12" t="s">
        <v>39</v>
      </c>
      <c r="C454" s="12" t="s">
        <v>294</v>
      </c>
      <c r="D454" s="12" t="s">
        <v>1477</v>
      </c>
      <c r="E454" s="11" t="n">
        <v>60</v>
      </c>
      <c r="F454" s="12" t="s">
        <v>1478</v>
      </c>
      <c r="G454" s="11" t="s">
        <v>127</v>
      </c>
      <c r="H454" s="11"/>
      <c r="I454" s="11" t="n">
        <f aca="false">IF(E454="","",IF(OR(AND(H454="Plan A",$C$5="B"),AND(H454="Plan B",$C$5="A")),0,IF(OR(G454="per student",G454="per group",G454="per class"),E454*IF(B454="Year 7",$C$3,$C$4),E454)))</f>
        <v>60</v>
      </c>
      <c r="J454" s="12"/>
      <c r="K454" s="11"/>
      <c r="L454" s="11" t="str">
        <f aca="false">IF(OR(K454="",O454&lt;&gt;"",I454=""),"",ROUNDUP(I454*K454,0))</f>
        <v/>
      </c>
      <c r="M454" s="12" t="s">
        <v>1479</v>
      </c>
      <c r="N454" s="11"/>
      <c r="O454" s="12"/>
      <c r="P454" s="12" t="s">
        <v>77</v>
      </c>
      <c r="Q454" s="13" t="s">
        <v>1480</v>
      </c>
      <c r="R454" s="11"/>
    </row>
    <row r="455" customFormat="false" ht="23.85" hidden="false" customHeight="false" outlineLevel="0" collapsed="false">
      <c r="A455" s="11" t="n">
        <v>7</v>
      </c>
      <c r="B455" s="12" t="s">
        <v>39</v>
      </c>
      <c r="C455" s="12" t="s">
        <v>294</v>
      </c>
      <c r="D455" s="12" t="s">
        <v>1481</v>
      </c>
      <c r="E455" s="11" t="n">
        <v>36</v>
      </c>
      <c r="F455" s="12" t="s">
        <v>264</v>
      </c>
      <c r="G455" s="11" t="s">
        <v>127</v>
      </c>
      <c r="H455" s="11"/>
      <c r="I455" s="11" t="n">
        <f aca="false">IF(E455="","",IF(OR(AND(H455="Plan A",$C$5="B"),AND(H455="Plan B",$C$5="A")),0,IF(OR(G455="per student",G455="per group",G455="per class"),E455*IF(B455="Year 7",$C$3,$C$4),E455)))</f>
        <v>36</v>
      </c>
      <c r="J455" s="12"/>
      <c r="K455" s="11"/>
      <c r="L455" s="11" t="str">
        <f aca="false">IF(OR(K455="",O455&lt;&gt;"",I455=""),"",ROUNDUP(I455*K455,0))</f>
        <v/>
      </c>
      <c r="M455" s="12" t="s">
        <v>1482</v>
      </c>
      <c r="N455" s="11"/>
      <c r="O455" s="12"/>
      <c r="P455" s="12" t="s">
        <v>77</v>
      </c>
      <c r="Q455" s="13" t="s">
        <v>1483</v>
      </c>
      <c r="R455" s="11"/>
    </row>
    <row r="456" customFormat="false" ht="35.05" hidden="false" customHeight="false" outlineLevel="0" collapsed="false">
      <c r="A456" s="11" t="n">
        <v>7</v>
      </c>
      <c r="B456" s="12" t="s">
        <v>39</v>
      </c>
      <c r="C456" s="12" t="s">
        <v>294</v>
      </c>
      <c r="D456" s="12" t="s">
        <v>1484</v>
      </c>
      <c r="E456" s="11" t="n">
        <v>54</v>
      </c>
      <c r="F456" s="12" t="s">
        <v>845</v>
      </c>
      <c r="G456" s="11" t="s">
        <v>127</v>
      </c>
      <c r="H456" s="11" t="s">
        <v>956</v>
      </c>
      <c r="I456" s="11" t="n">
        <f aca="false">IF(E456="","",IF(OR(AND(H456="Plan A",$C$5="B"),AND(H456="Plan B",$C$5="A")),0,IF(OR(G456="per student",G456="per group",G456="per class"),E456*IF(B456="Year 7",$C$3,$C$4),E456)))</f>
        <v>54</v>
      </c>
      <c r="J456" s="12"/>
      <c r="K456" s="11"/>
      <c r="L456" s="11" t="str">
        <f aca="false">IF(OR(K456="",O456&lt;&gt;"",I456=""),"",ROUNDUP(I456*K456,0))</f>
        <v/>
      </c>
      <c r="M456" s="12" t="s">
        <v>1485</v>
      </c>
      <c r="N456" s="11"/>
      <c r="O456" s="12"/>
      <c r="P456" s="13" t="s">
        <v>91</v>
      </c>
      <c r="Q456" s="13" t="s">
        <v>1486</v>
      </c>
      <c r="R456" s="11"/>
    </row>
    <row r="457" customFormat="false" ht="35.05" hidden="false" customHeight="false" outlineLevel="0" collapsed="false">
      <c r="A457" s="11" t="n">
        <v>7</v>
      </c>
      <c r="B457" s="12" t="s">
        <v>39</v>
      </c>
      <c r="C457" s="12" t="s">
        <v>294</v>
      </c>
      <c r="D457" s="12" t="s">
        <v>1487</v>
      </c>
      <c r="E457" s="11"/>
      <c r="F457" s="12" t="s">
        <v>1488</v>
      </c>
      <c r="G457" s="11" t="s">
        <v>127</v>
      </c>
      <c r="H457" s="11"/>
      <c r="I457" s="11" t="str">
        <f aca="false">IF(E457="","",IF(OR(AND(H457="Plan A",$C$5="B"),AND(H457="Plan B",$C$5="A")),0,IF(OR(G457="per student",G457="per group",G457="per class"),E457*IF(B457="Year 7",$C$3,$C$4),E457)))</f>
        <v/>
      </c>
      <c r="J457" s="12"/>
      <c r="K457" s="11"/>
      <c r="L457" s="11" t="str">
        <f aca="false">IF(OR(K457="",O457&lt;&gt;"",I457=""),"",ROUNDUP(I457*K457,0))</f>
        <v/>
      </c>
      <c r="M457" s="12" t="s">
        <v>1489</v>
      </c>
      <c r="N457" s="11"/>
      <c r="O457" s="12"/>
      <c r="P457" s="13" t="s">
        <v>91</v>
      </c>
      <c r="Q457" s="13" t="s">
        <v>1490</v>
      </c>
      <c r="R457" s="11"/>
    </row>
    <row r="458" customFormat="false" ht="15" hidden="false" customHeight="false" outlineLevel="0" collapsed="false">
      <c r="A458" s="11" t="n">
        <v>7</v>
      </c>
      <c r="B458" s="12" t="s">
        <v>39</v>
      </c>
      <c r="C458" s="12" t="s">
        <v>294</v>
      </c>
      <c r="D458" s="12" t="s">
        <v>1278</v>
      </c>
      <c r="E458" s="11" t="n">
        <v>24</v>
      </c>
      <c r="F458" s="12" t="s">
        <v>397</v>
      </c>
      <c r="G458" s="11" t="s">
        <v>66</v>
      </c>
      <c r="H458" s="11"/>
      <c r="I458" s="11" t="n">
        <f aca="false">IF(E458="","",IF(OR(AND(H458="Plan A",$C$5="B"),AND(H458="Plan B",$C$5="A")),0,IF(OR(G458="per student",G458="per group",G458="per class"),E458*IF(B458="Year 7",$C$3,$C$4),E458)))</f>
        <v>24</v>
      </c>
      <c r="J458" s="12"/>
      <c r="K458" s="11"/>
      <c r="L458" s="11" t="str">
        <f aca="false">IF(OR(K458="",O458&lt;&gt;"",I458=""),"",ROUNDUP(I458*K458,0))</f>
        <v/>
      </c>
      <c r="M458" s="12" t="s">
        <v>1491</v>
      </c>
      <c r="N458" s="11"/>
      <c r="O458" s="12"/>
      <c r="P458" s="12" t="s">
        <v>77</v>
      </c>
      <c r="Q458" s="12"/>
      <c r="R458" s="11"/>
    </row>
    <row r="459" customFormat="false" ht="23.85" hidden="false" customHeight="false" outlineLevel="0" collapsed="false">
      <c r="A459" s="11" t="n">
        <v>7</v>
      </c>
      <c r="B459" s="12" t="s">
        <v>39</v>
      </c>
      <c r="C459" s="12" t="s">
        <v>294</v>
      </c>
      <c r="D459" s="12" t="s">
        <v>994</v>
      </c>
      <c r="E459" s="11" t="n">
        <v>500</v>
      </c>
      <c r="F459" s="12" t="s">
        <v>1492</v>
      </c>
      <c r="G459" s="11" t="s">
        <v>127</v>
      </c>
      <c r="H459" s="11" t="s">
        <v>956</v>
      </c>
      <c r="I459" s="11" t="n">
        <f aca="false">IF(E459="","",IF(OR(AND(H459="Plan A",$C$5="B"),AND(H459="Plan B",$C$5="A")),0,IF(OR(G459="per student",G459="per group",G459="per class"),E459*IF(B459="Year 7",$C$3,$C$4),E459)))</f>
        <v>500</v>
      </c>
      <c r="J459" s="12"/>
      <c r="K459" s="11"/>
      <c r="L459" s="11" t="str">
        <f aca="false">IF(OR(K459="",O459&lt;&gt;"",I459=""),"",ROUNDUP(I459*K459,0))</f>
        <v/>
      </c>
      <c r="M459" s="12" t="s">
        <v>1493</v>
      </c>
      <c r="N459" s="11"/>
      <c r="O459" s="12"/>
      <c r="P459" s="12" t="s">
        <v>77</v>
      </c>
      <c r="Q459" s="13" t="s">
        <v>1494</v>
      </c>
      <c r="R459" s="11"/>
    </row>
    <row r="460" customFormat="false" ht="15" hidden="false" customHeight="false" outlineLevel="0" collapsed="false">
      <c r="A460" s="11" t="n">
        <v>7</v>
      </c>
      <c r="B460" s="12" t="s">
        <v>39</v>
      </c>
      <c r="C460" s="12" t="s">
        <v>294</v>
      </c>
      <c r="D460" s="12" t="s">
        <v>860</v>
      </c>
      <c r="E460" s="11" t="n">
        <v>580</v>
      </c>
      <c r="F460" s="12" t="s">
        <v>1492</v>
      </c>
      <c r="G460" s="11" t="s">
        <v>127</v>
      </c>
      <c r="H460" s="11" t="s">
        <v>956</v>
      </c>
      <c r="I460" s="11" t="n">
        <f aca="false">IF(E460="","",IF(OR(AND(H460="Plan A",$C$5="B"),AND(H460="Plan B",$C$5="A")),0,IF(OR(G460="per student",G460="per group",G460="per class"),E460*IF(B460="Year 7",$C$3,$C$4),E460)))</f>
        <v>580</v>
      </c>
      <c r="J460" s="12"/>
      <c r="K460" s="11"/>
      <c r="L460" s="11" t="str">
        <f aca="false">IF(OR(K460="",O460&lt;&gt;"",I460=""),"",ROUNDUP(I460*K460,0))</f>
        <v/>
      </c>
      <c r="M460" s="12" t="s">
        <v>1495</v>
      </c>
      <c r="N460" s="11"/>
      <c r="O460" s="12"/>
      <c r="P460" s="12" t="s">
        <v>77</v>
      </c>
      <c r="Q460" s="12"/>
      <c r="R460" s="11"/>
    </row>
    <row r="461" customFormat="false" ht="15" hidden="false" customHeight="false" outlineLevel="0" collapsed="false">
      <c r="A461" s="11" t="n">
        <v>7</v>
      </c>
      <c r="B461" s="12" t="s">
        <v>39</v>
      </c>
      <c r="C461" s="12" t="s">
        <v>294</v>
      </c>
      <c r="D461" s="12" t="s">
        <v>1496</v>
      </c>
      <c r="E461" s="11" t="n">
        <v>1</v>
      </c>
      <c r="F461" s="12" t="s">
        <v>1497</v>
      </c>
      <c r="G461" s="11" t="s">
        <v>127</v>
      </c>
      <c r="H461" s="11" t="s">
        <v>956</v>
      </c>
      <c r="I461" s="11" t="n">
        <f aca="false">IF(E461="","",IF(OR(AND(H461="Plan A",$C$5="B"),AND(H461="Plan B",$C$5="A")),0,IF(OR(G461="per student",G461="per group",G461="per class"),E461*IF(B461="Year 7",$C$3,$C$4),E461)))</f>
        <v>1</v>
      </c>
      <c r="J461" s="12"/>
      <c r="K461" s="11"/>
      <c r="L461" s="11" t="str">
        <f aca="false">IF(OR(K461="",O461&lt;&gt;"",I461=""),"",ROUNDUP(I461*K461,0))</f>
        <v/>
      </c>
      <c r="M461" s="12" t="s">
        <v>1498</v>
      </c>
      <c r="N461" s="11"/>
      <c r="O461" s="12"/>
      <c r="P461" s="12" t="s">
        <v>77</v>
      </c>
      <c r="Q461" s="12"/>
      <c r="R461" s="11"/>
    </row>
    <row r="462" customFormat="false" ht="35.05" hidden="false" customHeight="false" outlineLevel="0" collapsed="false">
      <c r="A462" s="11" t="n">
        <v>7</v>
      </c>
      <c r="B462" s="12" t="s">
        <v>39</v>
      </c>
      <c r="C462" s="12" t="s">
        <v>144</v>
      </c>
      <c r="D462" s="12" t="s">
        <v>1499</v>
      </c>
      <c r="E462" s="11" t="n">
        <v>1</v>
      </c>
      <c r="F462" s="12" t="s">
        <v>426</v>
      </c>
      <c r="G462" s="11" t="s">
        <v>57</v>
      </c>
      <c r="H462" s="11"/>
      <c r="I462" s="11" t="n">
        <f aca="false">IF(E462="","",IF(OR(AND(H462="Plan A",$C$5="B"),AND(H462="Plan B",$C$5="A")),0,IF(OR(G462="per student",G462="per group",G462="per class"),E462*IF(B462="Year 7",$C$3,$C$4),E462)))</f>
        <v>1</v>
      </c>
      <c r="J462" s="12"/>
      <c r="K462" s="11"/>
      <c r="L462" s="11" t="str">
        <f aca="false">IF(OR(K462="",O462&lt;&gt;"",I462=""),"",ROUNDUP(I462*K462,0))</f>
        <v/>
      </c>
      <c r="M462" s="12" t="s">
        <v>1500</v>
      </c>
      <c r="N462" s="11"/>
      <c r="O462" s="12" t="s">
        <v>1501</v>
      </c>
      <c r="P462" s="13" t="s">
        <v>91</v>
      </c>
      <c r="Q462" s="13" t="s">
        <v>1502</v>
      </c>
      <c r="R462" s="11"/>
    </row>
    <row r="463" customFormat="false" ht="23.85" hidden="false" customHeight="false" outlineLevel="0" collapsed="false">
      <c r="A463" s="11" t="n">
        <v>7</v>
      </c>
      <c r="B463" s="12" t="s">
        <v>39</v>
      </c>
      <c r="C463" s="12" t="s">
        <v>144</v>
      </c>
      <c r="D463" s="12" t="s">
        <v>1503</v>
      </c>
      <c r="E463" s="11" t="n">
        <v>60</v>
      </c>
      <c r="F463" s="12" t="s">
        <v>1004</v>
      </c>
      <c r="G463" s="11" t="s">
        <v>66</v>
      </c>
      <c r="H463" s="11"/>
      <c r="I463" s="11" t="n">
        <f aca="false">IF(E463="","",IF(OR(AND(H463="Plan A",$C$5="B"),AND(H463="Plan B",$C$5="A")),0,IF(OR(G463="per student",G463="per group",G463="per class"),E463*IF(B463="Year 7",$C$3,$C$4),E463)))</f>
        <v>60</v>
      </c>
      <c r="J463" s="12"/>
      <c r="K463" s="11"/>
      <c r="L463" s="11" t="str">
        <f aca="false">IF(OR(K463="",O463&lt;&gt;"",I463=""),"",ROUNDUP(I463*K463,0))</f>
        <v/>
      </c>
      <c r="M463" s="12" t="s">
        <v>1504</v>
      </c>
      <c r="N463" s="11"/>
      <c r="O463" s="12"/>
      <c r="P463" s="12" t="s">
        <v>77</v>
      </c>
      <c r="Q463" s="12"/>
      <c r="R463" s="11"/>
    </row>
    <row r="464" customFormat="false" ht="46.25" hidden="false" customHeight="false" outlineLevel="0" collapsed="false">
      <c r="A464" s="11" t="n">
        <v>7</v>
      </c>
      <c r="B464" s="12" t="s">
        <v>39</v>
      </c>
      <c r="C464" s="12" t="s">
        <v>144</v>
      </c>
      <c r="D464" s="12" t="s">
        <v>1505</v>
      </c>
      <c r="E464" s="11" t="n">
        <v>36</v>
      </c>
      <c r="F464" s="12" t="s">
        <v>1506</v>
      </c>
      <c r="G464" s="11" t="s">
        <v>66</v>
      </c>
      <c r="H464" s="11"/>
      <c r="I464" s="11" t="n">
        <f aca="false">IF(E464="","",IF(OR(AND(H464="Plan A",$C$5="B"),AND(H464="Plan B",$C$5="A")),0,IF(OR(G464="per student",G464="per group",G464="per class"),E464*IF(B464="Year 7",$C$3,$C$4),E464)))</f>
        <v>36</v>
      </c>
      <c r="J464" s="12"/>
      <c r="K464" s="11"/>
      <c r="L464" s="11" t="str">
        <f aca="false">IF(OR(K464="",O464&lt;&gt;"",I464=""),"",ROUNDUP(I464*K464,0))</f>
        <v/>
      </c>
      <c r="M464" s="12" t="s">
        <v>1507</v>
      </c>
      <c r="N464" s="11"/>
      <c r="O464" s="12"/>
      <c r="P464" s="12" t="s">
        <v>77</v>
      </c>
      <c r="Q464" s="13" t="s">
        <v>1508</v>
      </c>
      <c r="R464" s="11"/>
    </row>
    <row r="465" customFormat="false" ht="35.05" hidden="false" customHeight="false" outlineLevel="0" collapsed="false">
      <c r="A465" s="11" t="n">
        <v>7</v>
      </c>
      <c r="B465" s="12" t="s">
        <v>39</v>
      </c>
      <c r="C465" s="12" t="s">
        <v>144</v>
      </c>
      <c r="D465" s="12" t="s">
        <v>1509</v>
      </c>
      <c r="E465" s="11" t="n">
        <v>54</v>
      </c>
      <c r="F465" s="12" t="s">
        <v>1011</v>
      </c>
      <c r="G465" s="11" t="s">
        <v>66</v>
      </c>
      <c r="H465" s="11" t="s">
        <v>956</v>
      </c>
      <c r="I465" s="11" t="n">
        <f aca="false">IF(E465="","",IF(OR(AND(H465="Plan A",$C$5="B"),AND(H465="Plan B",$C$5="A")),0,IF(OR(G465="per student",G465="per group",G465="per class"),E465*IF(B465="Year 7",$C$3,$C$4),E465)))</f>
        <v>54</v>
      </c>
      <c r="J465" s="12"/>
      <c r="K465" s="11"/>
      <c r="L465" s="11" t="str">
        <f aca="false">IF(OR(K465="",O465&lt;&gt;"",I465=""),"",ROUNDUP(I465*K465,0))</f>
        <v/>
      </c>
      <c r="M465" s="12" t="s">
        <v>1510</v>
      </c>
      <c r="N465" s="11"/>
      <c r="O465" s="12"/>
      <c r="P465" s="12" t="s">
        <v>77</v>
      </c>
      <c r="Q465" s="13" t="s">
        <v>1511</v>
      </c>
      <c r="R465" s="11"/>
    </row>
    <row r="466" customFormat="false" ht="46.25" hidden="false" customHeight="false" outlineLevel="0" collapsed="false">
      <c r="A466" s="11" t="n">
        <v>7</v>
      </c>
      <c r="B466" s="12" t="s">
        <v>39</v>
      </c>
      <c r="C466" s="12" t="s">
        <v>144</v>
      </c>
      <c r="D466" s="12" t="s">
        <v>1512</v>
      </c>
      <c r="E466" s="11" t="n">
        <v>3</v>
      </c>
      <c r="F466" s="12" t="s">
        <v>1513</v>
      </c>
      <c r="G466" s="11" t="s">
        <v>57</v>
      </c>
      <c r="H466" s="11"/>
      <c r="I466" s="11" t="n">
        <f aca="false">IF(E466="","",IF(OR(AND(H466="Plan A",$C$5="B"),AND(H466="Plan B",$C$5="A")),0,IF(OR(G466="per student",G466="per group",G466="per class"),E466*IF(B466="Year 7",$C$3,$C$4),E466)))</f>
        <v>3</v>
      </c>
      <c r="J466" s="12"/>
      <c r="K466" s="11"/>
      <c r="L466" s="11" t="str">
        <f aca="false">IF(OR(K466="",O466&lt;&gt;"",I466=""),"",ROUNDUP(I466*K466,0))</f>
        <v/>
      </c>
      <c r="M466" s="12" t="s">
        <v>1514</v>
      </c>
      <c r="N466" s="11"/>
      <c r="O466" s="12" t="s">
        <v>1515</v>
      </c>
      <c r="P466" s="12" t="s">
        <v>376</v>
      </c>
      <c r="Q466" s="13" t="s">
        <v>1516</v>
      </c>
      <c r="R466" s="11"/>
    </row>
    <row r="467" customFormat="false" ht="147" hidden="false" customHeight="false" outlineLevel="0" collapsed="false">
      <c r="A467" s="11" t="n">
        <v>7</v>
      </c>
      <c r="B467" s="12" t="s">
        <v>153</v>
      </c>
      <c r="C467" s="12" t="s">
        <v>40</v>
      </c>
      <c r="D467" s="12" t="s">
        <v>1517</v>
      </c>
      <c r="E467" s="11" t="n">
        <v>24</v>
      </c>
      <c r="F467" s="12" t="s">
        <v>887</v>
      </c>
      <c r="G467" s="11" t="s">
        <v>43</v>
      </c>
      <c r="H467" s="11"/>
      <c r="I467" s="11" t="n">
        <f aca="false">IF(E467="","",IF(OR(AND(H467="Plan A",$C$5="B"),AND(H467="Plan B",$C$5="A")),0,IF(OR(G467="per student",G467="per group",G467="per class"),E467*IF(B467="Year 7",$C$3,$C$4),E467)))</f>
        <v>24</v>
      </c>
      <c r="J467" s="12" t="s">
        <v>13</v>
      </c>
      <c r="K467" s="11" t="n">
        <v>2</v>
      </c>
      <c r="L467" s="11" t="n">
        <f aca="false">IF(OR(K467="",O467&lt;&gt;"",I467=""),"",ROUNDUP(I467*K467,0))</f>
        <v>48</v>
      </c>
      <c r="M467" s="12" t="s">
        <v>1518</v>
      </c>
      <c r="N467" s="11"/>
      <c r="O467" s="12"/>
      <c r="P467" s="12" t="s">
        <v>45</v>
      </c>
      <c r="Q467" s="13" t="s">
        <v>1519</v>
      </c>
      <c r="R467" s="11"/>
    </row>
    <row r="468" customFormat="false" ht="68.65" hidden="false" customHeight="false" outlineLevel="0" collapsed="false">
      <c r="A468" s="11" t="n">
        <v>7</v>
      </c>
      <c r="B468" s="12" t="s">
        <v>153</v>
      </c>
      <c r="C468" s="12" t="s">
        <v>40</v>
      </c>
      <c r="D468" s="12" t="s">
        <v>1520</v>
      </c>
      <c r="E468" s="11" t="n">
        <v>10</v>
      </c>
      <c r="F468" s="12" t="s">
        <v>1521</v>
      </c>
      <c r="G468" s="11" t="s">
        <v>66</v>
      </c>
      <c r="H468" s="11"/>
      <c r="I468" s="11" t="n">
        <f aca="false">IF(E468="","",IF(OR(AND(H468="Plan A",$C$5="B"),AND(H468="Plan B",$C$5="A")),0,IF(OR(G468="per student",G468="per group",G468="per class"),E468*IF(B468="Year 7",$C$3,$C$4),E468)))</f>
        <v>10</v>
      </c>
      <c r="J468" s="12" t="s">
        <v>13</v>
      </c>
      <c r="K468" s="11" t="n">
        <v>1</v>
      </c>
      <c r="L468" s="11" t="n">
        <f aca="false">IF(OR(K468="",O468&lt;&gt;"",I468=""),"",ROUNDUP(I468*K468,0))</f>
        <v>10</v>
      </c>
      <c r="M468" s="12" t="s">
        <v>1522</v>
      </c>
      <c r="N468" s="11"/>
      <c r="O468" s="12"/>
      <c r="P468" s="12" t="s">
        <v>45</v>
      </c>
      <c r="Q468" s="13" t="s">
        <v>1523</v>
      </c>
      <c r="R468" s="11"/>
    </row>
    <row r="469" customFormat="false" ht="23.85" hidden="false" customHeight="false" outlineLevel="0" collapsed="false">
      <c r="A469" s="11" t="n">
        <v>7</v>
      </c>
      <c r="B469" s="12" t="s">
        <v>153</v>
      </c>
      <c r="C469" s="12" t="s">
        <v>40</v>
      </c>
      <c r="D469" s="12" t="s">
        <v>1524</v>
      </c>
      <c r="E469" s="11" t="n">
        <v>1</v>
      </c>
      <c r="F469" s="12" t="s">
        <v>902</v>
      </c>
      <c r="G469" s="11" t="s">
        <v>127</v>
      </c>
      <c r="H469" s="11"/>
      <c r="I469" s="11" t="n">
        <f aca="false">IF(E469="","",IF(OR(AND(H469="Plan A",$C$5="B"),AND(H469="Plan B",$C$5="A")),0,IF(OR(G469="per student",G469="per group",G469="per class"),E469*IF(B469="Year 7",$C$3,$C$4),E469)))</f>
        <v>1</v>
      </c>
      <c r="J469" s="12" t="s">
        <v>20</v>
      </c>
      <c r="K469" s="11" t="n">
        <v>1</v>
      </c>
      <c r="L469" s="11" t="n">
        <f aca="false">IF(OR(K469="",O469&lt;&gt;"",I469=""),"",ROUNDUP(I469*K469,0))</f>
        <v>1</v>
      </c>
      <c r="M469" s="12" t="s">
        <v>1525</v>
      </c>
      <c r="N469" s="11"/>
      <c r="O469" s="12"/>
      <c r="P469" s="12" t="s">
        <v>45</v>
      </c>
      <c r="Q469" s="13" t="s">
        <v>1526</v>
      </c>
      <c r="R469" s="11"/>
    </row>
    <row r="470" customFormat="false" ht="57.45" hidden="false" customHeight="false" outlineLevel="0" collapsed="false">
      <c r="A470" s="11" t="n">
        <v>7</v>
      </c>
      <c r="B470" s="12" t="s">
        <v>153</v>
      </c>
      <c r="C470" s="12" t="s">
        <v>40</v>
      </c>
      <c r="D470" s="12" t="s">
        <v>1527</v>
      </c>
      <c r="E470" s="11" t="n">
        <v>1</v>
      </c>
      <c r="F470" s="12" t="s">
        <v>1528</v>
      </c>
      <c r="G470" s="11" t="s">
        <v>127</v>
      </c>
      <c r="H470" s="11"/>
      <c r="I470" s="11" t="n">
        <f aca="false">IF(E470="","",IF(OR(AND(H470="Plan A",$C$5="B"),AND(H470="Plan B",$C$5="A")),0,IF(OR(G470="per student",G470="per group",G470="per class"),E470*IF(B470="Year 7",$C$3,$C$4),E470)))</f>
        <v>1</v>
      </c>
      <c r="J470" s="12" t="s">
        <v>20</v>
      </c>
      <c r="K470" s="11" t="n">
        <v>4</v>
      </c>
      <c r="L470" s="11" t="n">
        <f aca="false">IF(OR(K470="",O470&lt;&gt;"",I470=""),"",ROUNDUP(I470*K470,0))</f>
        <v>4</v>
      </c>
      <c r="M470" s="12" t="s">
        <v>1529</v>
      </c>
      <c r="N470" s="11"/>
      <c r="O470" s="12"/>
      <c r="P470" s="12" t="s">
        <v>45</v>
      </c>
      <c r="Q470" s="13" t="s">
        <v>1530</v>
      </c>
      <c r="R470" s="11"/>
    </row>
    <row r="471" customFormat="false" ht="23.85" hidden="false" customHeight="false" outlineLevel="0" collapsed="false">
      <c r="A471" s="11" t="n">
        <v>7</v>
      </c>
      <c r="B471" s="12" t="s">
        <v>153</v>
      </c>
      <c r="C471" s="12" t="s">
        <v>97</v>
      </c>
      <c r="D471" s="12" t="s">
        <v>240</v>
      </c>
      <c r="E471" s="11" t="n">
        <v>10</v>
      </c>
      <c r="F471" s="12" t="s">
        <v>241</v>
      </c>
      <c r="G471" s="11" t="s">
        <v>66</v>
      </c>
      <c r="H471" s="11"/>
      <c r="I471" s="11" t="n">
        <f aca="false">IF(E471="","",IF(OR(AND(H471="Plan A",$C$5="B"),AND(H471="Plan B",$C$5="A")),0,IF(OR(G471="per student",G471="per group",G471="per class"),E471*IF(B471="Year 7",$C$3,$C$4),E471)))</f>
        <v>10</v>
      </c>
      <c r="J471" s="12"/>
      <c r="K471" s="11"/>
      <c r="L471" s="11" t="str">
        <f aca="false">IF(OR(K471="",O471&lt;&gt;"",I471=""),"",ROUNDUP(I471*K471,0))</f>
        <v/>
      </c>
      <c r="M471" s="12" t="s">
        <v>1531</v>
      </c>
      <c r="N471" s="11" t="s">
        <v>105</v>
      </c>
      <c r="O471" s="12"/>
      <c r="P471" s="12" t="s">
        <v>77</v>
      </c>
      <c r="Q471" s="13" t="s">
        <v>1532</v>
      </c>
      <c r="R471" s="11"/>
    </row>
    <row r="472" customFormat="false" ht="46.25" hidden="false" customHeight="false" outlineLevel="0" collapsed="false">
      <c r="A472" s="11" t="n">
        <v>7</v>
      </c>
      <c r="B472" s="12" t="s">
        <v>153</v>
      </c>
      <c r="C472" s="12" t="s">
        <v>97</v>
      </c>
      <c r="D472" s="12" t="s">
        <v>780</v>
      </c>
      <c r="E472" s="11" t="n">
        <v>6</v>
      </c>
      <c r="F472" s="12" t="s">
        <v>781</v>
      </c>
      <c r="G472" s="11" t="s">
        <v>127</v>
      </c>
      <c r="H472" s="11"/>
      <c r="I472" s="11" t="n">
        <f aca="false">IF(E472="","",IF(OR(AND(H472="Plan A",$C$5="B"),AND(H472="Plan B",$C$5="A")),0,IF(OR(G472="per student",G472="per group",G472="per class"),E472*IF(B472="Year 7",$C$3,$C$4),E472)))</f>
        <v>6</v>
      </c>
      <c r="J472" s="12"/>
      <c r="K472" s="11"/>
      <c r="L472" s="11" t="str">
        <f aca="false">IF(OR(K472="",O472&lt;&gt;"",I472=""),"",ROUNDUP(I472*K472,0))</f>
        <v/>
      </c>
      <c r="M472" s="12" t="s">
        <v>1533</v>
      </c>
      <c r="N472" s="11"/>
      <c r="O472" s="12"/>
      <c r="P472" s="12" t="s">
        <v>77</v>
      </c>
      <c r="Q472" s="13" t="s">
        <v>1534</v>
      </c>
      <c r="R472" s="11"/>
    </row>
    <row r="473" customFormat="false" ht="23.85" hidden="false" customHeight="false" outlineLevel="0" collapsed="false">
      <c r="A473" s="11" t="n">
        <v>7</v>
      </c>
      <c r="B473" s="12" t="s">
        <v>153</v>
      </c>
      <c r="C473" s="12" t="s">
        <v>97</v>
      </c>
      <c r="D473" s="12" t="s">
        <v>1535</v>
      </c>
      <c r="E473" s="11" t="n">
        <v>2</v>
      </c>
      <c r="F473" s="12" t="s">
        <v>1536</v>
      </c>
      <c r="G473" s="11" t="s">
        <v>66</v>
      </c>
      <c r="H473" s="11"/>
      <c r="I473" s="11" t="n">
        <f aca="false">IF(E473="","",IF(OR(AND(H473="Plan A",$C$5="B"),AND(H473="Plan B",$C$5="A")),0,IF(OR(G473="per student",G473="per group",G473="per class"),E473*IF(B473="Year 7",$C$3,$C$4),E473)))</f>
        <v>2</v>
      </c>
      <c r="J473" s="12"/>
      <c r="K473" s="11"/>
      <c r="L473" s="11" t="str">
        <f aca="false">IF(OR(K473="",O473&lt;&gt;"",I473=""),"",ROUNDUP(I473*K473,0))</f>
        <v/>
      </c>
      <c r="M473" s="12" t="s">
        <v>1537</v>
      </c>
      <c r="N473" s="11"/>
      <c r="O473" s="12"/>
      <c r="P473" s="12" t="s">
        <v>77</v>
      </c>
      <c r="Q473" s="13" t="s">
        <v>1538</v>
      </c>
      <c r="R473" s="11"/>
    </row>
    <row r="474" customFormat="false" ht="23.85" hidden="false" customHeight="false" outlineLevel="0" collapsed="false">
      <c r="A474" s="11" t="n">
        <v>7</v>
      </c>
      <c r="B474" s="12" t="s">
        <v>153</v>
      </c>
      <c r="C474" s="12" t="s">
        <v>97</v>
      </c>
      <c r="D474" s="12" t="s">
        <v>1539</v>
      </c>
      <c r="E474" s="11" t="n">
        <v>24</v>
      </c>
      <c r="F474" s="12" t="s">
        <v>260</v>
      </c>
      <c r="G474" s="11" t="s">
        <v>43</v>
      </c>
      <c r="H474" s="11"/>
      <c r="I474" s="11" t="n">
        <f aca="false">IF(E474="","",IF(OR(AND(H474="Plan A",$C$5="B"),AND(H474="Plan B",$C$5="A")),0,IF(OR(G474="per student",G474="per group",G474="per class"),E474*IF(B474="Year 7",$C$3,$C$4),E474)))</f>
        <v>24</v>
      </c>
      <c r="J474" s="12"/>
      <c r="K474" s="11"/>
      <c r="L474" s="11" t="str">
        <f aca="false">IF(OR(K474="",O474&lt;&gt;"",I474=""),"",ROUNDUP(I474*K474,0))</f>
        <v/>
      </c>
      <c r="M474" s="12" t="s">
        <v>1540</v>
      </c>
      <c r="N474" s="11" t="s">
        <v>105</v>
      </c>
      <c r="O474" s="12"/>
      <c r="P474" s="12" t="s">
        <v>77</v>
      </c>
      <c r="Q474" s="13" t="s">
        <v>1541</v>
      </c>
      <c r="R474" s="11"/>
    </row>
    <row r="475" customFormat="false" ht="23.85" hidden="false" customHeight="false" outlineLevel="0" collapsed="false">
      <c r="A475" s="11" t="n">
        <v>7</v>
      </c>
      <c r="B475" s="12" t="s">
        <v>153</v>
      </c>
      <c r="C475" s="12" t="s">
        <v>97</v>
      </c>
      <c r="D475" s="12" t="s">
        <v>120</v>
      </c>
      <c r="E475" s="11" t="n">
        <v>24</v>
      </c>
      <c r="F475" s="12" t="s">
        <v>248</v>
      </c>
      <c r="G475" s="11" t="s">
        <v>43</v>
      </c>
      <c r="H475" s="11"/>
      <c r="I475" s="11" t="n">
        <f aca="false">IF(E475="","",IF(OR(AND(H475="Plan A",$C$5="B"),AND(H475="Plan B",$C$5="A")),0,IF(OR(G475="per student",G475="per group",G475="per class"),E475*IF(B475="Year 7",$C$3,$C$4),E475)))</f>
        <v>24</v>
      </c>
      <c r="J475" s="12"/>
      <c r="K475" s="11"/>
      <c r="L475" s="11" t="str">
        <f aca="false">IF(OR(K475="",O475&lt;&gt;"",I475=""),"",ROUNDUP(I475*K475,0))</f>
        <v/>
      </c>
      <c r="M475" s="12" t="s">
        <v>1542</v>
      </c>
      <c r="N475" s="11"/>
      <c r="O475" s="12" t="s">
        <v>472</v>
      </c>
      <c r="P475" s="12" t="s">
        <v>376</v>
      </c>
      <c r="Q475" s="12"/>
      <c r="R475" s="11"/>
    </row>
    <row r="476" customFormat="false" ht="35.05" hidden="false" customHeight="false" outlineLevel="0" collapsed="false">
      <c r="A476" s="11" t="n">
        <v>7</v>
      </c>
      <c r="B476" s="12" t="s">
        <v>153</v>
      </c>
      <c r="C476" s="12" t="s">
        <v>97</v>
      </c>
      <c r="D476" s="12" t="s">
        <v>1543</v>
      </c>
      <c r="E476" s="11" t="n">
        <v>24</v>
      </c>
      <c r="F476" s="12" t="s">
        <v>314</v>
      </c>
      <c r="G476" s="11" t="s">
        <v>43</v>
      </c>
      <c r="H476" s="11"/>
      <c r="I476" s="11" t="n">
        <f aca="false">IF(E476="","",IF(OR(AND(H476="Plan A",$C$5="B"),AND(H476="Plan B",$C$5="A")),0,IF(OR(G476="per student",G476="per group",G476="per class"),E476*IF(B476="Year 7",$C$3,$C$4),E476)))</f>
        <v>24</v>
      </c>
      <c r="J476" s="12"/>
      <c r="K476" s="11"/>
      <c r="L476" s="11" t="str">
        <f aca="false">IF(OR(K476="",O476&lt;&gt;"",I476=""),"",ROUNDUP(I476*K476,0))</f>
        <v/>
      </c>
      <c r="M476" s="12" t="s">
        <v>1544</v>
      </c>
      <c r="N476" s="11"/>
      <c r="O476" s="12" t="s">
        <v>791</v>
      </c>
      <c r="P476" s="12" t="s">
        <v>376</v>
      </c>
      <c r="Q476" s="12"/>
      <c r="R476" s="11"/>
    </row>
    <row r="477" customFormat="false" ht="46.25" hidden="false" customHeight="false" outlineLevel="0" collapsed="false">
      <c r="A477" s="11" t="n">
        <v>7</v>
      </c>
      <c r="B477" s="12" t="s">
        <v>153</v>
      </c>
      <c r="C477" s="12" t="s">
        <v>97</v>
      </c>
      <c r="D477" s="12" t="s">
        <v>641</v>
      </c>
      <c r="E477" s="11" t="n">
        <v>6</v>
      </c>
      <c r="F477" s="12" t="s">
        <v>373</v>
      </c>
      <c r="G477" s="11" t="s">
        <v>66</v>
      </c>
      <c r="H477" s="11"/>
      <c r="I477" s="11" t="n">
        <f aca="false">IF(E477="","",IF(OR(AND(H477="Plan A",$C$5="B"),AND(H477="Plan B",$C$5="A")),0,IF(OR(G477="per student",G477="per group",G477="per class"),E477*IF(B477="Year 7",$C$3,$C$4),E477)))</f>
        <v>6</v>
      </c>
      <c r="J477" s="12"/>
      <c r="K477" s="11"/>
      <c r="L477" s="11" t="str">
        <f aca="false">IF(OR(K477="",O477&lt;&gt;"",I477=""),"",ROUNDUP(I477*K477,0))</f>
        <v/>
      </c>
      <c r="M477" s="12" t="s">
        <v>1545</v>
      </c>
      <c r="N477" s="11"/>
      <c r="O477" s="12" t="s">
        <v>643</v>
      </c>
      <c r="P477" s="12" t="s">
        <v>376</v>
      </c>
      <c r="Q477" s="13" t="s">
        <v>377</v>
      </c>
      <c r="R477" s="11"/>
    </row>
    <row r="478" customFormat="false" ht="35.05" hidden="false" customHeight="false" outlineLevel="0" collapsed="false">
      <c r="A478" s="11" t="n">
        <v>7</v>
      </c>
      <c r="B478" s="12" t="s">
        <v>153</v>
      </c>
      <c r="C478" s="12" t="s">
        <v>97</v>
      </c>
      <c r="D478" s="12" t="s">
        <v>482</v>
      </c>
      <c r="E478" s="11" t="n">
        <v>6</v>
      </c>
      <c r="F478" s="12" t="s">
        <v>373</v>
      </c>
      <c r="G478" s="11" t="s">
        <v>66</v>
      </c>
      <c r="H478" s="11"/>
      <c r="I478" s="11" t="n">
        <f aca="false">IF(E478="","",IF(OR(AND(H478="Plan A",$C$5="B"),AND(H478="Plan B",$C$5="A")),0,IF(OR(G478="per student",G478="per group",G478="per class"),E478*IF(B478="Year 7",$C$3,$C$4),E478)))</f>
        <v>6</v>
      </c>
      <c r="J478" s="12"/>
      <c r="K478" s="11"/>
      <c r="L478" s="11" t="str">
        <f aca="false">IF(OR(K478="",O478&lt;&gt;"",I478=""),"",ROUNDUP(I478*K478,0))</f>
        <v/>
      </c>
      <c r="M478" s="12" t="s">
        <v>1546</v>
      </c>
      <c r="N478" s="11"/>
      <c r="O478" s="12" t="s">
        <v>484</v>
      </c>
      <c r="P478" s="12" t="s">
        <v>376</v>
      </c>
      <c r="Q478" s="12"/>
      <c r="R478" s="11"/>
    </row>
    <row r="479" customFormat="false" ht="23.85" hidden="false" customHeight="false" outlineLevel="0" collapsed="false">
      <c r="A479" s="11" t="n">
        <v>7</v>
      </c>
      <c r="B479" s="12" t="s">
        <v>153</v>
      </c>
      <c r="C479" s="12" t="s">
        <v>97</v>
      </c>
      <c r="D479" s="12" t="s">
        <v>485</v>
      </c>
      <c r="E479" s="11" t="n">
        <v>24</v>
      </c>
      <c r="F479" s="12" t="s">
        <v>368</v>
      </c>
      <c r="G479" s="11" t="s">
        <v>43</v>
      </c>
      <c r="H479" s="11"/>
      <c r="I479" s="11" t="n">
        <f aca="false">IF(E479="","",IF(OR(AND(H479="Plan A",$C$5="B"),AND(H479="Plan B",$C$5="A")),0,IF(OR(G479="per student",G479="per group",G479="per class"),E479*IF(B479="Year 7",$C$3,$C$4),E479)))</f>
        <v>24</v>
      </c>
      <c r="J479" s="12"/>
      <c r="K479" s="11"/>
      <c r="L479" s="11" t="str">
        <f aca="false">IF(OR(K479="",O479&lt;&gt;"",I479=""),"",ROUNDUP(I479*K479,0))</f>
        <v/>
      </c>
      <c r="M479" s="12" t="s">
        <v>387</v>
      </c>
      <c r="N479" s="11"/>
      <c r="O479" s="12" t="s">
        <v>808</v>
      </c>
      <c r="P479" s="12" t="s">
        <v>376</v>
      </c>
      <c r="Q479" s="13" t="s">
        <v>1547</v>
      </c>
      <c r="R479" s="11"/>
    </row>
    <row r="480" customFormat="false" ht="35.05" hidden="false" customHeight="false" outlineLevel="0" collapsed="false">
      <c r="A480" s="11" t="n">
        <v>7</v>
      </c>
      <c r="B480" s="12" t="s">
        <v>153</v>
      </c>
      <c r="C480" s="12" t="s">
        <v>97</v>
      </c>
      <c r="D480" s="12" t="s">
        <v>367</v>
      </c>
      <c r="E480" s="11" t="n">
        <v>24</v>
      </c>
      <c r="F480" s="12" t="s">
        <v>368</v>
      </c>
      <c r="G480" s="11" t="s">
        <v>43</v>
      </c>
      <c r="H480" s="11"/>
      <c r="I480" s="11" t="n">
        <f aca="false">IF(E480="","",IF(OR(AND(H480="Plan A",$C$5="B"),AND(H480="Plan B",$C$5="A")),0,IF(OR(G480="per student",G480="per group",G480="per class"),E480*IF(B480="Year 7",$C$3,$C$4),E480)))</f>
        <v>24</v>
      </c>
      <c r="J480" s="12"/>
      <c r="K480" s="11"/>
      <c r="L480" s="11" t="str">
        <f aca="false">IF(OR(K480="",O480&lt;&gt;"",I480=""),"",ROUNDUP(I480*K480,0))</f>
        <v/>
      </c>
      <c r="M480" s="12" t="s">
        <v>1548</v>
      </c>
      <c r="N480" s="11"/>
      <c r="O480" s="12" t="s">
        <v>370</v>
      </c>
      <c r="P480" s="12" t="s">
        <v>376</v>
      </c>
      <c r="Q480" s="12"/>
      <c r="R480" s="11"/>
    </row>
    <row r="481" customFormat="false" ht="35.05" hidden="false" customHeight="false" outlineLevel="0" collapsed="false">
      <c r="A481" s="11" t="n">
        <v>7</v>
      </c>
      <c r="B481" s="12" t="s">
        <v>153</v>
      </c>
      <c r="C481" s="12" t="s">
        <v>124</v>
      </c>
      <c r="D481" s="12" t="s">
        <v>1549</v>
      </c>
      <c r="E481" s="11" t="n">
        <v>24</v>
      </c>
      <c r="F481" s="12" t="s">
        <v>1550</v>
      </c>
      <c r="G481" s="11" t="s">
        <v>43</v>
      </c>
      <c r="H481" s="11"/>
      <c r="I481" s="11" t="n">
        <f aca="false">IF(E481="","",IF(OR(AND(H481="Plan A",$C$5="B"),AND(H481="Plan B",$C$5="A")),0,IF(OR(G481="per student",G481="per group",G481="per class"),E481*IF(B481="Year 7",$C$3,$C$4),E481)))</f>
        <v>24</v>
      </c>
      <c r="J481" s="12"/>
      <c r="K481" s="11"/>
      <c r="L481" s="11" t="str">
        <f aca="false">IF(OR(K481="",O481&lt;&gt;"",I481=""),"",ROUNDUP(I481*K481,0))</f>
        <v/>
      </c>
      <c r="M481" s="12" t="s">
        <v>1551</v>
      </c>
      <c r="N481" s="11" t="s">
        <v>105</v>
      </c>
      <c r="O481" s="12"/>
      <c r="P481" s="12" t="s">
        <v>77</v>
      </c>
      <c r="Q481" s="13" t="s">
        <v>1552</v>
      </c>
      <c r="R481" s="11"/>
    </row>
    <row r="482" customFormat="false" ht="35.05" hidden="false" customHeight="false" outlineLevel="0" collapsed="false">
      <c r="A482" s="11" t="n">
        <v>7</v>
      </c>
      <c r="B482" s="12" t="s">
        <v>153</v>
      </c>
      <c r="C482" s="12" t="s">
        <v>124</v>
      </c>
      <c r="D482" s="12" t="s">
        <v>844</v>
      </c>
      <c r="E482" s="11" t="n">
        <v>6</v>
      </c>
      <c r="F482" s="12" t="s">
        <v>845</v>
      </c>
      <c r="G482" s="11" t="s">
        <v>66</v>
      </c>
      <c r="H482" s="11"/>
      <c r="I482" s="11" t="n">
        <f aca="false">IF(E482="","",IF(OR(AND(H482="Plan A",$C$5="B"),AND(H482="Plan B",$C$5="A")),0,IF(OR(G482="per student",G482="per group",G482="per class"),E482*IF(B482="Year 7",$C$3,$C$4),E482)))</f>
        <v>6</v>
      </c>
      <c r="J482" s="12"/>
      <c r="K482" s="11"/>
      <c r="L482" s="11" t="str">
        <f aca="false">IF(OR(K482="",O482&lt;&gt;"",I482=""),"",ROUNDUP(I482*K482,0))</f>
        <v/>
      </c>
      <c r="M482" s="12" t="s">
        <v>1553</v>
      </c>
      <c r="N482" s="11"/>
      <c r="O482" s="12"/>
      <c r="P482" s="12" t="s">
        <v>77</v>
      </c>
      <c r="Q482" s="13" t="s">
        <v>1554</v>
      </c>
      <c r="R482" s="11"/>
    </row>
    <row r="483" customFormat="false" ht="23.85" hidden="false" customHeight="false" outlineLevel="0" collapsed="false">
      <c r="A483" s="11" t="n">
        <v>7</v>
      </c>
      <c r="B483" s="12" t="s">
        <v>153</v>
      </c>
      <c r="C483" s="12" t="s">
        <v>124</v>
      </c>
      <c r="D483" s="12" t="s">
        <v>125</v>
      </c>
      <c r="E483" s="11" t="n">
        <v>1</v>
      </c>
      <c r="F483" s="12" t="s">
        <v>267</v>
      </c>
      <c r="G483" s="11" t="s">
        <v>127</v>
      </c>
      <c r="H483" s="11"/>
      <c r="I483" s="11" t="n">
        <f aca="false">IF(E483="","",IF(OR(AND(H483="Plan A",$C$5="B"),AND(H483="Plan B",$C$5="A")),0,IF(OR(G483="per student",G483="per group",G483="per class"),E483*IF(B483="Year 7",$C$3,$C$4),E483)))</f>
        <v>1</v>
      </c>
      <c r="J483" s="12"/>
      <c r="K483" s="11"/>
      <c r="L483" s="11" t="str">
        <f aca="false">IF(OR(K483="",O483&lt;&gt;"",I483=""),"",ROUNDUP(I483*K483,0))</f>
        <v/>
      </c>
      <c r="M483" s="12" t="s">
        <v>1555</v>
      </c>
      <c r="N483" s="11"/>
      <c r="O483" s="12" t="s">
        <v>855</v>
      </c>
      <c r="P483" s="12" t="s">
        <v>376</v>
      </c>
      <c r="Q483" s="12"/>
      <c r="R483" s="11"/>
    </row>
    <row r="484" customFormat="false" ht="23.85" hidden="false" customHeight="false" outlineLevel="0" collapsed="false">
      <c r="A484" s="11" t="n">
        <v>7</v>
      </c>
      <c r="B484" s="12" t="s">
        <v>153</v>
      </c>
      <c r="C484" s="12" t="s">
        <v>124</v>
      </c>
      <c r="D484" s="12" t="s">
        <v>1556</v>
      </c>
      <c r="E484" s="11" t="n">
        <v>1</v>
      </c>
      <c r="F484" s="12" t="s">
        <v>361</v>
      </c>
      <c r="G484" s="11" t="s">
        <v>57</v>
      </c>
      <c r="H484" s="11"/>
      <c r="I484" s="11" t="n">
        <f aca="false">IF(E484="","",IF(OR(AND(H484="Plan A",$C$5="B"),AND(H484="Plan B",$C$5="A")),0,IF(OR(G484="per student",G484="per group",G484="per class"),E484*IF(B484="Year 7",$C$3,$C$4),E484)))</f>
        <v>1</v>
      </c>
      <c r="J484" s="12"/>
      <c r="K484" s="11"/>
      <c r="L484" s="11" t="str">
        <f aca="false">IF(OR(K484="",O484&lt;&gt;"",I484=""),"",ROUNDUP(I484*K484,0))</f>
        <v/>
      </c>
      <c r="M484" s="12" t="s">
        <v>1557</v>
      </c>
      <c r="N484" s="11" t="s">
        <v>105</v>
      </c>
      <c r="O484" s="12" t="s">
        <v>1558</v>
      </c>
      <c r="P484" s="12" t="s">
        <v>376</v>
      </c>
      <c r="Q484" s="13" t="s">
        <v>1559</v>
      </c>
      <c r="R484" s="11"/>
    </row>
    <row r="485" customFormat="false" ht="23.85" hidden="false" customHeight="false" outlineLevel="0" collapsed="false">
      <c r="A485" s="11" t="n">
        <v>7</v>
      </c>
      <c r="B485" s="12" t="s">
        <v>153</v>
      </c>
      <c r="C485" s="12" t="s">
        <v>124</v>
      </c>
      <c r="D485" s="12" t="s">
        <v>675</v>
      </c>
      <c r="E485" s="11" t="n">
        <v>2</v>
      </c>
      <c r="F485" s="12" t="s">
        <v>296</v>
      </c>
      <c r="G485" s="11" t="s">
        <v>66</v>
      </c>
      <c r="H485" s="11"/>
      <c r="I485" s="11" t="n">
        <f aca="false">IF(E485="","",IF(OR(AND(H485="Plan A",$C$5="B"),AND(H485="Plan B",$C$5="A")),0,IF(OR(G485="per student",G485="per group",G485="per class"),E485*IF(B485="Year 7",$C$3,$C$4),E485)))</f>
        <v>2</v>
      </c>
      <c r="J485" s="12"/>
      <c r="K485" s="11"/>
      <c r="L485" s="11" t="str">
        <f aca="false">IF(OR(K485="",O485&lt;&gt;"",I485=""),"",ROUNDUP(I485*K485,0))</f>
        <v/>
      </c>
      <c r="M485" s="12" t="s">
        <v>1560</v>
      </c>
      <c r="N485" s="11" t="s">
        <v>105</v>
      </c>
      <c r="O485" s="12" t="s">
        <v>1561</v>
      </c>
      <c r="P485" s="13" t="s">
        <v>91</v>
      </c>
      <c r="Q485" s="13" t="s">
        <v>1562</v>
      </c>
      <c r="R485" s="11"/>
    </row>
    <row r="486" customFormat="false" ht="68.65" hidden="false" customHeight="false" outlineLevel="0" collapsed="false">
      <c r="A486" s="11" t="n">
        <v>7</v>
      </c>
      <c r="B486" s="12" t="s">
        <v>153</v>
      </c>
      <c r="C486" s="12" t="s">
        <v>124</v>
      </c>
      <c r="D486" s="12" t="s">
        <v>1563</v>
      </c>
      <c r="E486" s="11"/>
      <c r="F486" s="12" t="s">
        <v>1564</v>
      </c>
      <c r="G486" s="11" t="s">
        <v>127</v>
      </c>
      <c r="H486" s="11"/>
      <c r="I486" s="11" t="str">
        <f aca="false">IF(E486="","",IF(OR(AND(H486="Plan A",$C$5="B"),AND(H486="Plan B",$C$5="A")),0,IF(OR(G486="per student",G486="per group",G486="per class"),E486*IF(B486="Year 7",$C$3,$C$4),E486)))</f>
        <v/>
      </c>
      <c r="J486" s="12"/>
      <c r="K486" s="11"/>
      <c r="L486" s="11" t="str">
        <f aca="false">IF(OR(K486="",O486&lt;&gt;"",I486=""),"",ROUNDUP(I486*K486,0))</f>
        <v/>
      </c>
      <c r="M486" s="12" t="s">
        <v>1565</v>
      </c>
      <c r="N486" s="11" t="s">
        <v>105</v>
      </c>
      <c r="O486" s="12"/>
      <c r="P486" s="12" t="s">
        <v>133</v>
      </c>
      <c r="Q486" s="13" t="s">
        <v>1566</v>
      </c>
      <c r="R486" s="11"/>
    </row>
    <row r="487" customFormat="false" ht="35.05" hidden="false" customHeight="false" outlineLevel="0" collapsed="false">
      <c r="A487" s="11" t="n">
        <v>7</v>
      </c>
      <c r="B487" s="12" t="s">
        <v>153</v>
      </c>
      <c r="C487" s="12" t="s">
        <v>294</v>
      </c>
      <c r="D487" s="12" t="s">
        <v>872</v>
      </c>
      <c r="E487" s="11" t="n">
        <v>2</v>
      </c>
      <c r="F487" s="12" t="s">
        <v>397</v>
      </c>
      <c r="G487" s="11" t="s">
        <v>66</v>
      </c>
      <c r="H487" s="11"/>
      <c r="I487" s="11" t="n">
        <f aca="false">IF(E487="","",IF(OR(AND(H487="Plan A",$C$5="B"),AND(H487="Plan B",$C$5="A")),0,IF(OR(G487="per student",G487="per group",G487="per class"),E487*IF(B487="Year 7",$C$3,$C$4),E487)))</f>
        <v>2</v>
      </c>
      <c r="J487" s="12"/>
      <c r="K487" s="11"/>
      <c r="L487" s="11" t="str">
        <f aca="false">IF(OR(K487="",O487&lt;&gt;"",I487=""),"",ROUNDUP(I487*K487,0))</f>
        <v/>
      </c>
      <c r="M487" s="12" t="s">
        <v>1567</v>
      </c>
      <c r="N487" s="11"/>
      <c r="O487" s="12"/>
      <c r="P487" s="13" t="s">
        <v>91</v>
      </c>
      <c r="Q487" s="13" t="s">
        <v>1568</v>
      </c>
      <c r="R487" s="11"/>
    </row>
    <row r="488" customFormat="false" ht="23.85" hidden="false" customHeight="false" outlineLevel="0" collapsed="false">
      <c r="A488" s="11" t="n">
        <v>7</v>
      </c>
      <c r="B488" s="12" t="s">
        <v>153</v>
      </c>
      <c r="C488" s="12" t="s">
        <v>294</v>
      </c>
      <c r="D488" s="12" t="s">
        <v>310</v>
      </c>
      <c r="E488" s="11" t="n">
        <v>6</v>
      </c>
      <c r="F488" s="12" t="s">
        <v>861</v>
      </c>
      <c r="G488" s="11" t="s">
        <v>66</v>
      </c>
      <c r="H488" s="11"/>
      <c r="I488" s="11" t="n">
        <f aca="false">IF(E488="","",IF(OR(AND(H488="Plan A",$C$5="B"),AND(H488="Plan B",$C$5="A")),0,IF(OR(G488="per student",G488="per group",G488="per class"),E488*IF(B488="Year 7",$C$3,$C$4),E488)))</f>
        <v>6</v>
      </c>
      <c r="J488" s="12"/>
      <c r="K488" s="11"/>
      <c r="L488" s="11" t="str">
        <f aca="false">IF(OR(K488="",O488&lt;&gt;"",I488=""),"",ROUNDUP(I488*K488,0))</f>
        <v/>
      </c>
      <c r="M488" s="12" t="s">
        <v>1569</v>
      </c>
      <c r="N488" s="11" t="s">
        <v>105</v>
      </c>
      <c r="O488" s="12"/>
      <c r="P488" s="12" t="s">
        <v>77</v>
      </c>
      <c r="Q488" s="13" t="s">
        <v>1570</v>
      </c>
      <c r="R488" s="11"/>
    </row>
    <row r="489" customFormat="false" ht="79.85" hidden="false" customHeight="false" outlineLevel="0" collapsed="false">
      <c r="A489" s="11" t="n">
        <v>7</v>
      </c>
      <c r="B489" s="12" t="s">
        <v>153</v>
      </c>
      <c r="C489" s="12" t="s">
        <v>144</v>
      </c>
      <c r="D489" s="12" t="s">
        <v>1571</v>
      </c>
      <c r="E489" s="11" t="n">
        <v>2</v>
      </c>
      <c r="F489" s="12" t="s">
        <v>1572</v>
      </c>
      <c r="G489" s="11" t="s">
        <v>66</v>
      </c>
      <c r="H489" s="11"/>
      <c r="I489" s="11" t="n">
        <f aca="false">IF(E489="","",IF(OR(AND(H489="Plan A",$C$5="B"),AND(H489="Plan B",$C$5="A")),0,IF(OR(G489="per student",G489="per group",G489="per class"),E489*IF(B489="Year 7",$C$3,$C$4),E489)))</f>
        <v>2</v>
      </c>
      <c r="J489" s="12"/>
      <c r="K489" s="11"/>
      <c r="L489" s="11" t="str">
        <f aca="false">IF(OR(K489="",O489&lt;&gt;"",I489=""),"",ROUNDUP(I489*K489,0))</f>
        <v/>
      </c>
      <c r="M489" s="12" t="s">
        <v>1573</v>
      </c>
      <c r="N489" s="11"/>
      <c r="O489" s="12"/>
      <c r="P489" s="12" t="s">
        <v>77</v>
      </c>
      <c r="Q489" s="13" t="s">
        <v>1574</v>
      </c>
      <c r="R489" s="11"/>
    </row>
    <row r="490" customFormat="false" ht="57.45" hidden="false" customHeight="false" outlineLevel="0" collapsed="false">
      <c r="A490" s="11" t="n">
        <v>7</v>
      </c>
      <c r="B490" s="12" t="s">
        <v>153</v>
      </c>
      <c r="C490" s="12" t="s">
        <v>144</v>
      </c>
      <c r="D490" s="12" t="s">
        <v>1575</v>
      </c>
      <c r="E490" s="11" t="n">
        <v>2</v>
      </c>
      <c r="F490" s="12" t="s">
        <v>1572</v>
      </c>
      <c r="G490" s="11" t="s">
        <v>66</v>
      </c>
      <c r="H490" s="11"/>
      <c r="I490" s="11" t="n">
        <f aca="false">IF(E490="","",IF(OR(AND(H490="Plan A",$C$5="B"),AND(H490="Plan B",$C$5="A")),0,IF(OR(G490="per student",G490="per group",G490="per class"),E490*IF(B490="Year 7",$C$3,$C$4),E490)))</f>
        <v>2</v>
      </c>
      <c r="J490" s="12"/>
      <c r="K490" s="11"/>
      <c r="L490" s="11" t="str">
        <f aca="false">IF(OR(K490="",O490&lt;&gt;"",I490=""),"",ROUNDUP(I490*K490,0))</f>
        <v/>
      </c>
      <c r="M490" s="12" t="s">
        <v>1576</v>
      </c>
      <c r="N490" s="11"/>
      <c r="O490" s="12"/>
      <c r="P490" s="12" t="s">
        <v>77</v>
      </c>
      <c r="Q490" s="13" t="s">
        <v>1577</v>
      </c>
      <c r="R490" s="11"/>
    </row>
    <row r="491" customFormat="false" ht="35.05" hidden="false" customHeight="false" outlineLevel="0" collapsed="false">
      <c r="A491" s="11" t="n">
        <v>7</v>
      </c>
      <c r="B491" s="12" t="s">
        <v>153</v>
      </c>
      <c r="C491" s="12" t="s">
        <v>144</v>
      </c>
      <c r="D491" s="12" t="s">
        <v>1578</v>
      </c>
      <c r="E491" s="11" t="n">
        <v>2</v>
      </c>
      <c r="F491" s="12" t="s">
        <v>1572</v>
      </c>
      <c r="G491" s="11" t="s">
        <v>66</v>
      </c>
      <c r="H491" s="11"/>
      <c r="I491" s="11" t="n">
        <f aca="false">IF(E491="","",IF(OR(AND(H491="Plan A",$C$5="B"),AND(H491="Plan B",$C$5="A")),0,IF(OR(G491="per student",G491="per group",G491="per class"),E491*IF(B491="Year 7",$C$3,$C$4),E491)))</f>
        <v>2</v>
      </c>
      <c r="J491" s="12"/>
      <c r="K491" s="11"/>
      <c r="L491" s="11" t="str">
        <f aca="false">IF(OR(K491="",O491&lt;&gt;"",I491=""),"",ROUNDUP(I491*K491,0))</f>
        <v/>
      </c>
      <c r="M491" s="12" t="s">
        <v>1579</v>
      </c>
      <c r="N491" s="11"/>
      <c r="O491" s="12"/>
      <c r="P491" s="12" t="s">
        <v>77</v>
      </c>
      <c r="Q491" s="13" t="s">
        <v>1580</v>
      </c>
      <c r="R491" s="11"/>
    </row>
    <row r="492" customFormat="false" ht="46.25" hidden="false" customHeight="false" outlineLevel="0" collapsed="false">
      <c r="A492" s="11" t="n">
        <v>7</v>
      </c>
      <c r="B492" s="12" t="s">
        <v>153</v>
      </c>
      <c r="C492" s="12" t="s">
        <v>144</v>
      </c>
      <c r="D492" s="12" t="s">
        <v>1581</v>
      </c>
      <c r="E492" s="11" t="n">
        <v>2</v>
      </c>
      <c r="F492" s="12" t="s">
        <v>296</v>
      </c>
      <c r="G492" s="11" t="s">
        <v>66</v>
      </c>
      <c r="H492" s="11"/>
      <c r="I492" s="11" t="n">
        <f aca="false">IF(E492="","",IF(OR(AND(H492="Plan A",$C$5="B"),AND(H492="Plan B",$C$5="A")),0,IF(OR(G492="per student",G492="per group",G492="per class"),E492*IF(B492="Year 7",$C$3,$C$4),E492)))</f>
        <v>2</v>
      </c>
      <c r="J492" s="12"/>
      <c r="K492" s="11"/>
      <c r="L492" s="11" t="str">
        <f aca="false">IF(OR(K492="",O492&lt;&gt;"",I492=""),"",ROUNDUP(I492*K492,0))</f>
        <v/>
      </c>
      <c r="M492" s="12" t="s">
        <v>1582</v>
      </c>
      <c r="N492" s="11"/>
      <c r="O492" s="12" t="s">
        <v>1583</v>
      </c>
      <c r="P492" s="13" t="s">
        <v>91</v>
      </c>
      <c r="Q492" s="13" t="s">
        <v>1584</v>
      </c>
      <c r="R492" s="11"/>
    </row>
    <row r="493" customFormat="false" ht="57.45" hidden="false" customHeight="false" outlineLevel="0" collapsed="false">
      <c r="A493" s="14" t="n">
        <v>8</v>
      </c>
      <c r="B493" s="15" t="s">
        <v>39</v>
      </c>
      <c r="C493" s="15" t="s">
        <v>40</v>
      </c>
      <c r="D493" s="15" t="s">
        <v>1585</v>
      </c>
      <c r="E493" s="14" t="n">
        <v>24</v>
      </c>
      <c r="F493" s="15" t="s">
        <v>1586</v>
      </c>
      <c r="G493" s="14" t="s">
        <v>43</v>
      </c>
      <c r="H493" s="14" t="s">
        <v>964</v>
      </c>
      <c r="I493" s="14" t="n">
        <f aca="false">IF(E493="","",IF(OR(AND(H493="Plan A",$C$5="B"),AND(H493="Plan B",$C$5="A")),0,IF(OR(G493="per student",G493="per group",G493="per class"),E493*IF(B493="Year 7",$C$3,$C$4),E493)))</f>
        <v>24</v>
      </c>
      <c r="J493" s="15" t="s">
        <v>13</v>
      </c>
      <c r="K493" s="14" t="n">
        <v>3</v>
      </c>
      <c r="L493" s="14" t="n">
        <f aca="false">IF(OR(K493="",O493&lt;&gt;"",I493=""),"",ROUNDUP(I493*K493,0))</f>
        <v>72</v>
      </c>
      <c r="M493" s="15" t="s">
        <v>1587</v>
      </c>
      <c r="N493" s="14"/>
      <c r="O493" s="15"/>
      <c r="P493" s="15" t="s">
        <v>45</v>
      </c>
      <c r="Q493" s="13" t="s">
        <v>1588</v>
      </c>
      <c r="R493" s="14"/>
    </row>
    <row r="494" customFormat="false" ht="46.25" hidden="false" customHeight="false" outlineLevel="0" collapsed="false">
      <c r="A494" s="14" t="n">
        <v>8</v>
      </c>
      <c r="B494" s="15" t="s">
        <v>39</v>
      </c>
      <c r="C494" s="15" t="s">
        <v>40</v>
      </c>
      <c r="D494" s="15" t="s">
        <v>1589</v>
      </c>
      <c r="E494" s="14" t="n">
        <v>24</v>
      </c>
      <c r="F494" s="15" t="s">
        <v>1590</v>
      </c>
      <c r="G494" s="14" t="s">
        <v>43</v>
      </c>
      <c r="H494" s="14" t="s">
        <v>956</v>
      </c>
      <c r="I494" s="14" t="n">
        <f aca="false">IF(E494="","",IF(OR(AND(H494="Plan A",$C$5="B"),AND(H494="Plan B",$C$5="A")),0,IF(OR(G494="per student",G494="per group",G494="per class"),E494*IF(B494="Year 7",$C$3,$C$4),E494)))</f>
        <v>24</v>
      </c>
      <c r="J494" s="15" t="s">
        <v>13</v>
      </c>
      <c r="K494" s="14" t="n">
        <v>2</v>
      </c>
      <c r="L494" s="14" t="n">
        <f aca="false">IF(OR(K494="",O494&lt;&gt;"",I494=""),"",ROUNDUP(I494*K494,0))</f>
        <v>48</v>
      </c>
      <c r="M494" s="15" t="s">
        <v>1591</v>
      </c>
      <c r="N494" s="14"/>
      <c r="O494" s="15"/>
      <c r="P494" s="15" t="s">
        <v>45</v>
      </c>
      <c r="Q494" s="13" t="s">
        <v>1592</v>
      </c>
      <c r="R494" s="14"/>
    </row>
    <row r="495" customFormat="false" ht="46.25" hidden="false" customHeight="false" outlineLevel="0" collapsed="false">
      <c r="A495" s="14" t="n">
        <v>8</v>
      </c>
      <c r="B495" s="15" t="s">
        <v>39</v>
      </c>
      <c r="C495" s="15" t="s">
        <v>40</v>
      </c>
      <c r="D495" s="15" t="s">
        <v>1593</v>
      </c>
      <c r="E495" s="14"/>
      <c r="F495" s="15" t="s">
        <v>1594</v>
      </c>
      <c r="G495" s="14" t="s">
        <v>127</v>
      </c>
      <c r="H495" s="14" t="s">
        <v>964</v>
      </c>
      <c r="I495" s="14" t="str">
        <f aca="false">IF(E495="","",IF(OR(AND(H495="Plan A",$C$5="B"),AND(H495="Plan B",$C$5="A")),0,IF(OR(G495="per student",G495="per group",G495="per class"),E495*IF(B495="Year 7",$C$3,$C$4),E495)))</f>
        <v/>
      </c>
      <c r="J495" s="15" t="s">
        <v>20</v>
      </c>
      <c r="K495" s="14" t="n">
        <v>1</v>
      </c>
      <c r="L495" s="14" t="str">
        <f aca="false">IF(OR(K495="",O495&lt;&gt;"",I495=""),"",ROUNDUP(I495*K495,0))</f>
        <v/>
      </c>
      <c r="M495" s="15" t="s">
        <v>1595</v>
      </c>
      <c r="N495" s="14"/>
      <c r="O495" s="15"/>
      <c r="P495" s="15" t="s">
        <v>45</v>
      </c>
      <c r="Q495" s="13" t="s">
        <v>1596</v>
      </c>
      <c r="R495" s="14"/>
    </row>
    <row r="496" customFormat="false" ht="46.25" hidden="false" customHeight="false" outlineLevel="0" collapsed="false">
      <c r="A496" s="14" t="n">
        <v>8</v>
      </c>
      <c r="B496" s="15" t="s">
        <v>39</v>
      </c>
      <c r="C496" s="15" t="s">
        <v>40</v>
      </c>
      <c r="D496" s="15" t="s">
        <v>1597</v>
      </c>
      <c r="E496" s="14"/>
      <c r="F496" s="15" t="s">
        <v>1594</v>
      </c>
      <c r="G496" s="14" t="s">
        <v>127</v>
      </c>
      <c r="H496" s="14" t="s">
        <v>956</v>
      </c>
      <c r="I496" s="14" t="str">
        <f aca="false">IF(E496="","",IF(OR(AND(H496="Plan A",$C$5="B"),AND(H496="Plan B",$C$5="A")),0,IF(OR(G496="per student",G496="per group",G496="per class"),E496*IF(B496="Year 7",$C$3,$C$4),E496)))</f>
        <v/>
      </c>
      <c r="J496" s="15" t="s">
        <v>20</v>
      </c>
      <c r="K496" s="14" t="n">
        <v>1</v>
      </c>
      <c r="L496" s="14" t="str">
        <f aca="false">IF(OR(K496="",O496&lt;&gt;"",I496=""),"",ROUNDUP(I496*K496,0))</f>
        <v/>
      </c>
      <c r="M496" s="15" t="s">
        <v>1595</v>
      </c>
      <c r="N496" s="14"/>
      <c r="O496" s="15"/>
      <c r="P496" s="15" t="s">
        <v>45</v>
      </c>
      <c r="Q496" s="13" t="s">
        <v>1596</v>
      </c>
      <c r="R496" s="14"/>
    </row>
    <row r="497" customFormat="false" ht="23.85" hidden="false" customHeight="false" outlineLevel="0" collapsed="false">
      <c r="A497" s="14" t="n">
        <v>8</v>
      </c>
      <c r="B497" s="15" t="s">
        <v>39</v>
      </c>
      <c r="C497" s="15" t="s">
        <v>40</v>
      </c>
      <c r="D497" s="15" t="s">
        <v>1598</v>
      </c>
      <c r="E497" s="14" t="n">
        <v>6</v>
      </c>
      <c r="F497" s="15" t="s">
        <v>1599</v>
      </c>
      <c r="G497" s="14" t="s">
        <v>57</v>
      </c>
      <c r="H497" s="14"/>
      <c r="I497" s="14" t="n">
        <f aca="false">IF(E497="","",IF(OR(AND(H497="Plan A",$C$5="B"),AND(H497="Plan B",$C$5="A")),0,IF(OR(G497="per student",G497="per group",G497="per class"),E497*IF(B497="Year 7",$C$3,$C$4),E497)))</f>
        <v>6</v>
      </c>
      <c r="J497" s="15" t="s">
        <v>13</v>
      </c>
      <c r="K497" s="14" t="n">
        <v>1</v>
      </c>
      <c r="L497" s="14" t="n">
        <f aca="false">IF(OR(K497="",O497&lt;&gt;"",I497=""),"",ROUNDUP(I497*K497,0))</f>
        <v>6</v>
      </c>
      <c r="M497" s="15" t="s">
        <v>1600</v>
      </c>
      <c r="N497" s="14"/>
      <c r="O497" s="15"/>
      <c r="P497" s="15" t="s">
        <v>45</v>
      </c>
      <c r="Q497" s="13" t="s">
        <v>1601</v>
      </c>
      <c r="R497" s="14"/>
    </row>
    <row r="498" customFormat="false" ht="23.85" hidden="false" customHeight="false" outlineLevel="0" collapsed="false">
      <c r="A498" s="14" t="n">
        <v>8</v>
      </c>
      <c r="B498" s="15" t="s">
        <v>39</v>
      </c>
      <c r="C498" s="15" t="s">
        <v>40</v>
      </c>
      <c r="D498" s="15" t="s">
        <v>1602</v>
      </c>
      <c r="E498" s="14" t="n">
        <v>1</v>
      </c>
      <c r="F498" s="15" t="s">
        <v>341</v>
      </c>
      <c r="G498" s="14" t="s">
        <v>75</v>
      </c>
      <c r="H498" s="14"/>
      <c r="I498" s="14" t="n">
        <f aca="false">IF(E498="","",IF(OR(AND(H498="Plan A",$C$5="B"),AND(H498="Plan B",$C$5="A")),0,IF(OR(G498="per student",G498="per group",G498="per class"),E498*IF(B498="Year 7",$C$3,$C$4),E498)))</f>
        <v>1</v>
      </c>
      <c r="J498" s="15" t="s">
        <v>18</v>
      </c>
      <c r="K498" s="14" t="n">
        <v>1</v>
      </c>
      <c r="L498" s="14" t="n">
        <f aca="false">IF(OR(K498="",O498&lt;&gt;"",I498=""),"",ROUNDUP(I498*K498,0))</f>
        <v>1</v>
      </c>
      <c r="M498" s="15" t="s">
        <v>1603</v>
      </c>
      <c r="N498" s="14"/>
      <c r="O498" s="15"/>
      <c r="P498" s="15" t="s">
        <v>77</v>
      </c>
      <c r="Q498" s="15"/>
      <c r="R498" s="14"/>
    </row>
    <row r="499" customFormat="false" ht="23.85" hidden="false" customHeight="false" outlineLevel="0" collapsed="false">
      <c r="A499" s="14" t="n">
        <v>8</v>
      </c>
      <c r="B499" s="15" t="s">
        <v>39</v>
      </c>
      <c r="C499" s="15" t="s">
        <v>40</v>
      </c>
      <c r="D499" s="15" t="s">
        <v>1604</v>
      </c>
      <c r="E499" s="14" t="n">
        <v>2</v>
      </c>
      <c r="F499" s="15" t="s">
        <v>1605</v>
      </c>
      <c r="G499" s="14" t="s">
        <v>127</v>
      </c>
      <c r="H499" s="14" t="s">
        <v>964</v>
      </c>
      <c r="I499" s="14" t="n">
        <f aca="false">IF(E499="","",IF(OR(AND(H499="Plan A",$C$5="B"),AND(H499="Plan B",$C$5="A")),0,IF(OR(G499="per student",G499="per group",G499="per class"),E499*IF(B499="Year 7",$C$3,$C$4),E499)))</f>
        <v>2</v>
      </c>
      <c r="J499" s="15" t="s">
        <v>20</v>
      </c>
      <c r="K499" s="14" t="n">
        <v>1</v>
      </c>
      <c r="L499" s="14" t="n">
        <f aca="false">IF(OR(K499="",O499&lt;&gt;"",I499=""),"",ROUNDUP(I499*K499,0))</f>
        <v>2</v>
      </c>
      <c r="M499" s="15" t="s">
        <v>1606</v>
      </c>
      <c r="N499" s="14"/>
      <c r="O499" s="15"/>
      <c r="P499" s="15" t="s">
        <v>45</v>
      </c>
      <c r="Q499" s="13" t="s">
        <v>1607</v>
      </c>
      <c r="R499" s="14"/>
    </row>
    <row r="500" customFormat="false" ht="23.85" hidden="false" customHeight="false" outlineLevel="0" collapsed="false">
      <c r="A500" s="14" t="n">
        <v>8</v>
      </c>
      <c r="B500" s="15" t="s">
        <v>39</v>
      </c>
      <c r="C500" s="15" t="s">
        <v>97</v>
      </c>
      <c r="D500" s="15" t="s">
        <v>240</v>
      </c>
      <c r="E500" s="14" t="n">
        <v>6</v>
      </c>
      <c r="F500" s="15" t="s">
        <v>241</v>
      </c>
      <c r="G500" s="14" t="s">
        <v>57</v>
      </c>
      <c r="H500" s="14"/>
      <c r="I500" s="14" t="n">
        <f aca="false">IF(E500="","",IF(OR(AND(H500="Plan A",$C$5="B"),AND(H500="Plan B",$C$5="A")),0,IF(OR(G500="per student",G500="per group",G500="per class"),E500*IF(B500="Year 7",$C$3,$C$4),E500)))</f>
        <v>6</v>
      </c>
      <c r="J500" s="15"/>
      <c r="K500" s="14"/>
      <c r="L500" s="14" t="str">
        <f aca="false">IF(OR(K500="",O500&lt;&gt;"",I500=""),"",ROUNDUP(I500*K500,0))</f>
        <v/>
      </c>
      <c r="M500" s="15" t="s">
        <v>1608</v>
      </c>
      <c r="N500" s="14"/>
      <c r="O500" s="15"/>
      <c r="P500" s="15" t="s">
        <v>77</v>
      </c>
      <c r="Q500" s="15"/>
      <c r="R500" s="14"/>
    </row>
    <row r="501" customFormat="false" ht="23.85" hidden="false" customHeight="false" outlineLevel="0" collapsed="false">
      <c r="A501" s="14" t="n">
        <v>8</v>
      </c>
      <c r="B501" s="15" t="s">
        <v>39</v>
      </c>
      <c r="C501" s="15" t="s">
        <v>97</v>
      </c>
      <c r="D501" s="15" t="s">
        <v>243</v>
      </c>
      <c r="E501" s="14" t="n">
        <v>2</v>
      </c>
      <c r="F501" s="15" t="s">
        <v>241</v>
      </c>
      <c r="G501" s="14" t="s">
        <v>127</v>
      </c>
      <c r="H501" s="14" t="s">
        <v>964</v>
      </c>
      <c r="I501" s="14" t="n">
        <f aca="false">IF(E501="","",IF(OR(AND(H501="Plan A",$C$5="B"),AND(H501="Plan B",$C$5="A")),0,IF(OR(G501="per student",G501="per group",G501="per class"),E501*IF(B501="Year 7",$C$3,$C$4),E501)))</f>
        <v>2</v>
      </c>
      <c r="J501" s="15"/>
      <c r="K501" s="14"/>
      <c r="L501" s="14" t="str">
        <f aca="false">IF(OR(K501="",O501&lt;&gt;"",I501=""),"",ROUNDUP(I501*K501,0))</f>
        <v/>
      </c>
      <c r="M501" s="15" t="s">
        <v>1609</v>
      </c>
      <c r="N501" s="14"/>
      <c r="O501" s="15"/>
      <c r="P501" s="13" t="s">
        <v>91</v>
      </c>
      <c r="Q501" s="13" t="s">
        <v>1610</v>
      </c>
      <c r="R501" s="14"/>
    </row>
    <row r="502" customFormat="false" ht="46.25" hidden="false" customHeight="false" outlineLevel="0" collapsed="false">
      <c r="A502" s="14" t="n">
        <v>8</v>
      </c>
      <c r="B502" s="15" t="s">
        <v>39</v>
      </c>
      <c r="C502" s="15" t="s">
        <v>97</v>
      </c>
      <c r="D502" s="15" t="s">
        <v>1611</v>
      </c>
      <c r="E502" s="14" t="n">
        <v>6</v>
      </c>
      <c r="F502" s="15" t="s">
        <v>246</v>
      </c>
      <c r="G502" s="14" t="s">
        <v>66</v>
      </c>
      <c r="H502" s="14"/>
      <c r="I502" s="14" t="n">
        <f aca="false">IF(E502="","",IF(OR(AND(H502="Plan A",$C$5="B"),AND(H502="Plan B",$C$5="A")),0,IF(OR(G502="per student",G502="per group",G502="per class"),E502*IF(B502="Year 7",$C$3,$C$4),E502)))</f>
        <v>6</v>
      </c>
      <c r="J502" s="15"/>
      <c r="K502" s="14"/>
      <c r="L502" s="14" t="str">
        <f aca="false">IF(OR(K502="",O502&lt;&gt;"",I502=""),"",ROUNDUP(I502*K502,0))</f>
        <v/>
      </c>
      <c r="M502" s="15" t="s">
        <v>1612</v>
      </c>
      <c r="N502" s="14"/>
      <c r="O502" s="15" t="s">
        <v>1613</v>
      </c>
      <c r="P502" s="15" t="s">
        <v>376</v>
      </c>
      <c r="Q502" s="13" t="s">
        <v>1614</v>
      </c>
      <c r="R502" s="14"/>
    </row>
    <row r="503" customFormat="false" ht="35.05" hidden="false" customHeight="false" outlineLevel="0" collapsed="false">
      <c r="A503" s="14" t="n">
        <v>8</v>
      </c>
      <c r="B503" s="15" t="s">
        <v>39</v>
      </c>
      <c r="C503" s="15" t="s">
        <v>97</v>
      </c>
      <c r="D503" s="15" t="s">
        <v>1615</v>
      </c>
      <c r="E503" s="14" t="n">
        <v>6</v>
      </c>
      <c r="F503" s="15" t="s">
        <v>373</v>
      </c>
      <c r="G503" s="14" t="s">
        <v>66</v>
      </c>
      <c r="H503" s="14"/>
      <c r="I503" s="14" t="n">
        <f aca="false">IF(E503="","",IF(OR(AND(H503="Plan A",$C$5="B"),AND(H503="Plan B",$C$5="A")),0,IF(OR(G503="per student",G503="per group",G503="per class"),E503*IF(B503="Year 7",$C$3,$C$4),E503)))</f>
        <v>6</v>
      </c>
      <c r="J503" s="15"/>
      <c r="K503" s="14"/>
      <c r="L503" s="14" t="str">
        <f aca="false">IF(OR(K503="",O503&lt;&gt;"",I503=""),"",ROUNDUP(I503*K503,0))</f>
        <v/>
      </c>
      <c r="M503" s="15" t="s">
        <v>1616</v>
      </c>
      <c r="N503" s="14"/>
      <c r="O503" s="15" t="s">
        <v>1617</v>
      </c>
      <c r="P503" s="15" t="s">
        <v>376</v>
      </c>
      <c r="Q503" s="15"/>
      <c r="R503" s="14"/>
    </row>
    <row r="504" customFormat="false" ht="35.05" hidden="false" customHeight="false" outlineLevel="0" collapsed="false">
      <c r="A504" s="14" t="n">
        <v>8</v>
      </c>
      <c r="B504" s="15" t="s">
        <v>39</v>
      </c>
      <c r="C504" s="15" t="s">
        <v>97</v>
      </c>
      <c r="D504" s="15" t="s">
        <v>1618</v>
      </c>
      <c r="E504" s="14" t="n">
        <v>6</v>
      </c>
      <c r="F504" s="15" t="s">
        <v>373</v>
      </c>
      <c r="G504" s="14" t="s">
        <v>66</v>
      </c>
      <c r="H504" s="14"/>
      <c r="I504" s="14" t="n">
        <f aca="false">IF(E504="","",IF(OR(AND(H504="Plan A",$C$5="B"),AND(H504="Plan B",$C$5="A")),0,IF(OR(G504="per student",G504="per group",G504="per class"),E504*IF(B504="Year 7",$C$3,$C$4),E504)))</f>
        <v>6</v>
      </c>
      <c r="J504" s="15"/>
      <c r="K504" s="14"/>
      <c r="L504" s="14" t="str">
        <f aca="false">IF(OR(K504="",O504&lt;&gt;"",I504=""),"",ROUNDUP(I504*K504,0))</f>
        <v/>
      </c>
      <c r="M504" s="15" t="s">
        <v>1619</v>
      </c>
      <c r="N504" s="14"/>
      <c r="O504" s="15" t="s">
        <v>1620</v>
      </c>
      <c r="P504" s="15" t="s">
        <v>376</v>
      </c>
      <c r="Q504" s="15"/>
      <c r="R504" s="14"/>
    </row>
    <row r="505" customFormat="false" ht="35.05" hidden="false" customHeight="false" outlineLevel="0" collapsed="false">
      <c r="A505" s="14" t="n">
        <v>8</v>
      </c>
      <c r="B505" s="15" t="s">
        <v>39</v>
      </c>
      <c r="C505" s="15" t="s">
        <v>97</v>
      </c>
      <c r="D505" s="15" t="s">
        <v>1621</v>
      </c>
      <c r="E505" s="14" t="n">
        <v>1</v>
      </c>
      <c r="F505" s="15" t="s">
        <v>1372</v>
      </c>
      <c r="G505" s="14" t="s">
        <v>127</v>
      </c>
      <c r="H505" s="14"/>
      <c r="I505" s="14" t="n">
        <f aca="false">IF(E505="","",IF(OR(AND(H505="Plan A",$C$5="B"),AND(H505="Plan B",$C$5="A")),0,IF(OR(G505="per student",G505="per group",G505="per class"),E505*IF(B505="Year 7",$C$3,$C$4),E505)))</f>
        <v>1</v>
      </c>
      <c r="J505" s="15"/>
      <c r="K505" s="14"/>
      <c r="L505" s="14" t="str">
        <f aca="false">IF(OR(K505="",O505&lt;&gt;"",I505=""),"",ROUNDUP(I505*K505,0))</f>
        <v/>
      </c>
      <c r="M505" s="15" t="s">
        <v>1622</v>
      </c>
      <c r="N505" s="14"/>
      <c r="O505" s="15" t="s">
        <v>1623</v>
      </c>
      <c r="P505" s="15" t="s">
        <v>376</v>
      </c>
      <c r="Q505" s="13" t="s">
        <v>1624</v>
      </c>
      <c r="R505" s="14"/>
    </row>
    <row r="506" customFormat="false" ht="35.05" hidden="false" customHeight="false" outlineLevel="0" collapsed="false">
      <c r="A506" s="14" t="n">
        <v>8</v>
      </c>
      <c r="B506" s="15" t="s">
        <v>39</v>
      </c>
      <c r="C506" s="15" t="s">
        <v>97</v>
      </c>
      <c r="D506" s="15" t="s">
        <v>1625</v>
      </c>
      <c r="E506" s="14" t="n">
        <v>13</v>
      </c>
      <c r="F506" s="15" t="s">
        <v>1626</v>
      </c>
      <c r="G506" s="14" t="s">
        <v>66</v>
      </c>
      <c r="H506" s="14"/>
      <c r="I506" s="14" t="n">
        <f aca="false">IF(E506="","",IF(OR(AND(H506="Plan A",$C$5="B"),AND(H506="Plan B",$C$5="A")),0,IF(OR(G506="per student",G506="per group",G506="per class"),E506*IF(B506="Year 7",$C$3,$C$4),E506)))</f>
        <v>13</v>
      </c>
      <c r="J506" s="15"/>
      <c r="K506" s="14"/>
      <c r="L506" s="14" t="str">
        <f aca="false">IF(OR(K506="",O506&lt;&gt;"",I506=""),"",ROUNDUP(I506*K506,0))</f>
        <v/>
      </c>
      <c r="M506" s="15" t="s">
        <v>1627</v>
      </c>
      <c r="N506" s="14"/>
      <c r="O506" s="15"/>
      <c r="P506" s="15" t="s">
        <v>77</v>
      </c>
      <c r="Q506" s="13" t="s">
        <v>1628</v>
      </c>
      <c r="R506" s="14"/>
    </row>
    <row r="507" customFormat="false" ht="23.85" hidden="false" customHeight="false" outlineLevel="0" collapsed="false">
      <c r="A507" s="14" t="n">
        <v>8</v>
      </c>
      <c r="B507" s="15" t="s">
        <v>39</v>
      </c>
      <c r="C507" s="15" t="s">
        <v>97</v>
      </c>
      <c r="D507" s="15" t="s">
        <v>360</v>
      </c>
      <c r="E507" s="14"/>
      <c r="F507" s="15" t="s">
        <v>1629</v>
      </c>
      <c r="G507" s="14" t="s">
        <v>127</v>
      </c>
      <c r="H507" s="14"/>
      <c r="I507" s="14" t="str">
        <f aca="false">IF(E507="","",IF(OR(AND(H507="Plan A",$C$5="B"),AND(H507="Plan B",$C$5="A")),0,IF(OR(G507="per student",G507="per group",G507="per class"),E507*IF(B507="Year 7",$C$3,$C$4),E507)))</f>
        <v/>
      </c>
      <c r="J507" s="15"/>
      <c r="K507" s="14"/>
      <c r="L507" s="14" t="str">
        <f aca="false">IF(OR(K507="",O507&lt;&gt;"",I507=""),"",ROUNDUP(I507*K507,0))</f>
        <v/>
      </c>
      <c r="M507" s="15" t="s">
        <v>1630</v>
      </c>
      <c r="N507" s="14"/>
      <c r="O507" s="15"/>
      <c r="P507" s="13" t="s">
        <v>91</v>
      </c>
      <c r="Q507" s="13" t="s">
        <v>1631</v>
      </c>
      <c r="R507" s="14"/>
    </row>
    <row r="508" customFormat="false" ht="35.05" hidden="false" customHeight="false" outlineLevel="0" collapsed="false">
      <c r="A508" s="14" t="n">
        <v>8</v>
      </c>
      <c r="B508" s="15" t="s">
        <v>39</v>
      </c>
      <c r="C508" s="15" t="s">
        <v>124</v>
      </c>
      <c r="D508" s="15" t="s">
        <v>1632</v>
      </c>
      <c r="E508" s="14" t="n">
        <v>6</v>
      </c>
      <c r="F508" s="15" t="s">
        <v>1633</v>
      </c>
      <c r="G508" s="14" t="s">
        <v>66</v>
      </c>
      <c r="H508" s="14" t="s">
        <v>964</v>
      </c>
      <c r="I508" s="14" t="n">
        <f aca="false">IF(E508="","",IF(OR(AND(H508="Plan A",$C$5="B"),AND(H508="Plan B",$C$5="A")),0,IF(OR(G508="per student",G508="per group",G508="per class"),E508*IF(B508="Year 7",$C$3,$C$4),E508)))</f>
        <v>6</v>
      </c>
      <c r="J508" s="15"/>
      <c r="K508" s="14"/>
      <c r="L508" s="14" t="str">
        <f aca="false">IF(OR(K508="",O508&lt;&gt;"",I508=""),"",ROUNDUP(I508*K508,0))</f>
        <v/>
      </c>
      <c r="M508" s="15" t="s">
        <v>1634</v>
      </c>
      <c r="N508" s="14"/>
      <c r="O508" s="15" t="s">
        <v>1635</v>
      </c>
      <c r="P508" s="15" t="s">
        <v>376</v>
      </c>
      <c r="Q508" s="15"/>
      <c r="R508" s="14"/>
    </row>
    <row r="509" customFormat="false" ht="23.85" hidden="false" customHeight="false" outlineLevel="0" collapsed="false">
      <c r="A509" s="14" t="n">
        <v>8</v>
      </c>
      <c r="B509" s="15" t="s">
        <v>39</v>
      </c>
      <c r="C509" s="15" t="s">
        <v>124</v>
      </c>
      <c r="D509" s="15" t="s">
        <v>1636</v>
      </c>
      <c r="E509" s="14" t="n">
        <v>6</v>
      </c>
      <c r="F509" s="15" t="s">
        <v>1637</v>
      </c>
      <c r="G509" s="14" t="s">
        <v>66</v>
      </c>
      <c r="H509" s="14" t="s">
        <v>956</v>
      </c>
      <c r="I509" s="14" t="n">
        <f aca="false">IF(E509="","",IF(OR(AND(H509="Plan A",$C$5="B"),AND(H509="Plan B",$C$5="A")),0,IF(OR(G509="per student",G509="per group",G509="per class"),E509*IF(B509="Year 7",$C$3,$C$4),E509)))</f>
        <v>6</v>
      </c>
      <c r="J509" s="15"/>
      <c r="K509" s="14"/>
      <c r="L509" s="14" t="str">
        <f aca="false">IF(OR(K509="",O509&lt;&gt;"",I509=""),"",ROUNDUP(I509*K509,0))</f>
        <v/>
      </c>
      <c r="M509" s="15" t="s">
        <v>1634</v>
      </c>
      <c r="N509" s="14"/>
      <c r="O509" s="15" t="s">
        <v>1638</v>
      </c>
      <c r="P509" s="15" t="s">
        <v>376</v>
      </c>
      <c r="Q509" s="13" t="s">
        <v>1639</v>
      </c>
      <c r="R509" s="14"/>
    </row>
    <row r="510" customFormat="false" ht="46.25" hidden="false" customHeight="false" outlineLevel="0" collapsed="false">
      <c r="A510" s="14" t="n">
        <v>8</v>
      </c>
      <c r="B510" s="15" t="s">
        <v>39</v>
      </c>
      <c r="C510" s="15" t="s">
        <v>124</v>
      </c>
      <c r="D510" s="15" t="s">
        <v>1640</v>
      </c>
      <c r="E510" s="14" t="n">
        <v>1</v>
      </c>
      <c r="F510" s="15" t="s">
        <v>1267</v>
      </c>
      <c r="G510" s="14" t="s">
        <v>127</v>
      </c>
      <c r="H510" s="14" t="s">
        <v>964</v>
      </c>
      <c r="I510" s="14" t="n">
        <f aca="false">IF(E510="","",IF(OR(AND(H510="Plan A",$C$5="B"),AND(H510="Plan B",$C$5="A")),0,IF(OR(G510="per student",G510="per group",G510="per class"),E510*IF(B510="Year 7",$C$3,$C$4),E510)))</f>
        <v>1</v>
      </c>
      <c r="J510" s="15"/>
      <c r="K510" s="14"/>
      <c r="L510" s="14" t="str">
        <f aca="false">IF(OR(K510="",O510&lt;&gt;"",I510=""),"",ROUNDUP(I510*K510,0))</f>
        <v/>
      </c>
      <c r="M510" s="15" t="s">
        <v>1641</v>
      </c>
      <c r="N510" s="14"/>
      <c r="O510" s="15" t="s">
        <v>1642</v>
      </c>
      <c r="P510" s="15" t="s">
        <v>376</v>
      </c>
      <c r="Q510" s="13" t="s">
        <v>1643</v>
      </c>
      <c r="R510" s="14"/>
    </row>
    <row r="511" customFormat="false" ht="23.85" hidden="false" customHeight="false" outlineLevel="0" collapsed="false">
      <c r="A511" s="14" t="n">
        <v>8</v>
      </c>
      <c r="B511" s="15" t="s">
        <v>39</v>
      </c>
      <c r="C511" s="15" t="s">
        <v>124</v>
      </c>
      <c r="D511" s="15" t="s">
        <v>1644</v>
      </c>
      <c r="E511" s="14" t="n">
        <v>1</v>
      </c>
      <c r="F511" s="15" t="s">
        <v>1458</v>
      </c>
      <c r="G511" s="14" t="s">
        <v>127</v>
      </c>
      <c r="H511" s="14" t="s">
        <v>956</v>
      </c>
      <c r="I511" s="14" t="n">
        <f aca="false">IF(E511="","",IF(OR(AND(H511="Plan A",$C$5="B"),AND(H511="Plan B",$C$5="A")),0,IF(OR(G511="per student",G511="per group",G511="per class"),E511*IF(B511="Year 7",$C$3,$C$4),E511)))</f>
        <v>1</v>
      </c>
      <c r="J511" s="15"/>
      <c r="K511" s="14"/>
      <c r="L511" s="14" t="str">
        <f aca="false">IF(OR(K511="",O511&lt;&gt;"",I511=""),"",ROUNDUP(I511*K511,0))</f>
        <v/>
      </c>
      <c r="M511" s="15" t="s">
        <v>1645</v>
      </c>
      <c r="N511" s="14"/>
      <c r="O511" s="15" t="s">
        <v>1646</v>
      </c>
      <c r="P511" s="15" t="s">
        <v>376</v>
      </c>
      <c r="Q511" s="13" t="s">
        <v>1647</v>
      </c>
      <c r="R511" s="14"/>
    </row>
    <row r="512" customFormat="false" ht="23.85" hidden="false" customHeight="false" outlineLevel="0" collapsed="false">
      <c r="A512" s="14" t="n">
        <v>8</v>
      </c>
      <c r="B512" s="15" t="s">
        <v>39</v>
      </c>
      <c r="C512" s="15" t="s">
        <v>124</v>
      </c>
      <c r="D512" s="15" t="s">
        <v>1648</v>
      </c>
      <c r="E512" s="14" t="n">
        <v>6</v>
      </c>
      <c r="F512" s="15" t="s">
        <v>591</v>
      </c>
      <c r="G512" s="14" t="s">
        <v>66</v>
      </c>
      <c r="H512" s="14"/>
      <c r="I512" s="14" t="n">
        <f aca="false">IF(E512="","",IF(OR(AND(H512="Plan A",$C$5="B"),AND(H512="Plan B",$C$5="A")),0,IF(OR(G512="per student",G512="per group",G512="per class"),E512*IF(B512="Year 7",$C$3,$C$4),E512)))</f>
        <v>6</v>
      </c>
      <c r="J512" s="15"/>
      <c r="K512" s="14"/>
      <c r="L512" s="14" t="str">
        <f aca="false">IF(OR(K512="",O512&lt;&gt;"",I512=""),"",ROUNDUP(I512*K512,0))</f>
        <v/>
      </c>
      <c r="M512" s="15" t="s">
        <v>1649</v>
      </c>
      <c r="N512" s="14"/>
      <c r="O512" s="15" t="s">
        <v>1650</v>
      </c>
      <c r="P512" s="15" t="s">
        <v>376</v>
      </c>
      <c r="Q512" s="13" t="s">
        <v>1651</v>
      </c>
      <c r="R512" s="14"/>
    </row>
    <row r="513" customFormat="false" ht="35.05" hidden="false" customHeight="false" outlineLevel="0" collapsed="false">
      <c r="A513" s="14" t="n">
        <v>8</v>
      </c>
      <c r="B513" s="15" t="s">
        <v>39</v>
      </c>
      <c r="C513" s="15" t="s">
        <v>124</v>
      </c>
      <c r="D513" s="15" t="s">
        <v>590</v>
      </c>
      <c r="E513" s="14" t="n">
        <v>6</v>
      </c>
      <c r="F513" s="15" t="s">
        <v>496</v>
      </c>
      <c r="G513" s="14" t="s">
        <v>66</v>
      </c>
      <c r="H513" s="14"/>
      <c r="I513" s="14" t="n">
        <f aca="false">IF(E513="","",IF(OR(AND(H513="Plan A",$C$5="B"),AND(H513="Plan B",$C$5="A")),0,IF(OR(G513="per student",G513="per group",G513="per class"),E513*IF(B513="Year 7",$C$3,$C$4),E513)))</f>
        <v>6</v>
      </c>
      <c r="J513" s="15"/>
      <c r="K513" s="14"/>
      <c r="L513" s="14" t="str">
        <f aca="false">IF(OR(K513="",O513&lt;&gt;"",I513=""),"",ROUNDUP(I513*K513,0))</f>
        <v/>
      </c>
      <c r="M513" s="15" t="s">
        <v>1652</v>
      </c>
      <c r="N513" s="14"/>
      <c r="O513" s="15" t="s">
        <v>1653</v>
      </c>
      <c r="P513" s="15" t="s">
        <v>376</v>
      </c>
      <c r="Q513" s="13" t="s">
        <v>1654</v>
      </c>
      <c r="R513" s="14"/>
    </row>
    <row r="514" customFormat="false" ht="23.85" hidden="false" customHeight="false" outlineLevel="0" collapsed="false">
      <c r="A514" s="14" t="n">
        <v>8</v>
      </c>
      <c r="B514" s="15" t="s">
        <v>39</v>
      </c>
      <c r="C514" s="15" t="s">
        <v>124</v>
      </c>
      <c r="D514" s="15" t="s">
        <v>1655</v>
      </c>
      <c r="E514" s="14" t="n">
        <v>6</v>
      </c>
      <c r="F514" s="15" t="s">
        <v>1656</v>
      </c>
      <c r="G514" s="14" t="s">
        <v>66</v>
      </c>
      <c r="H514" s="14" t="s">
        <v>964</v>
      </c>
      <c r="I514" s="14" t="n">
        <f aca="false">IF(E514="","",IF(OR(AND(H514="Plan A",$C$5="B"),AND(H514="Plan B",$C$5="A")),0,IF(OR(G514="per student",G514="per group",G514="per class"),E514*IF(B514="Year 7",$C$3,$C$4),E514)))</f>
        <v>6</v>
      </c>
      <c r="J514" s="15"/>
      <c r="K514" s="14"/>
      <c r="L514" s="14" t="str">
        <f aca="false">IF(OR(K514="",O514&lt;&gt;"",I514=""),"",ROUNDUP(I514*K514,0))</f>
        <v/>
      </c>
      <c r="M514" s="15" t="s">
        <v>1657</v>
      </c>
      <c r="N514" s="14"/>
      <c r="O514" s="15"/>
      <c r="P514" s="15" t="s">
        <v>77</v>
      </c>
      <c r="Q514" s="13" t="s">
        <v>1658</v>
      </c>
      <c r="R514" s="14"/>
    </row>
    <row r="515" customFormat="false" ht="15" hidden="false" customHeight="false" outlineLevel="0" collapsed="false">
      <c r="A515" s="14" t="n">
        <v>8</v>
      </c>
      <c r="B515" s="15" t="s">
        <v>39</v>
      </c>
      <c r="C515" s="15" t="s">
        <v>124</v>
      </c>
      <c r="D515" s="15" t="s">
        <v>1659</v>
      </c>
      <c r="E515" s="14" t="n">
        <v>6</v>
      </c>
      <c r="F515" s="15" t="s">
        <v>1660</v>
      </c>
      <c r="G515" s="14" t="s">
        <v>66</v>
      </c>
      <c r="H515" s="14" t="s">
        <v>964</v>
      </c>
      <c r="I515" s="14" t="n">
        <f aca="false">IF(E515="","",IF(OR(AND(H515="Plan A",$C$5="B"),AND(H515="Plan B",$C$5="A")),0,IF(OR(G515="per student",G515="per group",G515="per class"),E515*IF(B515="Year 7",$C$3,$C$4),E515)))</f>
        <v>6</v>
      </c>
      <c r="J515" s="15"/>
      <c r="K515" s="14"/>
      <c r="L515" s="14" t="str">
        <f aca="false">IF(OR(K515="",O515&lt;&gt;"",I515=""),"",ROUNDUP(I515*K515,0))</f>
        <v/>
      </c>
      <c r="M515" s="15" t="s">
        <v>1661</v>
      </c>
      <c r="N515" s="14" t="s">
        <v>105</v>
      </c>
      <c r="O515" s="15"/>
      <c r="P515" s="15" t="s">
        <v>77</v>
      </c>
      <c r="Q515" s="13" t="s">
        <v>1662</v>
      </c>
      <c r="R515" s="14"/>
    </row>
    <row r="516" customFormat="false" ht="35.05" hidden="false" customHeight="false" outlineLevel="0" collapsed="false">
      <c r="A516" s="14" t="n">
        <v>8</v>
      </c>
      <c r="B516" s="15" t="s">
        <v>39</v>
      </c>
      <c r="C516" s="15" t="s">
        <v>124</v>
      </c>
      <c r="D516" s="15" t="s">
        <v>1663</v>
      </c>
      <c r="E516" s="14"/>
      <c r="F516" s="15" t="s">
        <v>1664</v>
      </c>
      <c r="G516" s="14" t="s">
        <v>66</v>
      </c>
      <c r="H516" s="14" t="s">
        <v>964</v>
      </c>
      <c r="I516" s="14" t="str">
        <f aca="false">IF(E516="","",IF(OR(AND(H516="Plan A",$C$5="B"),AND(H516="Plan B",$C$5="A")),0,IF(OR(G516="per student",G516="per group",G516="per class"),E516*IF(B516="Year 7",$C$3,$C$4),E516)))</f>
        <v/>
      </c>
      <c r="J516" s="15"/>
      <c r="K516" s="14"/>
      <c r="L516" s="14" t="str">
        <f aca="false">IF(OR(K516="",O516&lt;&gt;"",I516=""),"",ROUNDUP(I516*K516,0))</f>
        <v/>
      </c>
      <c r="M516" s="15" t="s">
        <v>1665</v>
      </c>
      <c r="N516" s="14" t="s">
        <v>105</v>
      </c>
      <c r="O516" s="15" t="s">
        <v>1666</v>
      </c>
      <c r="P516" s="13" t="s">
        <v>91</v>
      </c>
      <c r="Q516" s="13" t="s">
        <v>1667</v>
      </c>
      <c r="R516" s="14"/>
    </row>
    <row r="517" customFormat="false" ht="23.85" hidden="false" customHeight="false" outlineLevel="0" collapsed="false">
      <c r="A517" s="14" t="n">
        <v>8</v>
      </c>
      <c r="B517" s="15" t="s">
        <v>39</v>
      </c>
      <c r="C517" s="15" t="s">
        <v>124</v>
      </c>
      <c r="D517" s="15" t="s">
        <v>971</v>
      </c>
      <c r="E517" s="14" t="n">
        <v>78</v>
      </c>
      <c r="F517" s="15" t="s">
        <v>1668</v>
      </c>
      <c r="G517" s="14" t="s">
        <v>66</v>
      </c>
      <c r="H517" s="14"/>
      <c r="I517" s="14" t="n">
        <f aca="false">IF(E517="","",IF(OR(AND(H517="Plan A",$C$5="B"),AND(H517="Plan B",$C$5="A")),0,IF(OR(G517="per student",G517="per group",G517="per class"),E517*IF(B517="Year 7",$C$3,$C$4),E517)))</f>
        <v>78</v>
      </c>
      <c r="J517" s="15"/>
      <c r="K517" s="14"/>
      <c r="L517" s="14" t="str">
        <f aca="false">IF(OR(K517="",O517&lt;&gt;"",I517=""),"",ROUNDUP(I517*K517,0))</f>
        <v/>
      </c>
      <c r="M517" s="15" t="s">
        <v>1669</v>
      </c>
      <c r="N517" s="14"/>
      <c r="O517" s="15"/>
      <c r="P517" s="15" t="s">
        <v>77</v>
      </c>
      <c r="Q517" s="13" t="s">
        <v>1670</v>
      </c>
      <c r="R517" s="14"/>
    </row>
    <row r="518" customFormat="false" ht="35.05" hidden="false" customHeight="false" outlineLevel="0" collapsed="false">
      <c r="A518" s="14" t="n">
        <v>8</v>
      </c>
      <c r="B518" s="15" t="s">
        <v>39</v>
      </c>
      <c r="C518" s="15" t="s">
        <v>124</v>
      </c>
      <c r="D518" s="15" t="s">
        <v>974</v>
      </c>
      <c r="E518" s="14" t="n">
        <v>12</v>
      </c>
      <c r="F518" s="15" t="s">
        <v>1671</v>
      </c>
      <c r="G518" s="14" t="s">
        <v>66</v>
      </c>
      <c r="H518" s="14" t="s">
        <v>964</v>
      </c>
      <c r="I518" s="14" t="n">
        <f aca="false">IF(E518="","",IF(OR(AND(H518="Plan A",$C$5="B"),AND(H518="Plan B",$C$5="A")),0,IF(OR(G518="per student",G518="per group",G518="per class"),E518*IF(B518="Year 7",$C$3,$C$4),E518)))</f>
        <v>12</v>
      </c>
      <c r="J518" s="15"/>
      <c r="K518" s="14"/>
      <c r="L518" s="14" t="str">
        <f aca="false">IF(OR(K518="",O518&lt;&gt;"",I518=""),"",ROUNDUP(I518*K518,0))</f>
        <v/>
      </c>
      <c r="M518" s="15" t="s">
        <v>1672</v>
      </c>
      <c r="N518" s="14"/>
      <c r="O518" s="15"/>
      <c r="P518" s="15" t="s">
        <v>77</v>
      </c>
      <c r="Q518" s="13" t="s">
        <v>1673</v>
      </c>
      <c r="R518" s="14"/>
    </row>
    <row r="519" customFormat="false" ht="23.85" hidden="false" customHeight="false" outlineLevel="0" collapsed="false">
      <c r="A519" s="14" t="n">
        <v>8</v>
      </c>
      <c r="B519" s="15" t="s">
        <v>39</v>
      </c>
      <c r="C519" s="15" t="s">
        <v>124</v>
      </c>
      <c r="D519" s="15" t="s">
        <v>1674</v>
      </c>
      <c r="E519" s="14" t="n">
        <v>13</v>
      </c>
      <c r="F519" s="15" t="s">
        <v>1675</v>
      </c>
      <c r="G519" s="14" t="s">
        <v>66</v>
      </c>
      <c r="H519" s="14"/>
      <c r="I519" s="14" t="n">
        <f aca="false">IF(E519="","",IF(OR(AND(H519="Plan A",$C$5="B"),AND(H519="Plan B",$C$5="A")),0,IF(OR(G519="per student",G519="per group",G519="per class"),E519*IF(B519="Year 7",$C$3,$C$4),E519)))</f>
        <v>13</v>
      </c>
      <c r="J519" s="15"/>
      <c r="K519" s="14"/>
      <c r="L519" s="14" t="str">
        <f aca="false">IF(OR(K519="",O519&lt;&gt;"",I519=""),"",ROUNDUP(I519*K519,0))</f>
        <v/>
      </c>
      <c r="M519" s="15" t="s">
        <v>1676</v>
      </c>
      <c r="N519" s="14"/>
      <c r="O519" s="15"/>
      <c r="P519" s="15" t="s">
        <v>77</v>
      </c>
      <c r="Q519" s="15"/>
      <c r="R519" s="14"/>
    </row>
    <row r="520" customFormat="false" ht="23.85" hidden="false" customHeight="false" outlineLevel="0" collapsed="false">
      <c r="A520" s="14" t="n">
        <v>8</v>
      </c>
      <c r="B520" s="15" t="s">
        <v>39</v>
      </c>
      <c r="C520" s="15" t="s">
        <v>124</v>
      </c>
      <c r="D520" s="15" t="s">
        <v>1677</v>
      </c>
      <c r="E520" s="14" t="n">
        <v>13</v>
      </c>
      <c r="F520" s="15" t="s">
        <v>1678</v>
      </c>
      <c r="G520" s="14" t="s">
        <v>66</v>
      </c>
      <c r="H520" s="14"/>
      <c r="I520" s="14" t="n">
        <f aca="false">IF(E520="","",IF(OR(AND(H520="Plan A",$C$5="B"),AND(H520="Plan B",$C$5="A")),0,IF(OR(G520="per student",G520="per group",G520="per class"),E520*IF(B520="Year 7",$C$3,$C$4),E520)))</f>
        <v>13</v>
      </c>
      <c r="J520" s="15"/>
      <c r="K520" s="14"/>
      <c r="L520" s="14" t="str">
        <f aca="false">IF(OR(K520="",O520&lt;&gt;"",I520=""),"",ROUNDUP(I520*K520,0))</f>
        <v/>
      </c>
      <c r="M520" s="15" t="s">
        <v>1679</v>
      </c>
      <c r="N520" s="14"/>
      <c r="O520" s="15"/>
      <c r="P520" s="15" t="s">
        <v>77</v>
      </c>
      <c r="Q520" s="15"/>
      <c r="R520" s="14"/>
    </row>
    <row r="521" customFormat="false" ht="15" hidden="false" customHeight="false" outlineLevel="0" collapsed="false">
      <c r="A521" s="14" t="n">
        <v>8</v>
      </c>
      <c r="B521" s="15" t="s">
        <v>39</v>
      </c>
      <c r="C521" s="15" t="s">
        <v>124</v>
      </c>
      <c r="D521" s="15" t="s">
        <v>1680</v>
      </c>
      <c r="E521" s="14" t="n">
        <v>12</v>
      </c>
      <c r="F521" s="15" t="s">
        <v>1681</v>
      </c>
      <c r="G521" s="14" t="s">
        <v>66</v>
      </c>
      <c r="H521" s="14"/>
      <c r="I521" s="14" t="n">
        <f aca="false">IF(E521="","",IF(OR(AND(H521="Plan A",$C$5="B"),AND(H521="Plan B",$C$5="A")),0,IF(OR(G521="per student",G521="per group",G521="per class"),E521*IF(B521="Year 7",$C$3,$C$4),E521)))</f>
        <v>12</v>
      </c>
      <c r="J521" s="15"/>
      <c r="K521" s="14"/>
      <c r="L521" s="14" t="str">
        <f aca="false">IF(OR(K521="",O521&lt;&gt;"",I521=""),"",ROUNDUP(I521*K521,0))</f>
        <v/>
      </c>
      <c r="M521" s="15" t="s">
        <v>1682</v>
      </c>
      <c r="N521" s="14"/>
      <c r="O521" s="15"/>
      <c r="P521" s="15" t="s">
        <v>77</v>
      </c>
      <c r="Q521" s="15"/>
      <c r="R521" s="14"/>
    </row>
    <row r="522" customFormat="false" ht="23.85" hidden="false" customHeight="false" outlineLevel="0" collapsed="false">
      <c r="A522" s="14" t="n">
        <v>8</v>
      </c>
      <c r="B522" s="15" t="s">
        <v>39</v>
      </c>
      <c r="C522" s="15" t="s">
        <v>124</v>
      </c>
      <c r="D522" s="15" t="s">
        <v>987</v>
      </c>
      <c r="E522" s="14" t="n">
        <v>6</v>
      </c>
      <c r="F522" s="15" t="s">
        <v>1683</v>
      </c>
      <c r="G522" s="14" t="s">
        <v>66</v>
      </c>
      <c r="H522" s="14"/>
      <c r="I522" s="14" t="n">
        <f aca="false">IF(E522="","",IF(OR(AND(H522="Plan A",$C$5="B"),AND(H522="Plan B",$C$5="A")),0,IF(OR(G522="per student",G522="per group",G522="per class"),E522*IF(B522="Year 7",$C$3,$C$4),E522)))</f>
        <v>6</v>
      </c>
      <c r="J522" s="15"/>
      <c r="K522" s="14"/>
      <c r="L522" s="14" t="str">
        <f aca="false">IF(OR(K522="",O522&lt;&gt;"",I522=""),"",ROUNDUP(I522*K522,0))</f>
        <v/>
      </c>
      <c r="M522" s="15" t="s">
        <v>1684</v>
      </c>
      <c r="N522" s="14"/>
      <c r="O522" s="15"/>
      <c r="P522" s="15" t="s">
        <v>77</v>
      </c>
      <c r="Q522" s="15"/>
      <c r="R522" s="14"/>
    </row>
    <row r="523" customFormat="false" ht="23.85" hidden="false" customHeight="false" outlineLevel="0" collapsed="false">
      <c r="A523" s="14" t="n">
        <v>8</v>
      </c>
      <c r="B523" s="15" t="s">
        <v>39</v>
      </c>
      <c r="C523" s="15" t="s">
        <v>124</v>
      </c>
      <c r="D523" s="15" t="s">
        <v>1685</v>
      </c>
      <c r="E523" s="14" t="n">
        <v>6</v>
      </c>
      <c r="F523" s="15" t="s">
        <v>1686</v>
      </c>
      <c r="G523" s="14" t="s">
        <v>66</v>
      </c>
      <c r="H523" s="14"/>
      <c r="I523" s="14" t="n">
        <f aca="false">IF(E523="","",IF(OR(AND(H523="Plan A",$C$5="B"),AND(H523="Plan B",$C$5="A")),0,IF(OR(G523="per student",G523="per group",G523="per class"),E523*IF(B523="Year 7",$C$3,$C$4),E523)))</f>
        <v>6</v>
      </c>
      <c r="J523" s="15"/>
      <c r="K523" s="14"/>
      <c r="L523" s="14" t="str">
        <f aca="false">IF(OR(K523="",O523&lt;&gt;"",I523=""),"",ROUNDUP(I523*K523,0))</f>
        <v/>
      </c>
      <c r="M523" s="15" t="s">
        <v>1687</v>
      </c>
      <c r="N523" s="14"/>
      <c r="O523" s="15"/>
      <c r="P523" s="15" t="s">
        <v>77</v>
      </c>
      <c r="Q523" s="15"/>
      <c r="R523" s="14"/>
    </row>
    <row r="524" customFormat="false" ht="35.05" hidden="false" customHeight="false" outlineLevel="0" collapsed="false">
      <c r="A524" s="14" t="n">
        <v>8</v>
      </c>
      <c r="B524" s="15" t="s">
        <v>39</v>
      </c>
      <c r="C524" s="15" t="s">
        <v>124</v>
      </c>
      <c r="D524" s="15" t="s">
        <v>943</v>
      </c>
      <c r="E524" s="14" t="n">
        <v>7</v>
      </c>
      <c r="F524" s="15" t="s">
        <v>1688</v>
      </c>
      <c r="G524" s="14" t="s">
        <v>66</v>
      </c>
      <c r="H524" s="14"/>
      <c r="I524" s="14" t="n">
        <f aca="false">IF(E524="","",IF(OR(AND(H524="Plan A",$C$5="B"),AND(H524="Plan B",$C$5="A")),0,IF(OR(G524="per student",G524="per group",G524="per class"),E524*IF(B524="Year 7",$C$3,$C$4),E524)))</f>
        <v>7</v>
      </c>
      <c r="J524" s="15"/>
      <c r="K524" s="14"/>
      <c r="L524" s="14" t="str">
        <f aca="false">IF(OR(K524="",O524&lt;&gt;"",I524=""),"",ROUNDUP(I524*K524,0))</f>
        <v/>
      </c>
      <c r="M524" s="15" t="s">
        <v>1689</v>
      </c>
      <c r="N524" s="14"/>
      <c r="O524" s="15"/>
      <c r="P524" s="13" t="s">
        <v>91</v>
      </c>
      <c r="Q524" s="13" t="s">
        <v>1690</v>
      </c>
      <c r="R524" s="14"/>
    </row>
    <row r="525" customFormat="false" ht="35.05" hidden="false" customHeight="false" outlineLevel="0" collapsed="false">
      <c r="A525" s="14" t="n">
        <v>8</v>
      </c>
      <c r="B525" s="15" t="s">
        <v>39</v>
      </c>
      <c r="C525" s="15" t="s">
        <v>124</v>
      </c>
      <c r="D525" s="15" t="s">
        <v>1691</v>
      </c>
      <c r="E525" s="14" t="n">
        <v>1</v>
      </c>
      <c r="F525" s="15" t="s">
        <v>960</v>
      </c>
      <c r="G525" s="14" t="s">
        <v>57</v>
      </c>
      <c r="H525" s="14"/>
      <c r="I525" s="14" t="n">
        <f aca="false">IF(E525="","",IF(OR(AND(H525="Plan A",$C$5="B"),AND(H525="Plan B",$C$5="A")),0,IF(OR(G525="per student",G525="per group",G525="per class"),E525*IF(B525="Year 7",$C$3,$C$4),E525)))</f>
        <v>1</v>
      </c>
      <c r="J525" s="15"/>
      <c r="K525" s="14"/>
      <c r="L525" s="14" t="str">
        <f aca="false">IF(OR(K525="",O525&lt;&gt;"",I525=""),"",ROUNDUP(I525*K525,0))</f>
        <v/>
      </c>
      <c r="M525" s="15" t="s">
        <v>1692</v>
      </c>
      <c r="N525" s="14"/>
      <c r="O525" s="15"/>
      <c r="P525" s="15" t="s">
        <v>77</v>
      </c>
      <c r="Q525" s="13" t="s">
        <v>1693</v>
      </c>
      <c r="R525" s="14"/>
    </row>
    <row r="526" customFormat="false" ht="15" hidden="false" customHeight="false" outlineLevel="0" collapsed="false">
      <c r="A526" s="14" t="n">
        <v>8</v>
      </c>
      <c r="B526" s="15" t="s">
        <v>39</v>
      </c>
      <c r="C526" s="15" t="s">
        <v>124</v>
      </c>
      <c r="D526" s="15" t="s">
        <v>1694</v>
      </c>
      <c r="E526" s="14" t="n">
        <v>2</v>
      </c>
      <c r="F526" s="15" t="s">
        <v>1695</v>
      </c>
      <c r="G526" s="14" t="s">
        <v>66</v>
      </c>
      <c r="H526" s="14" t="s">
        <v>964</v>
      </c>
      <c r="I526" s="14" t="n">
        <f aca="false">IF(E526="","",IF(OR(AND(H526="Plan A",$C$5="B"),AND(H526="Plan B",$C$5="A")),0,IF(OR(G526="per student",G526="per group",G526="per class"),E526*IF(B526="Year 7",$C$3,$C$4),E526)))</f>
        <v>2</v>
      </c>
      <c r="J526" s="15"/>
      <c r="K526" s="14"/>
      <c r="L526" s="14" t="str">
        <f aca="false">IF(OR(K526="",O526&lt;&gt;"",I526=""),"",ROUNDUP(I526*K526,0))</f>
        <v/>
      </c>
      <c r="M526" s="15" t="s">
        <v>1696</v>
      </c>
      <c r="N526" s="14"/>
      <c r="O526" s="15"/>
      <c r="P526" s="15" t="s">
        <v>77</v>
      </c>
      <c r="Q526" s="15"/>
      <c r="R526" s="14"/>
    </row>
    <row r="527" customFormat="false" ht="15" hidden="false" customHeight="false" outlineLevel="0" collapsed="false">
      <c r="A527" s="14" t="n">
        <v>8</v>
      </c>
      <c r="B527" s="15" t="s">
        <v>39</v>
      </c>
      <c r="C527" s="15" t="s">
        <v>124</v>
      </c>
      <c r="D527" s="15" t="s">
        <v>1697</v>
      </c>
      <c r="E527" s="14" t="n">
        <v>20</v>
      </c>
      <c r="F527" s="15" t="s">
        <v>1698</v>
      </c>
      <c r="G527" s="14" t="s">
        <v>66</v>
      </c>
      <c r="H527" s="14" t="s">
        <v>964</v>
      </c>
      <c r="I527" s="14" t="n">
        <f aca="false">IF(E527="","",IF(OR(AND(H527="Plan A",$C$5="B"),AND(H527="Plan B",$C$5="A")),0,IF(OR(G527="per student",G527="per group",G527="per class"),E527*IF(B527="Year 7",$C$3,$C$4),E527)))</f>
        <v>20</v>
      </c>
      <c r="J527" s="15"/>
      <c r="K527" s="14"/>
      <c r="L527" s="14" t="str">
        <f aca="false">IF(OR(K527="",O527&lt;&gt;"",I527=""),"",ROUNDUP(I527*K527,0))</f>
        <v/>
      </c>
      <c r="M527" s="15" t="s">
        <v>1699</v>
      </c>
      <c r="N527" s="14"/>
      <c r="O527" s="15"/>
      <c r="P527" s="15" t="s">
        <v>77</v>
      </c>
      <c r="Q527" s="15"/>
      <c r="R527" s="14"/>
    </row>
    <row r="528" customFormat="false" ht="23.85" hidden="false" customHeight="false" outlineLevel="0" collapsed="false">
      <c r="A528" s="14" t="n">
        <v>8</v>
      </c>
      <c r="B528" s="15" t="s">
        <v>39</v>
      </c>
      <c r="C528" s="15" t="s">
        <v>124</v>
      </c>
      <c r="D528" s="15" t="s">
        <v>1700</v>
      </c>
      <c r="E528" s="14" t="n">
        <v>2</v>
      </c>
      <c r="F528" s="15" t="s">
        <v>1701</v>
      </c>
      <c r="G528" s="14" t="s">
        <v>66</v>
      </c>
      <c r="H528" s="14" t="s">
        <v>964</v>
      </c>
      <c r="I528" s="14" t="n">
        <f aca="false">IF(E528="","",IF(OR(AND(H528="Plan A",$C$5="B"),AND(H528="Plan B",$C$5="A")),0,IF(OR(G528="per student",G528="per group",G528="per class"),E528*IF(B528="Year 7",$C$3,$C$4),E528)))</f>
        <v>2</v>
      </c>
      <c r="J528" s="15"/>
      <c r="K528" s="14"/>
      <c r="L528" s="14" t="str">
        <f aca="false">IF(OR(K528="",O528&lt;&gt;"",I528=""),"",ROUNDUP(I528*K528,0))</f>
        <v/>
      </c>
      <c r="M528" s="15" t="s">
        <v>1702</v>
      </c>
      <c r="N528" s="14"/>
      <c r="O528" s="15"/>
      <c r="P528" s="13" t="s">
        <v>91</v>
      </c>
      <c r="Q528" s="13" t="s">
        <v>1703</v>
      </c>
      <c r="R528" s="14"/>
    </row>
    <row r="529" customFormat="false" ht="23.85" hidden="false" customHeight="false" outlineLevel="0" collapsed="false">
      <c r="A529" s="14" t="n">
        <v>8</v>
      </c>
      <c r="B529" s="15" t="s">
        <v>39</v>
      </c>
      <c r="C529" s="15" t="s">
        <v>124</v>
      </c>
      <c r="D529" s="15" t="s">
        <v>1704</v>
      </c>
      <c r="E529" s="14" t="n">
        <v>13</v>
      </c>
      <c r="F529" s="15" t="s">
        <v>1705</v>
      </c>
      <c r="G529" s="14" t="s">
        <v>66</v>
      </c>
      <c r="H529" s="14"/>
      <c r="I529" s="14" t="n">
        <f aca="false">IF(E529="","",IF(OR(AND(H529="Plan A",$C$5="B"),AND(H529="Plan B",$C$5="A")),0,IF(OR(G529="per student",G529="per group",G529="per class"),E529*IF(B529="Year 7",$C$3,$C$4),E529)))</f>
        <v>13</v>
      </c>
      <c r="J529" s="15"/>
      <c r="K529" s="14"/>
      <c r="L529" s="14" t="str">
        <f aca="false">IF(OR(K529="",O529&lt;&gt;"",I529=""),"",ROUNDUP(I529*K529,0))</f>
        <v/>
      </c>
      <c r="M529" s="15" t="s">
        <v>1706</v>
      </c>
      <c r="N529" s="14"/>
      <c r="O529" s="15"/>
      <c r="P529" s="15" t="s">
        <v>77</v>
      </c>
      <c r="Q529" s="15"/>
      <c r="R529" s="14"/>
    </row>
    <row r="530" customFormat="false" ht="23.85" hidden="false" customHeight="false" outlineLevel="0" collapsed="false">
      <c r="A530" s="14" t="n">
        <v>8</v>
      </c>
      <c r="B530" s="15" t="s">
        <v>39</v>
      </c>
      <c r="C530" s="15" t="s">
        <v>124</v>
      </c>
      <c r="D530" s="15" t="s">
        <v>1450</v>
      </c>
      <c r="E530" s="14" t="n">
        <v>1</v>
      </c>
      <c r="F530" s="15" t="s">
        <v>1276</v>
      </c>
      <c r="G530" s="14" t="s">
        <v>75</v>
      </c>
      <c r="H530" s="14"/>
      <c r="I530" s="14" t="n">
        <f aca="false">IF(E530="","",IF(OR(AND(H530="Plan A",$C$5="B"),AND(H530="Plan B",$C$5="A")),0,IF(OR(G530="per student",G530="per group",G530="per class"),E530*IF(B530="Year 7",$C$3,$C$4),E530)))</f>
        <v>1</v>
      </c>
      <c r="J530" s="15"/>
      <c r="K530" s="14"/>
      <c r="L530" s="14" t="str">
        <f aca="false">IF(OR(K530="",O530&lt;&gt;"",I530=""),"",ROUNDUP(I530*K530,0))</f>
        <v/>
      </c>
      <c r="M530" s="15" t="s">
        <v>1707</v>
      </c>
      <c r="N530" s="14"/>
      <c r="O530" s="15"/>
      <c r="P530" s="15" t="s">
        <v>77</v>
      </c>
      <c r="Q530" s="15"/>
      <c r="R530" s="14"/>
    </row>
    <row r="531" customFormat="false" ht="15" hidden="false" customHeight="false" outlineLevel="0" collapsed="false">
      <c r="A531" s="14" t="n">
        <v>8</v>
      </c>
      <c r="B531" s="15" t="s">
        <v>39</v>
      </c>
      <c r="C531" s="15" t="s">
        <v>294</v>
      </c>
      <c r="D531" s="15" t="s">
        <v>1708</v>
      </c>
      <c r="E531" s="14" t="n">
        <v>12</v>
      </c>
      <c r="F531" s="15" t="s">
        <v>1709</v>
      </c>
      <c r="G531" s="14" t="s">
        <v>66</v>
      </c>
      <c r="H531" s="14"/>
      <c r="I531" s="14" t="n">
        <f aca="false">IF(E531="","",IF(OR(AND(H531="Plan A",$C$5="B"),AND(H531="Plan B",$C$5="A")),0,IF(OR(G531="per student",G531="per group",G531="per class"),E531*IF(B531="Year 7",$C$3,$C$4),E531)))</f>
        <v>12</v>
      </c>
      <c r="J531" s="15"/>
      <c r="K531" s="14"/>
      <c r="L531" s="14" t="str">
        <f aca="false">IF(OR(K531="",O531&lt;&gt;"",I531=""),"",ROUNDUP(I531*K531,0))</f>
        <v/>
      </c>
      <c r="M531" s="15" t="s">
        <v>1710</v>
      </c>
      <c r="N531" s="14"/>
      <c r="O531" s="15"/>
      <c r="P531" s="15" t="s">
        <v>133</v>
      </c>
      <c r="Q531" s="15"/>
      <c r="R531" s="14"/>
    </row>
    <row r="532" customFormat="false" ht="23.85" hidden="false" customHeight="false" outlineLevel="0" collapsed="false">
      <c r="A532" s="14" t="n">
        <v>8</v>
      </c>
      <c r="B532" s="15" t="s">
        <v>39</v>
      </c>
      <c r="C532" s="15" t="s">
        <v>294</v>
      </c>
      <c r="D532" s="15" t="s">
        <v>1711</v>
      </c>
      <c r="E532" s="14" t="n">
        <v>18</v>
      </c>
      <c r="F532" s="15" t="s">
        <v>1712</v>
      </c>
      <c r="G532" s="14" t="s">
        <v>66</v>
      </c>
      <c r="H532" s="14" t="s">
        <v>964</v>
      </c>
      <c r="I532" s="14" t="n">
        <f aca="false">IF(E532="","",IF(OR(AND(H532="Plan A",$C$5="B"),AND(H532="Plan B",$C$5="A")),0,IF(OR(G532="per student",G532="per group",G532="per class"),E532*IF(B532="Year 7",$C$3,$C$4),E532)))</f>
        <v>18</v>
      </c>
      <c r="J532" s="15"/>
      <c r="K532" s="14"/>
      <c r="L532" s="14" t="str">
        <f aca="false">IF(OR(K532="",O532&lt;&gt;"",I532=""),"",ROUNDUP(I532*K532,0))</f>
        <v/>
      </c>
      <c r="M532" s="15" t="s">
        <v>1713</v>
      </c>
      <c r="N532" s="14"/>
      <c r="O532" s="15"/>
      <c r="P532" s="15" t="s">
        <v>77</v>
      </c>
      <c r="Q532" s="15"/>
      <c r="R532" s="14"/>
    </row>
    <row r="533" customFormat="false" ht="23.85" hidden="false" customHeight="false" outlineLevel="0" collapsed="false">
      <c r="A533" s="14" t="n">
        <v>8</v>
      </c>
      <c r="B533" s="15" t="s">
        <v>39</v>
      </c>
      <c r="C533" s="15" t="s">
        <v>294</v>
      </c>
      <c r="D533" s="15" t="s">
        <v>1278</v>
      </c>
      <c r="E533" s="14"/>
      <c r="F533" s="15" t="s">
        <v>1714</v>
      </c>
      <c r="G533" s="14" t="s">
        <v>127</v>
      </c>
      <c r="H533" s="14"/>
      <c r="I533" s="14" t="str">
        <f aca="false">IF(E533="","",IF(OR(AND(H533="Plan A",$C$5="B"),AND(H533="Plan B",$C$5="A")),0,IF(OR(G533="per student",G533="per group",G533="per class"),E533*IF(B533="Year 7",$C$3,$C$4),E533)))</f>
        <v/>
      </c>
      <c r="J533" s="15"/>
      <c r="K533" s="14"/>
      <c r="L533" s="14" t="str">
        <f aca="false">IF(OR(K533="",O533&lt;&gt;"",I533=""),"",ROUNDUP(I533*K533,0))</f>
        <v/>
      </c>
      <c r="M533" s="15" t="s">
        <v>1715</v>
      </c>
      <c r="N533" s="14"/>
      <c r="O533" s="15"/>
      <c r="P533" s="13" t="s">
        <v>91</v>
      </c>
      <c r="Q533" s="13" t="s">
        <v>1716</v>
      </c>
      <c r="R533" s="14"/>
    </row>
    <row r="534" customFormat="false" ht="23.85" hidden="false" customHeight="false" outlineLevel="0" collapsed="false">
      <c r="A534" s="14" t="n">
        <v>8</v>
      </c>
      <c r="B534" s="15" t="s">
        <v>39</v>
      </c>
      <c r="C534" s="15" t="s">
        <v>144</v>
      </c>
      <c r="D534" s="15" t="s">
        <v>1717</v>
      </c>
      <c r="E534" s="14" t="n">
        <v>13</v>
      </c>
      <c r="F534" s="15" t="s">
        <v>1718</v>
      </c>
      <c r="G534" s="14" t="s">
        <v>66</v>
      </c>
      <c r="H534" s="14"/>
      <c r="I534" s="14" t="n">
        <f aca="false">IF(E534="","",IF(OR(AND(H534="Plan A",$C$5="B"),AND(H534="Plan B",$C$5="A")),0,IF(OR(G534="per student",G534="per group",G534="per class"),E534*IF(B534="Year 7",$C$3,$C$4),E534)))</f>
        <v>13</v>
      </c>
      <c r="J534" s="15"/>
      <c r="K534" s="14"/>
      <c r="L534" s="14" t="str">
        <f aca="false">IF(OR(K534="",O534&lt;&gt;"",I534=""),"",ROUNDUP(I534*K534,0))</f>
        <v/>
      </c>
      <c r="M534" s="15" t="s">
        <v>1719</v>
      </c>
      <c r="N534" s="14"/>
      <c r="O534" s="15"/>
      <c r="P534" s="15" t="s">
        <v>77</v>
      </c>
      <c r="Q534" s="13" t="s">
        <v>1720</v>
      </c>
      <c r="R534" s="14"/>
    </row>
    <row r="535" customFormat="false" ht="23.85" hidden="false" customHeight="false" outlineLevel="0" collapsed="false">
      <c r="A535" s="14" t="n">
        <v>8</v>
      </c>
      <c r="B535" s="15" t="s">
        <v>39</v>
      </c>
      <c r="C535" s="15" t="s">
        <v>144</v>
      </c>
      <c r="D535" s="15" t="s">
        <v>1721</v>
      </c>
      <c r="E535" s="14" t="n">
        <v>12</v>
      </c>
      <c r="F535" s="15" t="s">
        <v>1681</v>
      </c>
      <c r="G535" s="14" t="s">
        <v>66</v>
      </c>
      <c r="H535" s="14"/>
      <c r="I535" s="14" t="n">
        <f aca="false">IF(E535="","",IF(OR(AND(H535="Plan A",$C$5="B"),AND(H535="Plan B",$C$5="A")),0,IF(OR(G535="per student",G535="per group",G535="per class"),E535*IF(B535="Year 7",$C$3,$C$4),E535)))</f>
        <v>12</v>
      </c>
      <c r="J535" s="15"/>
      <c r="K535" s="14"/>
      <c r="L535" s="14" t="str">
        <f aca="false">IF(OR(K535="",O535&lt;&gt;"",I535=""),"",ROUNDUP(I535*K535,0))</f>
        <v/>
      </c>
      <c r="M535" s="15" t="s">
        <v>1722</v>
      </c>
      <c r="N535" s="14"/>
      <c r="O535" s="15"/>
      <c r="P535" s="15" t="s">
        <v>77</v>
      </c>
      <c r="Q535" s="13" t="s">
        <v>1723</v>
      </c>
      <c r="R535" s="14"/>
    </row>
    <row r="536" customFormat="false" ht="46.25" hidden="false" customHeight="false" outlineLevel="0" collapsed="false">
      <c r="A536" s="14" t="n">
        <v>8</v>
      </c>
      <c r="B536" s="15" t="s">
        <v>39</v>
      </c>
      <c r="C536" s="15" t="s">
        <v>144</v>
      </c>
      <c r="D536" s="15" t="s">
        <v>1724</v>
      </c>
      <c r="E536" s="14" t="n">
        <v>2</v>
      </c>
      <c r="F536" s="15" t="s">
        <v>296</v>
      </c>
      <c r="G536" s="14" t="s">
        <v>127</v>
      </c>
      <c r="H536" s="14"/>
      <c r="I536" s="14" t="n">
        <f aca="false">IF(E536="","",IF(OR(AND(H536="Plan A",$C$5="B"),AND(H536="Plan B",$C$5="A")),0,IF(OR(G536="per student",G536="per group",G536="per class"),E536*IF(B536="Year 7",$C$3,$C$4),E536)))</f>
        <v>2</v>
      </c>
      <c r="J536" s="15"/>
      <c r="K536" s="14"/>
      <c r="L536" s="14" t="str">
        <f aca="false">IF(OR(K536="",O536&lt;&gt;"",I536=""),"",ROUNDUP(I536*K536,0))</f>
        <v/>
      </c>
      <c r="M536" s="15" t="s">
        <v>1725</v>
      </c>
      <c r="N536" s="14"/>
      <c r="O536" s="15" t="s">
        <v>1726</v>
      </c>
      <c r="P536" s="13" t="s">
        <v>91</v>
      </c>
      <c r="Q536" s="13" t="s">
        <v>1727</v>
      </c>
      <c r="R536" s="14"/>
    </row>
    <row r="537" customFormat="false" ht="79.85" hidden="false" customHeight="false" outlineLevel="0" collapsed="false">
      <c r="A537" s="14" t="n">
        <v>8</v>
      </c>
      <c r="B537" s="15" t="s">
        <v>153</v>
      </c>
      <c r="C537" s="15" t="s">
        <v>40</v>
      </c>
      <c r="D537" s="15" t="s">
        <v>1728</v>
      </c>
      <c r="E537" s="14" t="n">
        <v>24</v>
      </c>
      <c r="F537" s="15" t="s">
        <v>1729</v>
      </c>
      <c r="G537" s="14" t="s">
        <v>43</v>
      </c>
      <c r="H537" s="14"/>
      <c r="I537" s="14" t="n">
        <f aca="false">IF(E537="","",IF(OR(AND(H537="Plan A",$C$5="B"),AND(H537="Plan B",$C$5="A")),0,IF(OR(G537="per student",G537="per group",G537="per class"),E537*IF(B537="Year 7",$C$3,$C$4),E537)))</f>
        <v>24</v>
      </c>
      <c r="J537" s="15" t="s">
        <v>13</v>
      </c>
      <c r="K537" s="14" t="n">
        <v>2</v>
      </c>
      <c r="L537" s="14" t="n">
        <f aca="false">IF(OR(K537="",O537&lt;&gt;"",I537=""),"",ROUNDUP(I537*K537,0))</f>
        <v>48</v>
      </c>
      <c r="M537" s="15" t="s">
        <v>1730</v>
      </c>
      <c r="N537" s="14"/>
      <c r="O537" s="15"/>
      <c r="P537" s="15" t="s">
        <v>45</v>
      </c>
      <c r="Q537" s="13" t="s">
        <v>1731</v>
      </c>
      <c r="R537" s="14"/>
    </row>
    <row r="538" customFormat="false" ht="79.85" hidden="false" customHeight="false" outlineLevel="0" collapsed="false">
      <c r="A538" s="14" t="n">
        <v>8</v>
      </c>
      <c r="B538" s="15" t="s">
        <v>153</v>
      </c>
      <c r="C538" s="15" t="s">
        <v>40</v>
      </c>
      <c r="D538" s="15" t="s">
        <v>1732</v>
      </c>
      <c r="E538" s="14" t="n">
        <v>10</v>
      </c>
      <c r="F538" s="15" t="s">
        <v>1733</v>
      </c>
      <c r="G538" s="14" t="s">
        <v>66</v>
      </c>
      <c r="H538" s="14"/>
      <c r="I538" s="14" t="n">
        <f aca="false">IF(E538="","",IF(OR(AND(H538="Plan A",$C$5="B"),AND(H538="Plan B",$C$5="A")),0,IF(OR(G538="per student",G538="per group",G538="per class"),E538*IF(B538="Year 7",$C$3,$C$4),E538)))</f>
        <v>10</v>
      </c>
      <c r="J538" s="15" t="s">
        <v>13</v>
      </c>
      <c r="K538" s="14" t="n">
        <v>1</v>
      </c>
      <c r="L538" s="14" t="n">
        <f aca="false">IF(OR(K538="",O538&lt;&gt;"",I538=""),"",ROUNDUP(I538*K538,0))</f>
        <v>10</v>
      </c>
      <c r="M538" s="15" t="s">
        <v>1734</v>
      </c>
      <c r="N538" s="14"/>
      <c r="O538" s="15"/>
      <c r="P538" s="15" t="s">
        <v>45</v>
      </c>
      <c r="Q538" s="13" t="s">
        <v>1735</v>
      </c>
      <c r="R538" s="14"/>
    </row>
    <row r="539" customFormat="false" ht="58.95" hidden="false" customHeight="false" outlineLevel="0" collapsed="false">
      <c r="A539" s="14" t="n">
        <v>8</v>
      </c>
      <c r="B539" s="15" t="s">
        <v>153</v>
      </c>
      <c r="C539" s="15" t="s">
        <v>40</v>
      </c>
      <c r="D539" s="15" t="s">
        <v>1736</v>
      </c>
      <c r="E539" s="14" t="n">
        <v>10</v>
      </c>
      <c r="F539" s="15" t="s">
        <v>1737</v>
      </c>
      <c r="G539" s="14" t="s">
        <v>66</v>
      </c>
      <c r="H539" s="14"/>
      <c r="I539" s="14" t="n">
        <f aca="false">IF(E539="","",IF(OR(AND(H539="Plan A",$C$5="B"),AND(H539="Plan B",$C$5="A")),0,IF(OR(G539="per student",G539="per group",G539="per class"),E539*IF(B539="Year 7",$C$3,$C$4),E539)))</f>
        <v>10</v>
      </c>
      <c r="J539" s="15" t="s">
        <v>20</v>
      </c>
      <c r="K539" s="14" t="n">
        <v>1</v>
      </c>
      <c r="L539" s="14" t="n">
        <f aca="false">IF(OR(K539="",O539&lt;&gt;"",I539=""),"",ROUNDUP(I539*K539,0))</f>
        <v>10</v>
      </c>
      <c r="M539" s="15" t="s">
        <v>1738</v>
      </c>
      <c r="N539" s="14"/>
      <c r="O539" s="15"/>
      <c r="P539" s="15" t="s">
        <v>45</v>
      </c>
      <c r="Q539" s="13" t="s">
        <v>1739</v>
      </c>
      <c r="R539" s="14"/>
    </row>
    <row r="540" customFormat="false" ht="35.05" hidden="false" customHeight="false" outlineLevel="0" collapsed="false">
      <c r="A540" s="14" t="n">
        <v>8</v>
      </c>
      <c r="B540" s="15" t="s">
        <v>153</v>
      </c>
      <c r="C540" s="15" t="s">
        <v>40</v>
      </c>
      <c r="D540" s="15" t="s">
        <v>1740</v>
      </c>
      <c r="E540" s="14" t="n">
        <v>1</v>
      </c>
      <c r="F540" s="15" t="s">
        <v>895</v>
      </c>
      <c r="G540" s="14" t="s">
        <v>127</v>
      </c>
      <c r="H540" s="14"/>
      <c r="I540" s="14" t="n">
        <f aca="false">IF(E540="","",IF(OR(AND(H540="Plan A",$C$5="B"),AND(H540="Plan B",$C$5="A")),0,IF(OR(G540="per student",G540="per group",G540="per class"),E540*IF(B540="Year 7",$C$3,$C$4),E540)))</f>
        <v>1</v>
      </c>
      <c r="J540" s="15" t="s">
        <v>13</v>
      </c>
      <c r="K540" s="14" t="n">
        <v>1</v>
      </c>
      <c r="L540" s="14" t="n">
        <f aca="false">IF(OR(K540="",O540&lt;&gt;"",I540=""),"",ROUNDUP(I540*K540,0))</f>
        <v>1</v>
      </c>
      <c r="M540" s="15" t="s">
        <v>1741</v>
      </c>
      <c r="N540" s="14"/>
      <c r="O540" s="15"/>
      <c r="P540" s="15" t="s">
        <v>45</v>
      </c>
      <c r="Q540" s="13" t="s">
        <v>1742</v>
      </c>
      <c r="R540" s="14"/>
    </row>
    <row r="541" customFormat="false" ht="23.85" hidden="false" customHeight="false" outlineLevel="0" collapsed="false">
      <c r="A541" s="14" t="n">
        <v>8</v>
      </c>
      <c r="B541" s="15" t="s">
        <v>153</v>
      </c>
      <c r="C541" s="15" t="s">
        <v>40</v>
      </c>
      <c r="D541" s="15" t="s">
        <v>1743</v>
      </c>
      <c r="E541" s="14" t="n">
        <v>1</v>
      </c>
      <c r="F541" s="15" t="s">
        <v>1744</v>
      </c>
      <c r="G541" s="14" t="s">
        <v>75</v>
      </c>
      <c r="H541" s="14"/>
      <c r="I541" s="14" t="n">
        <f aca="false">IF(E541="","",IF(OR(AND(H541="Plan A",$C$5="B"),AND(H541="Plan B",$C$5="A")),0,IF(OR(G541="per student",G541="per group",G541="per class"),E541*IF(B541="Year 7",$C$3,$C$4),E541)))</f>
        <v>1</v>
      </c>
      <c r="J541" s="15" t="s">
        <v>18</v>
      </c>
      <c r="K541" s="14" t="n">
        <v>1</v>
      </c>
      <c r="L541" s="14" t="n">
        <f aca="false">IF(OR(K541="",O541&lt;&gt;"",I541=""),"",ROUNDUP(I541*K541,0))</f>
        <v>1</v>
      </c>
      <c r="M541" s="15" t="s">
        <v>1745</v>
      </c>
      <c r="N541" s="14"/>
      <c r="O541" s="15"/>
      <c r="P541" s="15" t="s">
        <v>77</v>
      </c>
      <c r="Q541" s="13" t="s">
        <v>1746</v>
      </c>
      <c r="R541" s="14"/>
    </row>
    <row r="542" customFormat="false" ht="46.25" hidden="false" customHeight="false" outlineLevel="0" collapsed="false">
      <c r="A542" s="14" t="n">
        <v>8</v>
      </c>
      <c r="B542" s="15" t="s">
        <v>153</v>
      </c>
      <c r="C542" s="15" t="s">
        <v>40</v>
      </c>
      <c r="D542" s="15" t="s">
        <v>1747</v>
      </c>
      <c r="E542" s="14" t="n">
        <v>1</v>
      </c>
      <c r="F542" s="15" t="s">
        <v>1748</v>
      </c>
      <c r="G542" s="14" t="s">
        <v>127</v>
      </c>
      <c r="H542" s="14"/>
      <c r="I542" s="14" t="n">
        <f aca="false">IF(E542="","",IF(OR(AND(H542="Plan A",$C$5="B"),AND(H542="Plan B",$C$5="A")),0,IF(OR(G542="per student",G542="per group",G542="per class"),E542*IF(B542="Year 7",$C$3,$C$4),E542)))</f>
        <v>1</v>
      </c>
      <c r="J542" s="15" t="s">
        <v>13</v>
      </c>
      <c r="K542" s="14" t="n">
        <v>1</v>
      </c>
      <c r="L542" s="14" t="n">
        <f aca="false">IF(OR(K542="",O542&lt;&gt;"",I542=""),"",ROUNDUP(I542*K542,0))</f>
        <v>1</v>
      </c>
      <c r="M542" s="15" t="s">
        <v>1749</v>
      </c>
      <c r="N542" s="14"/>
      <c r="O542" s="15"/>
      <c r="P542" s="15" t="s">
        <v>45</v>
      </c>
      <c r="Q542" s="13" t="s">
        <v>1750</v>
      </c>
      <c r="R542" s="14"/>
    </row>
    <row r="543" customFormat="false" ht="57.45" hidden="false" customHeight="false" outlineLevel="0" collapsed="false">
      <c r="A543" s="14" t="n">
        <v>8</v>
      </c>
      <c r="B543" s="15" t="s">
        <v>153</v>
      </c>
      <c r="C543" s="15" t="s">
        <v>97</v>
      </c>
      <c r="D543" s="15" t="s">
        <v>780</v>
      </c>
      <c r="E543" s="14" t="n">
        <v>39</v>
      </c>
      <c r="F543" s="15" t="s">
        <v>781</v>
      </c>
      <c r="G543" s="14" t="s">
        <v>127</v>
      </c>
      <c r="H543" s="14"/>
      <c r="I543" s="14" t="n">
        <f aca="false">IF(E543="","",IF(OR(AND(H543="Plan A",$C$5="B"),AND(H543="Plan B",$C$5="A")),0,IF(OR(G543="per student",G543="per group",G543="per class"),E543*IF(B543="Year 7",$C$3,$C$4),E543)))</f>
        <v>39</v>
      </c>
      <c r="J543" s="15"/>
      <c r="K543" s="14"/>
      <c r="L543" s="14" t="str">
        <f aca="false">IF(OR(K543="",O543&lt;&gt;"",I543=""),"",ROUNDUP(I543*K543,0))</f>
        <v/>
      </c>
      <c r="M543" s="15" t="s">
        <v>1751</v>
      </c>
      <c r="N543" s="14"/>
      <c r="O543" s="15"/>
      <c r="P543" s="13" t="s">
        <v>91</v>
      </c>
      <c r="Q543" s="13" t="s">
        <v>1752</v>
      </c>
      <c r="R543" s="14"/>
    </row>
    <row r="544" customFormat="false" ht="46.25" hidden="false" customHeight="false" outlineLevel="0" collapsed="false">
      <c r="A544" s="14" t="n">
        <v>8</v>
      </c>
      <c r="B544" s="15" t="s">
        <v>153</v>
      </c>
      <c r="C544" s="15" t="s">
        <v>97</v>
      </c>
      <c r="D544" s="15" t="s">
        <v>458</v>
      </c>
      <c r="E544" s="14" t="n">
        <v>4</v>
      </c>
      <c r="F544" s="15" t="s">
        <v>627</v>
      </c>
      <c r="G544" s="14" t="s">
        <v>66</v>
      </c>
      <c r="H544" s="14"/>
      <c r="I544" s="14" t="n">
        <f aca="false">IF(E544="","",IF(OR(AND(H544="Plan A",$C$5="B"),AND(H544="Plan B",$C$5="A")),0,IF(OR(G544="per student",G544="per group",G544="per class"),E544*IF(B544="Year 7",$C$3,$C$4),E544)))</f>
        <v>4</v>
      </c>
      <c r="J544" s="15"/>
      <c r="K544" s="14"/>
      <c r="L544" s="14" t="str">
        <f aca="false">IF(OR(K544="",O544&lt;&gt;"",I544=""),"",ROUNDUP(I544*K544,0))</f>
        <v/>
      </c>
      <c r="M544" s="15" t="s">
        <v>1753</v>
      </c>
      <c r="N544" s="14"/>
      <c r="O544" s="15" t="s">
        <v>1754</v>
      </c>
      <c r="P544" s="13" t="s">
        <v>91</v>
      </c>
      <c r="Q544" s="13" t="s">
        <v>1755</v>
      </c>
      <c r="R544" s="14"/>
    </row>
    <row r="545" customFormat="false" ht="46.25" hidden="false" customHeight="false" outlineLevel="0" collapsed="false">
      <c r="A545" s="14" t="n">
        <v>8</v>
      </c>
      <c r="B545" s="15" t="s">
        <v>153</v>
      </c>
      <c r="C545" s="15" t="s">
        <v>97</v>
      </c>
      <c r="D545" s="15" t="s">
        <v>1756</v>
      </c>
      <c r="E545" s="14" t="n">
        <v>20</v>
      </c>
      <c r="F545" s="15" t="s">
        <v>248</v>
      </c>
      <c r="G545" s="14" t="s">
        <v>66</v>
      </c>
      <c r="H545" s="14"/>
      <c r="I545" s="14" t="n">
        <f aca="false">IF(E545="","",IF(OR(AND(H545="Plan A",$C$5="B"),AND(H545="Plan B",$C$5="A")),0,IF(OR(G545="per student",G545="per group",G545="per class"),E545*IF(B545="Year 7",$C$3,$C$4),E545)))</f>
        <v>20</v>
      </c>
      <c r="J545" s="15"/>
      <c r="K545" s="14"/>
      <c r="L545" s="14" t="str">
        <f aca="false">IF(OR(K545="",O545&lt;&gt;"",I545=""),"",ROUNDUP(I545*K545,0))</f>
        <v/>
      </c>
      <c r="M545" s="15" t="s">
        <v>1757</v>
      </c>
      <c r="N545" s="14"/>
      <c r="O545" s="15" t="s">
        <v>1758</v>
      </c>
      <c r="P545" s="13" t="s">
        <v>91</v>
      </c>
      <c r="Q545" s="13" t="s">
        <v>1759</v>
      </c>
      <c r="R545" s="14"/>
    </row>
    <row r="546" customFormat="false" ht="23.85" hidden="false" customHeight="false" outlineLevel="0" collapsed="false">
      <c r="A546" s="14" t="n">
        <v>8</v>
      </c>
      <c r="B546" s="15" t="s">
        <v>153</v>
      </c>
      <c r="C546" s="15" t="s">
        <v>97</v>
      </c>
      <c r="D546" s="15" t="s">
        <v>1760</v>
      </c>
      <c r="E546" s="14" t="n">
        <v>2</v>
      </c>
      <c r="F546" s="15" t="s">
        <v>1761</v>
      </c>
      <c r="G546" s="14" t="s">
        <v>66</v>
      </c>
      <c r="H546" s="14"/>
      <c r="I546" s="14" t="n">
        <f aca="false">IF(E546="","",IF(OR(AND(H546="Plan A",$C$5="B"),AND(H546="Plan B",$C$5="A")),0,IF(OR(G546="per student",G546="per group",G546="per class"),E546*IF(B546="Year 7",$C$3,$C$4),E546)))</f>
        <v>2</v>
      </c>
      <c r="J546" s="15"/>
      <c r="K546" s="14"/>
      <c r="L546" s="14" t="str">
        <f aca="false">IF(OR(K546="",O546&lt;&gt;"",I546=""),"",ROUNDUP(I546*K546,0))</f>
        <v/>
      </c>
      <c r="M546" s="15" t="s">
        <v>1762</v>
      </c>
      <c r="N546" s="14"/>
      <c r="O546" s="15"/>
      <c r="P546" s="15" t="s">
        <v>77</v>
      </c>
      <c r="Q546" s="13" t="s">
        <v>1763</v>
      </c>
      <c r="R546" s="14"/>
    </row>
    <row r="547" customFormat="false" ht="23.85" hidden="false" customHeight="false" outlineLevel="0" collapsed="false">
      <c r="A547" s="14" t="n">
        <v>8</v>
      </c>
      <c r="B547" s="15" t="s">
        <v>153</v>
      </c>
      <c r="C547" s="15" t="s">
        <v>97</v>
      </c>
      <c r="D547" s="15" t="s">
        <v>1764</v>
      </c>
      <c r="E547" s="14" t="n">
        <v>4</v>
      </c>
      <c r="F547" s="15" t="s">
        <v>397</v>
      </c>
      <c r="G547" s="14" t="s">
        <v>66</v>
      </c>
      <c r="H547" s="14"/>
      <c r="I547" s="14" t="n">
        <f aca="false">IF(E547="","",IF(OR(AND(H547="Plan A",$C$5="B"),AND(H547="Plan B",$C$5="A")),0,IF(OR(G547="per student",G547="per group",G547="per class"),E547*IF(B547="Year 7",$C$3,$C$4),E547)))</f>
        <v>4</v>
      </c>
      <c r="J547" s="15"/>
      <c r="K547" s="14"/>
      <c r="L547" s="14" t="str">
        <f aca="false">IF(OR(K547="",O547&lt;&gt;"",I547=""),"",ROUNDUP(I547*K547,0))</f>
        <v/>
      </c>
      <c r="M547" s="15" t="s">
        <v>1765</v>
      </c>
      <c r="N547" s="14"/>
      <c r="O547" s="15"/>
      <c r="P547" s="15" t="s">
        <v>77</v>
      </c>
      <c r="Q547" s="13" t="s">
        <v>1766</v>
      </c>
      <c r="R547" s="14"/>
    </row>
    <row r="548" customFormat="false" ht="23.85" hidden="false" customHeight="false" outlineLevel="0" collapsed="false">
      <c r="A548" s="14" t="n">
        <v>8</v>
      </c>
      <c r="B548" s="15" t="s">
        <v>153</v>
      </c>
      <c r="C548" s="15" t="s">
        <v>97</v>
      </c>
      <c r="D548" s="15" t="s">
        <v>776</v>
      </c>
      <c r="E548" s="14" t="n">
        <v>2</v>
      </c>
      <c r="F548" s="15" t="s">
        <v>777</v>
      </c>
      <c r="G548" s="14" t="s">
        <v>66</v>
      </c>
      <c r="H548" s="14"/>
      <c r="I548" s="14" t="n">
        <f aca="false">IF(E548="","",IF(OR(AND(H548="Plan A",$C$5="B"),AND(H548="Plan B",$C$5="A")),0,IF(OR(G548="per student",G548="per group",G548="per class"),E548*IF(B548="Year 7",$C$3,$C$4),E548)))</f>
        <v>2</v>
      </c>
      <c r="J548" s="15"/>
      <c r="K548" s="14"/>
      <c r="L548" s="14" t="str">
        <f aca="false">IF(OR(K548="",O548&lt;&gt;"",I548=""),"",ROUNDUP(I548*K548,0))</f>
        <v/>
      </c>
      <c r="M548" s="15" t="s">
        <v>1767</v>
      </c>
      <c r="N548" s="14"/>
      <c r="O548" s="15" t="s">
        <v>1768</v>
      </c>
      <c r="P548" s="13" t="s">
        <v>91</v>
      </c>
      <c r="Q548" s="13" t="s">
        <v>1769</v>
      </c>
      <c r="R548" s="14"/>
    </row>
    <row r="549" customFormat="false" ht="35.05" hidden="false" customHeight="false" outlineLevel="0" collapsed="false">
      <c r="A549" s="14" t="n">
        <v>8</v>
      </c>
      <c r="B549" s="15" t="s">
        <v>153</v>
      </c>
      <c r="C549" s="15" t="s">
        <v>97</v>
      </c>
      <c r="D549" s="15" t="s">
        <v>1770</v>
      </c>
      <c r="E549" s="14" t="n">
        <v>24</v>
      </c>
      <c r="F549" s="15" t="s">
        <v>314</v>
      </c>
      <c r="G549" s="14" t="s">
        <v>43</v>
      </c>
      <c r="H549" s="14"/>
      <c r="I549" s="14" t="n">
        <f aca="false">IF(E549="","",IF(OR(AND(H549="Plan A",$C$5="B"),AND(H549="Plan B",$C$5="A")),0,IF(OR(G549="per student",G549="per group",G549="per class"),E549*IF(B549="Year 7",$C$3,$C$4),E549)))</f>
        <v>24</v>
      </c>
      <c r="J549" s="15"/>
      <c r="K549" s="14"/>
      <c r="L549" s="14" t="str">
        <f aca="false">IF(OR(K549="",O549&lt;&gt;"",I549=""),"",ROUNDUP(I549*K549,0))</f>
        <v/>
      </c>
      <c r="M549" s="15" t="s">
        <v>1771</v>
      </c>
      <c r="N549" s="14"/>
      <c r="O549" s="15" t="s">
        <v>791</v>
      </c>
      <c r="P549" s="15" t="s">
        <v>376</v>
      </c>
      <c r="Q549" s="15"/>
      <c r="R549" s="14"/>
    </row>
    <row r="550" customFormat="false" ht="46.25" hidden="false" customHeight="false" outlineLevel="0" collapsed="false">
      <c r="A550" s="14" t="n">
        <v>8</v>
      </c>
      <c r="B550" s="15" t="s">
        <v>153</v>
      </c>
      <c r="C550" s="15" t="s">
        <v>97</v>
      </c>
      <c r="D550" s="15" t="s">
        <v>1772</v>
      </c>
      <c r="E550" s="14" t="n">
        <v>24</v>
      </c>
      <c r="F550" s="15" t="s">
        <v>1773</v>
      </c>
      <c r="G550" s="14" t="s">
        <v>43</v>
      </c>
      <c r="H550" s="14"/>
      <c r="I550" s="14" t="n">
        <f aca="false">IF(E550="","",IF(OR(AND(H550="Plan A",$C$5="B"),AND(H550="Plan B",$C$5="A")),0,IF(OR(G550="per student",G550="per group",G550="per class"),E550*IF(B550="Year 7",$C$3,$C$4),E550)))</f>
        <v>24</v>
      </c>
      <c r="J550" s="15"/>
      <c r="K550" s="14"/>
      <c r="L550" s="14" t="str">
        <f aca="false">IF(OR(K550="",O550&lt;&gt;"",I550=""),"",ROUNDUP(I550*K550,0))</f>
        <v/>
      </c>
      <c r="M550" s="15" t="s">
        <v>1774</v>
      </c>
      <c r="N550" s="14"/>
      <c r="O550" s="15" t="s">
        <v>1775</v>
      </c>
      <c r="P550" s="15" t="s">
        <v>376</v>
      </c>
      <c r="Q550" s="13" t="s">
        <v>1776</v>
      </c>
      <c r="R550" s="14"/>
    </row>
    <row r="551" customFormat="false" ht="23.85" hidden="false" customHeight="false" outlineLevel="0" collapsed="false">
      <c r="A551" s="14" t="n">
        <v>8</v>
      </c>
      <c r="B551" s="15" t="s">
        <v>153</v>
      </c>
      <c r="C551" s="15" t="s">
        <v>97</v>
      </c>
      <c r="D551" s="15" t="s">
        <v>1777</v>
      </c>
      <c r="E551" s="14" t="n">
        <v>6</v>
      </c>
      <c r="F551" s="15" t="s">
        <v>117</v>
      </c>
      <c r="G551" s="14" t="s">
        <v>66</v>
      </c>
      <c r="H551" s="14"/>
      <c r="I551" s="14" t="n">
        <f aca="false">IF(E551="","",IF(OR(AND(H551="Plan A",$C$5="B"),AND(H551="Plan B",$C$5="A")),0,IF(OR(G551="per student",G551="per group",G551="per class"),E551*IF(B551="Year 7",$C$3,$C$4),E551)))</f>
        <v>6</v>
      </c>
      <c r="J551" s="15"/>
      <c r="K551" s="14"/>
      <c r="L551" s="14" t="str">
        <f aca="false">IF(OR(K551="",O551&lt;&gt;"",I551=""),"",ROUNDUP(I551*K551,0))</f>
        <v/>
      </c>
      <c r="M551" s="15" t="s">
        <v>1778</v>
      </c>
      <c r="N551" s="14"/>
      <c r="O551" s="15" t="s">
        <v>1779</v>
      </c>
      <c r="P551" s="15" t="s">
        <v>376</v>
      </c>
      <c r="Q551" s="13" t="s">
        <v>1780</v>
      </c>
      <c r="R551" s="14"/>
    </row>
    <row r="552" customFormat="false" ht="46.25" hidden="false" customHeight="false" outlineLevel="0" collapsed="false">
      <c r="A552" s="14" t="n">
        <v>8</v>
      </c>
      <c r="B552" s="15" t="s">
        <v>153</v>
      </c>
      <c r="C552" s="15" t="s">
        <v>97</v>
      </c>
      <c r="D552" s="15" t="s">
        <v>641</v>
      </c>
      <c r="E552" s="14" t="n">
        <v>6</v>
      </c>
      <c r="F552" s="15" t="s">
        <v>373</v>
      </c>
      <c r="G552" s="14" t="s">
        <v>66</v>
      </c>
      <c r="H552" s="14"/>
      <c r="I552" s="14" t="n">
        <f aca="false">IF(E552="","",IF(OR(AND(H552="Plan A",$C$5="B"),AND(H552="Plan B",$C$5="A")),0,IF(OR(G552="per student",G552="per group",G552="per class"),E552*IF(B552="Year 7",$C$3,$C$4),E552)))</f>
        <v>6</v>
      </c>
      <c r="J552" s="15"/>
      <c r="K552" s="14"/>
      <c r="L552" s="14" t="str">
        <f aca="false">IF(OR(K552="",O552&lt;&gt;"",I552=""),"",ROUNDUP(I552*K552,0))</f>
        <v/>
      </c>
      <c r="M552" s="15" t="s">
        <v>1781</v>
      </c>
      <c r="N552" s="14"/>
      <c r="O552" s="15" t="s">
        <v>643</v>
      </c>
      <c r="P552" s="15" t="s">
        <v>376</v>
      </c>
      <c r="Q552" s="13" t="s">
        <v>377</v>
      </c>
      <c r="R552" s="14"/>
    </row>
    <row r="553" customFormat="false" ht="23.85" hidden="false" customHeight="false" outlineLevel="0" collapsed="false">
      <c r="A553" s="14" t="n">
        <v>8</v>
      </c>
      <c r="B553" s="15" t="s">
        <v>153</v>
      </c>
      <c r="C553" s="15" t="s">
        <v>97</v>
      </c>
      <c r="D553" s="15" t="s">
        <v>367</v>
      </c>
      <c r="E553" s="14" t="n">
        <v>24</v>
      </c>
      <c r="F553" s="15" t="s">
        <v>368</v>
      </c>
      <c r="G553" s="14" t="s">
        <v>43</v>
      </c>
      <c r="H553" s="14"/>
      <c r="I553" s="14" t="n">
        <f aca="false">IF(E553="","",IF(OR(AND(H553="Plan A",$C$5="B"),AND(H553="Plan B",$C$5="A")),0,IF(OR(G553="per student",G553="per group",G553="per class"),E553*IF(B553="Year 7",$C$3,$C$4),E553)))</f>
        <v>24</v>
      </c>
      <c r="J553" s="15"/>
      <c r="K553" s="14"/>
      <c r="L553" s="14" t="str">
        <f aca="false">IF(OR(K553="",O553&lt;&gt;"",I553=""),"",ROUNDUP(I553*K553,0))</f>
        <v/>
      </c>
      <c r="M553" s="15" t="s">
        <v>1782</v>
      </c>
      <c r="N553" s="14"/>
      <c r="O553" s="15" t="s">
        <v>370</v>
      </c>
      <c r="P553" s="15" t="s">
        <v>376</v>
      </c>
      <c r="Q553" s="15"/>
      <c r="R553" s="14"/>
    </row>
    <row r="554" customFormat="false" ht="23.85" hidden="false" customHeight="false" outlineLevel="0" collapsed="false">
      <c r="A554" s="14" t="n">
        <v>8</v>
      </c>
      <c r="B554" s="15" t="s">
        <v>153</v>
      </c>
      <c r="C554" s="15" t="s">
        <v>97</v>
      </c>
      <c r="D554" s="15" t="s">
        <v>485</v>
      </c>
      <c r="E554" s="14" t="n">
        <v>24</v>
      </c>
      <c r="F554" s="15" t="s">
        <v>368</v>
      </c>
      <c r="G554" s="14" t="s">
        <v>43</v>
      </c>
      <c r="H554" s="14"/>
      <c r="I554" s="14" t="n">
        <f aca="false">IF(E554="","",IF(OR(AND(H554="Plan A",$C$5="B"),AND(H554="Plan B",$C$5="A")),0,IF(OR(G554="per student",G554="per group",G554="per class"),E554*IF(B554="Year 7",$C$3,$C$4),E554)))</f>
        <v>24</v>
      </c>
      <c r="J554" s="15"/>
      <c r="K554" s="14"/>
      <c r="L554" s="14" t="str">
        <f aca="false">IF(OR(K554="",O554&lt;&gt;"",I554=""),"",ROUNDUP(I554*K554,0))</f>
        <v/>
      </c>
      <c r="M554" s="15" t="s">
        <v>646</v>
      </c>
      <c r="N554" s="14"/>
      <c r="O554" s="15" t="s">
        <v>808</v>
      </c>
      <c r="P554" s="15" t="s">
        <v>376</v>
      </c>
      <c r="Q554" s="13" t="s">
        <v>1783</v>
      </c>
      <c r="R554" s="14"/>
    </row>
    <row r="555" customFormat="false" ht="23.85" hidden="false" customHeight="false" outlineLevel="0" collapsed="false">
      <c r="A555" s="14" t="n">
        <v>8</v>
      </c>
      <c r="B555" s="15" t="s">
        <v>153</v>
      </c>
      <c r="C555" s="15" t="s">
        <v>97</v>
      </c>
      <c r="D555" s="15" t="s">
        <v>624</v>
      </c>
      <c r="E555" s="14" t="n">
        <v>24</v>
      </c>
      <c r="F555" s="15" t="s">
        <v>248</v>
      </c>
      <c r="G555" s="14" t="s">
        <v>43</v>
      </c>
      <c r="H555" s="14"/>
      <c r="I555" s="14" t="n">
        <f aca="false">IF(E555="","",IF(OR(AND(H555="Plan A",$C$5="B"),AND(H555="Plan B",$C$5="A")),0,IF(OR(G555="per student",G555="per group",G555="per class"),E555*IF(B555="Year 7",$C$3,$C$4),E555)))</f>
        <v>24</v>
      </c>
      <c r="J555" s="15"/>
      <c r="K555" s="14"/>
      <c r="L555" s="14" t="str">
        <f aca="false">IF(OR(K555="",O555&lt;&gt;"",I555=""),"",ROUNDUP(I555*K555,0))</f>
        <v/>
      </c>
      <c r="M555" s="15" t="s">
        <v>1784</v>
      </c>
      <c r="N555" s="14"/>
      <c r="O555" s="15" t="s">
        <v>472</v>
      </c>
      <c r="P555" s="15" t="s">
        <v>376</v>
      </c>
      <c r="Q555" s="15"/>
      <c r="R555" s="14"/>
    </row>
    <row r="556" customFormat="false" ht="68.65" hidden="false" customHeight="false" outlineLevel="0" collapsed="false">
      <c r="A556" s="14" t="n">
        <v>8</v>
      </c>
      <c r="B556" s="15" t="s">
        <v>153</v>
      </c>
      <c r="C556" s="15" t="s">
        <v>124</v>
      </c>
      <c r="D556" s="15" t="s">
        <v>1785</v>
      </c>
      <c r="E556" s="14" t="n">
        <v>2</v>
      </c>
      <c r="F556" s="15" t="s">
        <v>1786</v>
      </c>
      <c r="G556" s="14" t="s">
        <v>66</v>
      </c>
      <c r="H556" s="14"/>
      <c r="I556" s="14" t="n">
        <f aca="false">IF(E556="","",IF(OR(AND(H556="Plan A",$C$5="B"),AND(H556="Plan B",$C$5="A")),0,IF(OR(G556="per student",G556="per group",G556="per class"),E556*IF(B556="Year 7",$C$3,$C$4),E556)))</f>
        <v>2</v>
      </c>
      <c r="J556" s="15"/>
      <c r="K556" s="14"/>
      <c r="L556" s="14" t="str">
        <f aca="false">IF(OR(K556="",O556&lt;&gt;"",I556=""),"",ROUNDUP(I556*K556,0))</f>
        <v/>
      </c>
      <c r="M556" s="15" t="s">
        <v>1787</v>
      </c>
      <c r="N556" s="14"/>
      <c r="O556" s="15" t="s">
        <v>1788</v>
      </c>
      <c r="P556" s="13" t="s">
        <v>91</v>
      </c>
      <c r="Q556" s="13" t="s">
        <v>1789</v>
      </c>
      <c r="R556" s="14"/>
    </row>
    <row r="557" customFormat="false" ht="35.05" hidden="false" customHeight="false" outlineLevel="0" collapsed="false">
      <c r="A557" s="14" t="n">
        <v>8</v>
      </c>
      <c r="B557" s="15" t="s">
        <v>153</v>
      </c>
      <c r="C557" s="15" t="s">
        <v>124</v>
      </c>
      <c r="D557" s="15" t="s">
        <v>675</v>
      </c>
      <c r="E557" s="14" t="n">
        <v>50</v>
      </c>
      <c r="F557" s="15" t="s">
        <v>1790</v>
      </c>
      <c r="G557" s="14" t="s">
        <v>127</v>
      </c>
      <c r="H557" s="14"/>
      <c r="I557" s="14" t="n">
        <f aca="false">IF(E557="","",IF(OR(AND(H557="Plan A",$C$5="B"),AND(H557="Plan B",$C$5="A")),0,IF(OR(G557="per student",G557="per group",G557="per class"),E557*IF(B557="Year 7",$C$3,$C$4),E557)))</f>
        <v>50</v>
      </c>
      <c r="J557" s="15"/>
      <c r="K557" s="14"/>
      <c r="L557" s="14" t="str">
        <f aca="false">IF(OR(K557="",O557&lt;&gt;"",I557=""),"",ROUNDUP(I557*K557,0))</f>
        <v/>
      </c>
      <c r="M557" s="15" t="s">
        <v>1791</v>
      </c>
      <c r="N557" s="14"/>
      <c r="O557" s="15"/>
      <c r="P557" s="15" t="s">
        <v>77</v>
      </c>
      <c r="Q557" s="13" t="s">
        <v>1792</v>
      </c>
      <c r="R557" s="14"/>
    </row>
    <row r="558" customFormat="false" ht="46.25" hidden="false" customHeight="false" outlineLevel="0" collapsed="false">
      <c r="A558" s="14" t="n">
        <v>8</v>
      </c>
      <c r="B558" s="15" t="s">
        <v>153</v>
      </c>
      <c r="C558" s="15" t="s">
        <v>124</v>
      </c>
      <c r="D558" s="15" t="s">
        <v>1793</v>
      </c>
      <c r="E558" s="14" t="n">
        <v>20</v>
      </c>
      <c r="F558" s="15" t="s">
        <v>1794</v>
      </c>
      <c r="G558" s="14" t="s">
        <v>66</v>
      </c>
      <c r="H558" s="14"/>
      <c r="I558" s="14" t="n">
        <f aca="false">IF(E558="","",IF(OR(AND(H558="Plan A",$C$5="B"),AND(H558="Plan B",$C$5="A")),0,IF(OR(G558="per student",G558="per group",G558="per class"),E558*IF(B558="Year 7",$C$3,$C$4),E558)))</f>
        <v>20</v>
      </c>
      <c r="J558" s="15"/>
      <c r="K558" s="14"/>
      <c r="L558" s="14" t="str">
        <f aca="false">IF(OR(K558="",O558&lt;&gt;"",I558=""),"",ROUNDUP(I558*K558,0))</f>
        <v/>
      </c>
      <c r="M558" s="15" t="s">
        <v>1795</v>
      </c>
      <c r="N558" s="14"/>
      <c r="O558" s="15"/>
      <c r="P558" s="15" t="s">
        <v>77</v>
      </c>
      <c r="Q558" s="13" t="s">
        <v>1796</v>
      </c>
      <c r="R558" s="14"/>
    </row>
    <row r="559" customFormat="false" ht="35.05" hidden="false" customHeight="false" outlineLevel="0" collapsed="false">
      <c r="A559" s="14" t="n">
        <v>8</v>
      </c>
      <c r="B559" s="15" t="s">
        <v>153</v>
      </c>
      <c r="C559" s="15" t="s">
        <v>124</v>
      </c>
      <c r="D559" s="15" t="s">
        <v>840</v>
      </c>
      <c r="E559" s="14" t="n">
        <v>23</v>
      </c>
      <c r="F559" s="15" t="s">
        <v>841</v>
      </c>
      <c r="G559" s="14" t="s">
        <v>127</v>
      </c>
      <c r="H559" s="14"/>
      <c r="I559" s="14" t="n">
        <f aca="false">IF(E559="","",IF(OR(AND(H559="Plan A",$C$5="B"),AND(H559="Plan B",$C$5="A")),0,IF(OR(G559="per student",G559="per group",G559="per class"),E559*IF(B559="Year 7",$C$3,$C$4),E559)))</f>
        <v>23</v>
      </c>
      <c r="J559" s="15"/>
      <c r="K559" s="14"/>
      <c r="L559" s="14" t="str">
        <f aca="false">IF(OR(K559="",O559&lt;&gt;"",I559=""),"",ROUNDUP(I559*K559,0))</f>
        <v/>
      </c>
      <c r="M559" s="15" t="s">
        <v>1797</v>
      </c>
      <c r="N559" s="14"/>
      <c r="O559" s="15" t="s">
        <v>1798</v>
      </c>
      <c r="P559" s="13" t="s">
        <v>91</v>
      </c>
      <c r="Q559" s="13" t="s">
        <v>1799</v>
      </c>
      <c r="R559" s="14"/>
    </row>
    <row r="560" customFormat="false" ht="35.05" hidden="false" customHeight="false" outlineLevel="0" collapsed="false">
      <c r="A560" s="14" t="n">
        <v>8</v>
      </c>
      <c r="B560" s="15" t="s">
        <v>153</v>
      </c>
      <c r="C560" s="15" t="s">
        <v>124</v>
      </c>
      <c r="D560" s="15" t="s">
        <v>810</v>
      </c>
      <c r="E560" s="14" t="n">
        <v>20</v>
      </c>
      <c r="F560" s="15" t="s">
        <v>581</v>
      </c>
      <c r="G560" s="14" t="s">
        <v>66</v>
      </c>
      <c r="H560" s="14"/>
      <c r="I560" s="14" t="n">
        <f aca="false">IF(E560="","",IF(OR(AND(H560="Plan A",$C$5="B"),AND(H560="Plan B",$C$5="A")),0,IF(OR(G560="per student",G560="per group",G560="per class"),E560*IF(B560="Year 7",$C$3,$C$4),E560)))</f>
        <v>20</v>
      </c>
      <c r="J560" s="15"/>
      <c r="K560" s="14"/>
      <c r="L560" s="14" t="str">
        <f aca="false">IF(OR(K560="",O560&lt;&gt;"",I560=""),"",ROUNDUP(I560*K560,0))</f>
        <v/>
      </c>
      <c r="M560" s="15" t="s">
        <v>1800</v>
      </c>
      <c r="N560" s="14"/>
      <c r="O560" s="15" t="s">
        <v>1801</v>
      </c>
      <c r="P560" s="13" t="s">
        <v>91</v>
      </c>
      <c r="Q560" s="13" t="s">
        <v>1802</v>
      </c>
      <c r="R560" s="14"/>
    </row>
    <row r="561" customFormat="false" ht="35.05" hidden="false" customHeight="false" outlineLevel="0" collapsed="false">
      <c r="A561" s="14" t="n">
        <v>8</v>
      </c>
      <c r="B561" s="15" t="s">
        <v>153</v>
      </c>
      <c r="C561" s="15" t="s">
        <v>124</v>
      </c>
      <c r="D561" s="15" t="s">
        <v>491</v>
      </c>
      <c r="E561" s="14" t="n">
        <v>5</v>
      </c>
      <c r="F561" s="15" t="s">
        <v>813</v>
      </c>
      <c r="G561" s="14" t="s">
        <v>66</v>
      </c>
      <c r="H561" s="14"/>
      <c r="I561" s="14" t="n">
        <f aca="false">IF(E561="","",IF(OR(AND(H561="Plan A",$C$5="B"),AND(H561="Plan B",$C$5="A")),0,IF(OR(G561="per student",G561="per group",G561="per class"),E561*IF(B561="Year 7",$C$3,$C$4),E561)))</f>
        <v>5</v>
      </c>
      <c r="J561" s="15"/>
      <c r="K561" s="14"/>
      <c r="L561" s="14" t="str">
        <f aca="false">IF(OR(K561="",O561&lt;&gt;"",I561=""),"",ROUNDUP(I561*K561,0))</f>
        <v/>
      </c>
      <c r="M561" s="15" t="s">
        <v>1803</v>
      </c>
      <c r="N561" s="14"/>
      <c r="O561" s="15" t="s">
        <v>1804</v>
      </c>
      <c r="P561" s="13" t="s">
        <v>91</v>
      </c>
      <c r="Q561" s="13" t="s">
        <v>1805</v>
      </c>
      <c r="R561" s="14"/>
    </row>
    <row r="562" customFormat="false" ht="23.85" hidden="false" customHeight="false" outlineLevel="0" collapsed="false">
      <c r="A562" s="14" t="n">
        <v>8</v>
      </c>
      <c r="B562" s="15" t="s">
        <v>153</v>
      </c>
      <c r="C562" s="15" t="s">
        <v>124</v>
      </c>
      <c r="D562" s="15" t="s">
        <v>1806</v>
      </c>
      <c r="E562" s="14" t="n">
        <v>5</v>
      </c>
      <c r="F562" s="15" t="s">
        <v>1807</v>
      </c>
      <c r="G562" s="14" t="s">
        <v>66</v>
      </c>
      <c r="H562" s="14"/>
      <c r="I562" s="14" t="n">
        <f aca="false">IF(E562="","",IF(OR(AND(H562="Plan A",$C$5="B"),AND(H562="Plan B",$C$5="A")),0,IF(OR(G562="per student",G562="per group",G562="per class"),E562*IF(B562="Year 7",$C$3,$C$4),E562)))</f>
        <v>5</v>
      </c>
      <c r="J562" s="15"/>
      <c r="K562" s="14"/>
      <c r="L562" s="14" t="str">
        <f aca="false">IF(OR(K562="",O562&lt;&gt;"",I562=""),"",ROUNDUP(I562*K562,0))</f>
        <v/>
      </c>
      <c r="M562" s="15" t="s">
        <v>1808</v>
      </c>
      <c r="N562" s="14"/>
      <c r="O562" s="15"/>
      <c r="P562" s="13" t="s">
        <v>91</v>
      </c>
      <c r="Q562" s="13" t="s">
        <v>1809</v>
      </c>
      <c r="R562" s="14"/>
    </row>
    <row r="563" customFormat="false" ht="35.05" hidden="false" customHeight="false" outlineLevel="0" collapsed="false">
      <c r="A563" s="14" t="n">
        <v>8</v>
      </c>
      <c r="B563" s="15" t="s">
        <v>153</v>
      </c>
      <c r="C563" s="15" t="s">
        <v>124</v>
      </c>
      <c r="D563" s="15" t="s">
        <v>659</v>
      </c>
      <c r="E563" s="14" t="n">
        <v>7</v>
      </c>
      <c r="F563" s="15" t="s">
        <v>660</v>
      </c>
      <c r="G563" s="14" t="s">
        <v>66</v>
      </c>
      <c r="H563" s="14"/>
      <c r="I563" s="14" t="n">
        <f aca="false">IF(E563="","",IF(OR(AND(H563="Plan A",$C$5="B"),AND(H563="Plan B",$C$5="A")),0,IF(OR(G563="per student",G563="per group",G563="per class"),E563*IF(B563="Year 7",$C$3,$C$4),E563)))</f>
        <v>7</v>
      </c>
      <c r="J563" s="15"/>
      <c r="K563" s="14"/>
      <c r="L563" s="14" t="str">
        <f aca="false">IF(OR(K563="",O563&lt;&gt;"",I563=""),"",ROUNDUP(I563*K563,0))</f>
        <v/>
      </c>
      <c r="M563" s="15" t="s">
        <v>1810</v>
      </c>
      <c r="N563" s="14"/>
      <c r="O563" s="15" t="s">
        <v>1811</v>
      </c>
      <c r="P563" s="13" t="s">
        <v>91</v>
      </c>
      <c r="Q563" s="13" t="s">
        <v>1812</v>
      </c>
      <c r="R563" s="14"/>
    </row>
    <row r="564" customFormat="false" ht="35.05" hidden="false" customHeight="false" outlineLevel="0" collapsed="false">
      <c r="A564" s="14" t="n">
        <v>8</v>
      </c>
      <c r="B564" s="15" t="s">
        <v>153</v>
      </c>
      <c r="C564" s="15" t="s">
        <v>124</v>
      </c>
      <c r="D564" s="15" t="s">
        <v>495</v>
      </c>
      <c r="E564" s="14" t="n">
        <v>8</v>
      </c>
      <c r="F564" s="15" t="s">
        <v>591</v>
      </c>
      <c r="G564" s="14" t="s">
        <v>66</v>
      </c>
      <c r="H564" s="14"/>
      <c r="I564" s="14" t="n">
        <f aca="false">IF(E564="","",IF(OR(AND(H564="Plan A",$C$5="B"),AND(H564="Plan B",$C$5="A")),0,IF(OR(G564="per student",G564="per group",G564="per class"),E564*IF(B564="Year 7",$C$3,$C$4),E564)))</f>
        <v>8</v>
      </c>
      <c r="J564" s="15"/>
      <c r="K564" s="14"/>
      <c r="L564" s="14" t="str">
        <f aca="false">IF(OR(K564="",O564&lt;&gt;"",I564=""),"",ROUNDUP(I564*K564,0))</f>
        <v/>
      </c>
      <c r="M564" s="15" t="s">
        <v>1813</v>
      </c>
      <c r="N564" s="14"/>
      <c r="O564" s="15" t="s">
        <v>1814</v>
      </c>
      <c r="P564" s="13" t="s">
        <v>91</v>
      </c>
      <c r="Q564" s="13" t="s">
        <v>1815</v>
      </c>
      <c r="R564" s="14"/>
    </row>
    <row r="565" customFormat="false" ht="57.45" hidden="false" customHeight="false" outlineLevel="0" collapsed="false">
      <c r="A565" s="14" t="n">
        <v>8</v>
      </c>
      <c r="B565" s="15" t="s">
        <v>153</v>
      </c>
      <c r="C565" s="15" t="s">
        <v>124</v>
      </c>
      <c r="D565" s="15" t="s">
        <v>657</v>
      </c>
      <c r="E565" s="14" t="n">
        <v>44</v>
      </c>
      <c r="F565" s="15" t="s">
        <v>264</v>
      </c>
      <c r="G565" s="14" t="s">
        <v>127</v>
      </c>
      <c r="H565" s="14"/>
      <c r="I565" s="14" t="n">
        <f aca="false">IF(E565="","",IF(OR(AND(H565="Plan A",$C$5="B"),AND(H565="Plan B",$C$5="A")),0,IF(OR(G565="per student",G565="per group",G565="per class"),E565*IF(B565="Year 7",$C$3,$C$4),E565)))</f>
        <v>44</v>
      </c>
      <c r="J565" s="15"/>
      <c r="K565" s="14"/>
      <c r="L565" s="14" t="str">
        <f aca="false">IF(OR(K565="",O565&lt;&gt;"",I565=""),"",ROUNDUP(I565*K565,0))</f>
        <v/>
      </c>
      <c r="M565" s="15" t="s">
        <v>1816</v>
      </c>
      <c r="N565" s="14"/>
      <c r="O565" s="15"/>
      <c r="P565" s="13" t="s">
        <v>91</v>
      </c>
      <c r="Q565" s="13" t="s">
        <v>1817</v>
      </c>
      <c r="R565" s="14"/>
    </row>
    <row r="566" customFormat="false" ht="23.85" hidden="false" customHeight="false" outlineLevel="0" collapsed="false">
      <c r="A566" s="14" t="n">
        <v>8</v>
      </c>
      <c r="B566" s="15" t="s">
        <v>153</v>
      </c>
      <c r="C566" s="15" t="s">
        <v>124</v>
      </c>
      <c r="D566" s="15" t="s">
        <v>1818</v>
      </c>
      <c r="E566" s="14" t="n">
        <v>4</v>
      </c>
      <c r="F566" s="15" t="s">
        <v>823</v>
      </c>
      <c r="G566" s="14" t="s">
        <v>66</v>
      </c>
      <c r="H566" s="14"/>
      <c r="I566" s="14" t="n">
        <f aca="false">IF(E566="","",IF(OR(AND(H566="Plan A",$C$5="B"),AND(H566="Plan B",$C$5="A")),0,IF(OR(G566="per student",G566="per group",G566="per class"),E566*IF(B566="Year 7",$C$3,$C$4),E566)))</f>
        <v>4</v>
      </c>
      <c r="J566" s="15"/>
      <c r="K566" s="14"/>
      <c r="L566" s="14" t="str">
        <f aca="false">IF(OR(K566="",O566&lt;&gt;"",I566=""),"",ROUNDUP(I566*K566,0))</f>
        <v/>
      </c>
      <c r="M566" s="15" t="s">
        <v>1819</v>
      </c>
      <c r="N566" s="14"/>
      <c r="O566" s="15" t="s">
        <v>1820</v>
      </c>
      <c r="P566" s="13" t="s">
        <v>91</v>
      </c>
      <c r="Q566" s="13" t="s">
        <v>1821</v>
      </c>
      <c r="R566" s="14"/>
    </row>
    <row r="567" customFormat="false" ht="15" hidden="false" customHeight="false" outlineLevel="0" collapsed="false">
      <c r="A567" s="14" t="n">
        <v>8</v>
      </c>
      <c r="B567" s="15" t="s">
        <v>153</v>
      </c>
      <c r="C567" s="15" t="s">
        <v>124</v>
      </c>
      <c r="D567" s="15" t="s">
        <v>826</v>
      </c>
      <c r="E567" s="14" t="n">
        <v>2</v>
      </c>
      <c r="F567" s="15" t="s">
        <v>827</v>
      </c>
      <c r="G567" s="14" t="s">
        <v>66</v>
      </c>
      <c r="H567" s="14"/>
      <c r="I567" s="14" t="n">
        <f aca="false">IF(E567="","",IF(OR(AND(H567="Plan A",$C$5="B"),AND(H567="Plan B",$C$5="A")),0,IF(OR(G567="per student",G567="per group",G567="per class"),E567*IF(B567="Year 7",$C$3,$C$4),E567)))</f>
        <v>2</v>
      </c>
      <c r="J567" s="15"/>
      <c r="K567" s="14"/>
      <c r="L567" s="14" t="str">
        <f aca="false">IF(OR(K567="",O567&lt;&gt;"",I567=""),"",ROUNDUP(I567*K567,0))</f>
        <v/>
      </c>
      <c r="M567" s="15" t="s">
        <v>1822</v>
      </c>
      <c r="N567" s="14"/>
      <c r="O567" s="15" t="s">
        <v>1823</v>
      </c>
      <c r="P567" s="13" t="s">
        <v>91</v>
      </c>
      <c r="Q567" s="13" t="s">
        <v>1824</v>
      </c>
      <c r="R567" s="14"/>
    </row>
    <row r="568" customFormat="false" ht="23.85" hidden="false" customHeight="false" outlineLevel="0" collapsed="false">
      <c r="A568" s="14" t="n">
        <v>8</v>
      </c>
      <c r="B568" s="15" t="s">
        <v>153</v>
      </c>
      <c r="C568" s="15" t="s">
        <v>124</v>
      </c>
      <c r="D568" s="15" t="s">
        <v>833</v>
      </c>
      <c r="E568" s="14" t="n">
        <v>10</v>
      </c>
      <c r="F568" s="15" t="s">
        <v>1825</v>
      </c>
      <c r="G568" s="14" t="s">
        <v>66</v>
      </c>
      <c r="H568" s="14"/>
      <c r="I568" s="14" t="n">
        <f aca="false">IF(E568="","",IF(OR(AND(H568="Plan A",$C$5="B"),AND(H568="Plan B",$C$5="A")),0,IF(OR(G568="per student",G568="per group",G568="per class"),E568*IF(B568="Year 7",$C$3,$C$4),E568)))</f>
        <v>10</v>
      </c>
      <c r="J568" s="15"/>
      <c r="K568" s="14"/>
      <c r="L568" s="14" t="str">
        <f aca="false">IF(OR(K568="",O568&lt;&gt;"",I568=""),"",ROUNDUP(I568*K568,0))</f>
        <v/>
      </c>
      <c r="M568" s="15" t="s">
        <v>1826</v>
      </c>
      <c r="N568" s="14"/>
      <c r="O568" s="15" t="s">
        <v>1827</v>
      </c>
      <c r="P568" s="13" t="s">
        <v>91</v>
      </c>
      <c r="Q568" s="13" t="s">
        <v>1828</v>
      </c>
      <c r="R568" s="14"/>
    </row>
    <row r="569" customFormat="false" ht="23.85" hidden="false" customHeight="false" outlineLevel="0" collapsed="false">
      <c r="A569" s="14" t="n">
        <v>8</v>
      </c>
      <c r="B569" s="15" t="s">
        <v>153</v>
      </c>
      <c r="C569" s="15" t="s">
        <v>124</v>
      </c>
      <c r="D569" s="15" t="s">
        <v>837</v>
      </c>
      <c r="E569" s="14" t="n">
        <v>22</v>
      </c>
      <c r="F569" s="15" t="s">
        <v>838</v>
      </c>
      <c r="G569" s="14" t="s">
        <v>66</v>
      </c>
      <c r="H569" s="14"/>
      <c r="I569" s="14" t="n">
        <f aca="false">IF(E569="","",IF(OR(AND(H569="Plan A",$C$5="B"),AND(H569="Plan B",$C$5="A")),0,IF(OR(G569="per student",G569="per group",G569="per class"),E569*IF(B569="Year 7",$C$3,$C$4),E569)))</f>
        <v>22</v>
      </c>
      <c r="J569" s="15"/>
      <c r="K569" s="14"/>
      <c r="L569" s="14" t="str">
        <f aca="false">IF(OR(K569="",O569&lt;&gt;"",I569=""),"",ROUNDUP(I569*K569,0))</f>
        <v/>
      </c>
      <c r="M569" s="15" t="s">
        <v>1829</v>
      </c>
      <c r="N569" s="14"/>
      <c r="O569" s="15"/>
      <c r="P569" s="15" t="s">
        <v>77</v>
      </c>
      <c r="Q569" s="13" t="s">
        <v>1830</v>
      </c>
      <c r="R569" s="14"/>
    </row>
    <row r="570" customFormat="false" ht="35.05" hidden="false" customHeight="false" outlineLevel="0" collapsed="false">
      <c r="A570" s="14" t="n">
        <v>8</v>
      </c>
      <c r="B570" s="15" t="s">
        <v>153</v>
      </c>
      <c r="C570" s="15" t="s">
        <v>124</v>
      </c>
      <c r="D570" s="15" t="s">
        <v>1437</v>
      </c>
      <c r="E570" s="14" t="n">
        <v>3</v>
      </c>
      <c r="F570" s="15" t="s">
        <v>861</v>
      </c>
      <c r="G570" s="14" t="s">
        <v>127</v>
      </c>
      <c r="H570" s="14"/>
      <c r="I570" s="14" t="n">
        <f aca="false">IF(E570="","",IF(OR(AND(H570="Plan A",$C$5="B"),AND(H570="Plan B",$C$5="A")),0,IF(OR(G570="per student",G570="per group",G570="per class"),E570*IF(B570="Year 7",$C$3,$C$4),E570)))</f>
        <v>3</v>
      </c>
      <c r="J570" s="15"/>
      <c r="K570" s="14"/>
      <c r="L570" s="14" t="str">
        <f aca="false">IF(OR(K570="",O570&lt;&gt;"",I570=""),"",ROUNDUP(I570*K570,0))</f>
        <v/>
      </c>
      <c r="M570" s="15" t="s">
        <v>1831</v>
      </c>
      <c r="N570" s="14"/>
      <c r="O570" s="15"/>
      <c r="P570" s="15" t="s">
        <v>77</v>
      </c>
      <c r="Q570" s="15"/>
      <c r="R570" s="14"/>
    </row>
    <row r="571" customFormat="false" ht="23.85" hidden="false" customHeight="false" outlineLevel="0" collapsed="false">
      <c r="A571" s="14" t="n">
        <v>8</v>
      </c>
      <c r="B571" s="15" t="s">
        <v>153</v>
      </c>
      <c r="C571" s="15" t="s">
        <v>124</v>
      </c>
      <c r="D571" s="15" t="s">
        <v>1832</v>
      </c>
      <c r="E571" s="14" t="n">
        <v>10</v>
      </c>
      <c r="F571" s="15" t="s">
        <v>1833</v>
      </c>
      <c r="G571" s="14" t="s">
        <v>66</v>
      </c>
      <c r="H571" s="14"/>
      <c r="I571" s="14" t="n">
        <f aca="false">IF(E571="","",IF(OR(AND(H571="Plan A",$C$5="B"),AND(H571="Plan B",$C$5="A")),0,IF(OR(G571="per student",G571="per group",G571="per class"),E571*IF(B571="Year 7",$C$3,$C$4),E571)))</f>
        <v>10</v>
      </c>
      <c r="J571" s="15"/>
      <c r="K571" s="14"/>
      <c r="L571" s="14" t="str">
        <f aca="false">IF(OR(K571="",O571&lt;&gt;"",I571=""),"",ROUNDUP(I571*K571,0))</f>
        <v/>
      </c>
      <c r="M571" s="15" t="s">
        <v>1834</v>
      </c>
      <c r="N571" s="14"/>
      <c r="O571" s="15"/>
      <c r="P571" s="15" t="s">
        <v>77</v>
      </c>
      <c r="Q571" s="13" t="s">
        <v>1835</v>
      </c>
      <c r="R571" s="14"/>
    </row>
    <row r="572" customFormat="false" ht="15" hidden="false" customHeight="false" outlineLevel="0" collapsed="false">
      <c r="A572" s="14" t="n">
        <v>8</v>
      </c>
      <c r="B572" s="15" t="s">
        <v>153</v>
      </c>
      <c r="C572" s="15" t="s">
        <v>124</v>
      </c>
      <c r="D572" s="15" t="s">
        <v>1836</v>
      </c>
      <c r="E572" s="14" t="n">
        <v>2</v>
      </c>
      <c r="F572" s="15" t="s">
        <v>838</v>
      </c>
      <c r="G572" s="14" t="s">
        <v>66</v>
      </c>
      <c r="H572" s="14"/>
      <c r="I572" s="14" t="n">
        <f aca="false">IF(E572="","",IF(OR(AND(H572="Plan A",$C$5="B"),AND(H572="Plan B",$C$5="A")),0,IF(OR(G572="per student",G572="per group",G572="per class"),E572*IF(B572="Year 7",$C$3,$C$4),E572)))</f>
        <v>2</v>
      </c>
      <c r="J572" s="15"/>
      <c r="K572" s="14"/>
      <c r="L572" s="14" t="str">
        <f aca="false">IF(OR(K572="",O572&lt;&gt;"",I572=""),"",ROUNDUP(I572*K572,0))</f>
        <v/>
      </c>
      <c r="M572" s="15" t="s">
        <v>1837</v>
      </c>
      <c r="N572" s="14"/>
      <c r="O572" s="15"/>
      <c r="P572" s="15" t="s">
        <v>77</v>
      </c>
      <c r="Q572" s="13" t="s">
        <v>1838</v>
      </c>
      <c r="R572" s="14"/>
    </row>
    <row r="573" customFormat="false" ht="23.85" hidden="false" customHeight="false" outlineLevel="0" collapsed="false">
      <c r="A573" s="14" t="n">
        <v>8</v>
      </c>
      <c r="B573" s="15" t="s">
        <v>153</v>
      </c>
      <c r="C573" s="15" t="s">
        <v>124</v>
      </c>
      <c r="D573" s="15" t="s">
        <v>1839</v>
      </c>
      <c r="E573" s="14" t="n">
        <v>4</v>
      </c>
      <c r="F573" s="15" t="s">
        <v>663</v>
      </c>
      <c r="G573" s="14" t="s">
        <v>66</v>
      </c>
      <c r="H573" s="14"/>
      <c r="I573" s="14" t="n">
        <f aca="false">IF(E573="","",IF(OR(AND(H573="Plan A",$C$5="B"),AND(H573="Plan B",$C$5="A")),0,IF(OR(G573="per student",G573="per group",G573="per class"),E573*IF(B573="Year 7",$C$3,$C$4),E573)))</f>
        <v>4</v>
      </c>
      <c r="J573" s="15"/>
      <c r="K573" s="14"/>
      <c r="L573" s="14" t="str">
        <f aca="false">IF(OR(K573="",O573&lt;&gt;"",I573=""),"",ROUNDUP(I573*K573,0))</f>
        <v/>
      </c>
      <c r="M573" s="15" t="s">
        <v>1840</v>
      </c>
      <c r="N573" s="14"/>
      <c r="O573" s="15"/>
      <c r="P573" s="15" t="s">
        <v>77</v>
      </c>
      <c r="Q573" s="13" t="s">
        <v>1841</v>
      </c>
      <c r="R573" s="14"/>
    </row>
    <row r="574" customFormat="false" ht="23.85" hidden="false" customHeight="false" outlineLevel="0" collapsed="false">
      <c r="A574" s="14" t="n">
        <v>8</v>
      </c>
      <c r="B574" s="15" t="s">
        <v>153</v>
      </c>
      <c r="C574" s="15" t="s">
        <v>124</v>
      </c>
      <c r="D574" s="15" t="s">
        <v>1842</v>
      </c>
      <c r="E574" s="14" t="n">
        <v>4</v>
      </c>
      <c r="F574" s="15" t="s">
        <v>1843</v>
      </c>
      <c r="G574" s="14" t="s">
        <v>66</v>
      </c>
      <c r="H574" s="14"/>
      <c r="I574" s="14" t="n">
        <f aca="false">IF(E574="","",IF(OR(AND(H574="Plan A",$C$5="B"),AND(H574="Plan B",$C$5="A")),0,IF(OR(G574="per student",G574="per group",G574="per class"),E574*IF(B574="Year 7",$C$3,$C$4),E574)))</f>
        <v>4</v>
      </c>
      <c r="J574" s="15"/>
      <c r="K574" s="14"/>
      <c r="L574" s="14" t="str">
        <f aca="false">IF(OR(K574="",O574&lt;&gt;"",I574=""),"",ROUNDUP(I574*K574,0))</f>
        <v/>
      </c>
      <c r="M574" s="15" t="s">
        <v>1844</v>
      </c>
      <c r="N574" s="14"/>
      <c r="O574" s="15"/>
      <c r="P574" s="15" t="s">
        <v>77</v>
      </c>
      <c r="Q574" s="13" t="s">
        <v>1845</v>
      </c>
      <c r="R574" s="14"/>
    </row>
    <row r="575" customFormat="false" ht="23.85" hidden="false" customHeight="false" outlineLevel="0" collapsed="false">
      <c r="A575" s="14" t="n">
        <v>8</v>
      </c>
      <c r="B575" s="15" t="s">
        <v>153</v>
      </c>
      <c r="C575" s="15" t="s">
        <v>124</v>
      </c>
      <c r="D575" s="15" t="s">
        <v>1846</v>
      </c>
      <c r="E575" s="14"/>
      <c r="F575" s="15" t="s">
        <v>1847</v>
      </c>
      <c r="G575" s="14" t="s">
        <v>66</v>
      </c>
      <c r="H575" s="14"/>
      <c r="I575" s="14" t="str">
        <f aca="false">IF(E575="","",IF(OR(AND(H575="Plan A",$C$5="B"),AND(H575="Plan B",$C$5="A")),0,IF(OR(G575="per student",G575="per group",G575="per class"),E575*IF(B575="Year 7",$C$3,$C$4),E575)))</f>
        <v/>
      </c>
      <c r="J575" s="15"/>
      <c r="K575" s="14"/>
      <c r="L575" s="14" t="str">
        <f aca="false">IF(OR(K575="",O575&lt;&gt;"",I575=""),"",ROUNDUP(I575*K575,0))</f>
        <v/>
      </c>
      <c r="M575" s="15" t="s">
        <v>1848</v>
      </c>
      <c r="N575" s="14"/>
      <c r="O575" s="15"/>
      <c r="P575" s="13" t="s">
        <v>91</v>
      </c>
      <c r="Q575" s="13" t="s">
        <v>1849</v>
      </c>
      <c r="R575" s="14"/>
    </row>
    <row r="576" customFormat="false" ht="23.85" hidden="false" customHeight="false" outlineLevel="0" collapsed="false">
      <c r="A576" s="14" t="n">
        <v>8</v>
      </c>
      <c r="B576" s="15" t="s">
        <v>153</v>
      </c>
      <c r="C576" s="15" t="s">
        <v>124</v>
      </c>
      <c r="D576" s="15" t="s">
        <v>580</v>
      </c>
      <c r="E576" s="14" t="n">
        <v>4</v>
      </c>
      <c r="F576" s="15" t="s">
        <v>581</v>
      </c>
      <c r="G576" s="14" t="s">
        <v>66</v>
      </c>
      <c r="H576" s="14"/>
      <c r="I576" s="14" t="n">
        <f aca="false">IF(E576="","",IF(OR(AND(H576="Plan A",$C$5="B"),AND(H576="Plan B",$C$5="A")),0,IF(OR(G576="per student",G576="per group",G576="per class"),E576*IF(B576="Year 7",$C$3,$C$4),E576)))</f>
        <v>4</v>
      </c>
      <c r="J576" s="15"/>
      <c r="K576" s="14"/>
      <c r="L576" s="14" t="str">
        <f aca="false">IF(OR(K576="",O576&lt;&gt;"",I576=""),"",ROUNDUP(I576*K576,0))</f>
        <v/>
      </c>
      <c r="M576" s="15" t="s">
        <v>1850</v>
      </c>
      <c r="N576" s="14"/>
      <c r="O576" s="15"/>
      <c r="P576" s="15" t="s">
        <v>77</v>
      </c>
      <c r="Q576" s="13" t="s">
        <v>1851</v>
      </c>
      <c r="R576" s="14"/>
    </row>
    <row r="577" customFormat="false" ht="35.05" hidden="false" customHeight="false" outlineLevel="0" collapsed="false">
      <c r="A577" s="14" t="n">
        <v>8</v>
      </c>
      <c r="B577" s="15" t="s">
        <v>153</v>
      </c>
      <c r="C577" s="15" t="s">
        <v>124</v>
      </c>
      <c r="D577" s="15" t="s">
        <v>1852</v>
      </c>
      <c r="E577" s="14" t="n">
        <v>2</v>
      </c>
      <c r="F577" s="15" t="s">
        <v>830</v>
      </c>
      <c r="G577" s="14" t="s">
        <v>66</v>
      </c>
      <c r="H577" s="14"/>
      <c r="I577" s="14" t="n">
        <f aca="false">IF(E577="","",IF(OR(AND(H577="Plan A",$C$5="B"),AND(H577="Plan B",$C$5="A")),0,IF(OR(G577="per student",G577="per group",G577="per class"),E577*IF(B577="Year 7",$C$3,$C$4),E577)))</f>
        <v>2</v>
      </c>
      <c r="J577" s="15"/>
      <c r="K577" s="14"/>
      <c r="L577" s="14" t="str">
        <f aca="false">IF(OR(K577="",O577&lt;&gt;"",I577=""),"",ROUNDUP(I577*K577,0))</f>
        <v/>
      </c>
      <c r="M577" s="15" t="s">
        <v>1853</v>
      </c>
      <c r="N577" s="14" t="s">
        <v>105</v>
      </c>
      <c r="O577" s="15"/>
      <c r="P577" s="15" t="s">
        <v>77</v>
      </c>
      <c r="Q577" s="13" t="s">
        <v>1854</v>
      </c>
      <c r="R577" s="14"/>
    </row>
    <row r="578" customFormat="false" ht="15" hidden="false" customHeight="false" outlineLevel="0" collapsed="false">
      <c r="A578" s="14" t="n">
        <v>8</v>
      </c>
      <c r="B578" s="15" t="s">
        <v>153</v>
      </c>
      <c r="C578" s="15" t="s">
        <v>124</v>
      </c>
      <c r="D578" s="15" t="s">
        <v>1711</v>
      </c>
      <c r="E578" s="14"/>
      <c r="F578" s="15" t="s">
        <v>1855</v>
      </c>
      <c r="G578" s="14" t="s">
        <v>127</v>
      </c>
      <c r="H578" s="14"/>
      <c r="I578" s="14" t="str">
        <f aca="false">IF(E578="","",IF(OR(AND(H578="Plan A",$C$5="B"),AND(H578="Plan B",$C$5="A")),0,IF(OR(G578="per student",G578="per group",G578="per class"),E578*IF(B578="Year 7",$C$3,$C$4),E578)))</f>
        <v/>
      </c>
      <c r="J578" s="15"/>
      <c r="K578" s="14"/>
      <c r="L578" s="14" t="str">
        <f aca="false">IF(OR(K578="",O578&lt;&gt;"",I578=""),"",ROUNDUP(I578*K578,0))</f>
        <v/>
      </c>
      <c r="M578" s="15" t="s">
        <v>1856</v>
      </c>
      <c r="N578" s="14"/>
      <c r="O578" s="15"/>
      <c r="P578" s="13" t="s">
        <v>91</v>
      </c>
      <c r="Q578" s="13" t="s">
        <v>1857</v>
      </c>
      <c r="R578" s="14"/>
    </row>
    <row r="579" customFormat="false" ht="23.85" hidden="false" customHeight="false" outlineLevel="0" collapsed="false">
      <c r="A579" s="14" t="n">
        <v>8</v>
      </c>
      <c r="B579" s="15" t="s">
        <v>153</v>
      </c>
      <c r="C579" s="15" t="s">
        <v>124</v>
      </c>
      <c r="D579" s="15" t="s">
        <v>498</v>
      </c>
      <c r="E579" s="14"/>
      <c r="F579" s="15" t="s">
        <v>667</v>
      </c>
      <c r="G579" s="14" t="s">
        <v>127</v>
      </c>
      <c r="H579" s="14"/>
      <c r="I579" s="14" t="str">
        <f aca="false">IF(E579="","",IF(OR(AND(H579="Plan A",$C$5="B"),AND(H579="Plan B",$C$5="A")),0,IF(OR(G579="per student",G579="per group",G579="per class"),E579*IF(B579="Year 7",$C$3,$C$4),E579)))</f>
        <v/>
      </c>
      <c r="J579" s="15"/>
      <c r="K579" s="14"/>
      <c r="L579" s="14" t="str">
        <f aca="false">IF(OR(K579="",O579&lt;&gt;"",I579=""),"",ROUNDUP(I579*K579,0))</f>
        <v/>
      </c>
      <c r="M579" s="15" t="s">
        <v>1858</v>
      </c>
      <c r="N579" s="14"/>
      <c r="O579" s="15"/>
      <c r="P579" s="13" t="s">
        <v>91</v>
      </c>
      <c r="Q579" s="13" t="s">
        <v>1859</v>
      </c>
      <c r="R579" s="14"/>
    </row>
    <row r="580" customFormat="false" ht="23.85" hidden="false" customHeight="false" outlineLevel="0" collapsed="false">
      <c r="A580" s="14" t="n">
        <v>8</v>
      </c>
      <c r="B580" s="15" t="s">
        <v>153</v>
      </c>
      <c r="C580" s="15" t="s">
        <v>124</v>
      </c>
      <c r="D580" s="15" t="s">
        <v>1860</v>
      </c>
      <c r="E580" s="14" t="n">
        <v>1</v>
      </c>
      <c r="F580" s="15" t="s">
        <v>982</v>
      </c>
      <c r="G580" s="14" t="s">
        <v>127</v>
      </c>
      <c r="H580" s="14"/>
      <c r="I580" s="14" t="n">
        <f aca="false">IF(E580="","",IF(OR(AND(H580="Plan A",$C$5="B"),AND(H580="Plan B",$C$5="A")),0,IF(OR(G580="per student",G580="per group",G580="per class"),E580*IF(B580="Year 7",$C$3,$C$4),E580)))</f>
        <v>1</v>
      </c>
      <c r="J580" s="15"/>
      <c r="K580" s="14"/>
      <c r="L580" s="14" t="str">
        <f aca="false">IF(OR(K580="",O580&lt;&gt;"",I580=""),"",ROUNDUP(I580*K580,0))</f>
        <v/>
      </c>
      <c r="M580" s="15" t="s">
        <v>1861</v>
      </c>
      <c r="N580" s="14"/>
      <c r="O580" s="15"/>
      <c r="P580" s="15" t="s">
        <v>77</v>
      </c>
      <c r="Q580" s="15"/>
      <c r="R580" s="14"/>
    </row>
    <row r="581" customFormat="false" ht="15" hidden="false" customHeight="false" outlineLevel="0" collapsed="false">
      <c r="A581" s="14" t="n">
        <v>8</v>
      </c>
      <c r="B581" s="15" t="s">
        <v>153</v>
      </c>
      <c r="C581" s="15" t="s">
        <v>124</v>
      </c>
      <c r="D581" s="15" t="s">
        <v>1862</v>
      </c>
      <c r="E581" s="14"/>
      <c r="F581" s="15" t="s">
        <v>1863</v>
      </c>
      <c r="G581" s="14" t="s">
        <v>57</v>
      </c>
      <c r="H581" s="14"/>
      <c r="I581" s="14" t="str">
        <f aca="false">IF(E581="","",IF(OR(AND(H581="Plan A",$C$5="B"),AND(H581="Plan B",$C$5="A")),0,IF(OR(G581="per student",G581="per group",G581="per class"),E581*IF(B581="Year 7",$C$3,$C$4),E581)))</f>
        <v/>
      </c>
      <c r="J581" s="15"/>
      <c r="K581" s="14"/>
      <c r="L581" s="14" t="str">
        <f aca="false">IF(OR(K581="",O581&lt;&gt;"",I581=""),"",ROUNDUP(I581*K581,0))</f>
        <v/>
      </c>
      <c r="M581" s="15" t="s">
        <v>1864</v>
      </c>
      <c r="N581" s="14" t="s">
        <v>105</v>
      </c>
      <c r="O581" s="15"/>
      <c r="P581" s="13" t="s">
        <v>91</v>
      </c>
      <c r="Q581" s="13" t="s">
        <v>1865</v>
      </c>
      <c r="R581" s="14"/>
    </row>
    <row r="582" customFormat="false" ht="23.85" hidden="false" customHeight="false" outlineLevel="0" collapsed="false">
      <c r="A582" s="14" t="n">
        <v>8</v>
      </c>
      <c r="B582" s="15" t="s">
        <v>153</v>
      </c>
      <c r="C582" s="15" t="s">
        <v>124</v>
      </c>
      <c r="D582" s="15" t="s">
        <v>1866</v>
      </c>
      <c r="E582" s="14" t="n">
        <v>5</v>
      </c>
      <c r="F582" s="15" t="s">
        <v>845</v>
      </c>
      <c r="G582" s="14" t="s">
        <v>57</v>
      </c>
      <c r="H582" s="14"/>
      <c r="I582" s="14" t="n">
        <f aca="false">IF(E582="","",IF(OR(AND(H582="Plan A",$C$5="B"),AND(H582="Plan B",$C$5="A")),0,IF(OR(G582="per student",G582="per group",G582="per class"),E582*IF(B582="Year 7",$C$3,$C$4),E582)))</f>
        <v>5</v>
      </c>
      <c r="J582" s="15"/>
      <c r="K582" s="14"/>
      <c r="L582" s="14" t="str">
        <f aca="false">IF(OR(K582="",O582&lt;&gt;"",I582=""),"",ROUNDUP(I582*K582,0))</f>
        <v/>
      </c>
      <c r="M582" s="15" t="s">
        <v>1867</v>
      </c>
      <c r="N582" s="14"/>
      <c r="O582" s="15"/>
      <c r="P582" s="15" t="s">
        <v>77</v>
      </c>
      <c r="Q582" s="13" t="s">
        <v>1868</v>
      </c>
      <c r="R582" s="14"/>
    </row>
    <row r="583" customFormat="false" ht="23.85" hidden="false" customHeight="false" outlineLevel="0" collapsed="false">
      <c r="A583" s="14" t="n">
        <v>8</v>
      </c>
      <c r="B583" s="15" t="s">
        <v>153</v>
      </c>
      <c r="C583" s="15" t="s">
        <v>124</v>
      </c>
      <c r="D583" s="15" t="s">
        <v>125</v>
      </c>
      <c r="E583" s="14" t="n">
        <v>1</v>
      </c>
      <c r="F583" s="15" t="s">
        <v>267</v>
      </c>
      <c r="G583" s="14" t="s">
        <v>127</v>
      </c>
      <c r="H583" s="14"/>
      <c r="I583" s="14" t="n">
        <f aca="false">IF(E583="","",IF(OR(AND(H583="Plan A",$C$5="B"),AND(H583="Plan B",$C$5="A")),0,IF(OR(G583="per student",G583="per group",G583="per class"),E583*IF(B583="Year 7",$C$3,$C$4),E583)))</f>
        <v>1</v>
      </c>
      <c r="J583" s="15"/>
      <c r="K583" s="14"/>
      <c r="L583" s="14" t="str">
        <f aca="false">IF(OR(K583="",O583&lt;&gt;"",I583=""),"",ROUNDUP(I583*K583,0))</f>
        <v/>
      </c>
      <c r="M583" s="15" t="s">
        <v>1555</v>
      </c>
      <c r="N583" s="14"/>
      <c r="O583" s="15" t="s">
        <v>855</v>
      </c>
      <c r="P583" s="15" t="s">
        <v>376</v>
      </c>
      <c r="Q583" s="15"/>
      <c r="R583" s="14"/>
    </row>
    <row r="584" customFormat="false" ht="35.05" hidden="false" customHeight="false" outlineLevel="0" collapsed="false">
      <c r="A584" s="14" t="n">
        <v>8</v>
      </c>
      <c r="B584" s="15" t="s">
        <v>153</v>
      </c>
      <c r="C584" s="15" t="s">
        <v>124</v>
      </c>
      <c r="D584" s="15" t="s">
        <v>1869</v>
      </c>
      <c r="E584" s="14" t="n">
        <v>1</v>
      </c>
      <c r="F584" s="15" t="s">
        <v>1870</v>
      </c>
      <c r="G584" s="14" t="s">
        <v>127</v>
      </c>
      <c r="H584" s="14"/>
      <c r="I584" s="14" t="n">
        <f aca="false">IF(E584="","",IF(OR(AND(H584="Plan A",$C$5="B"),AND(H584="Plan B",$C$5="A")),0,IF(OR(G584="per student",G584="per group",G584="per class"),E584*IF(B584="Year 7",$C$3,$C$4),E584)))</f>
        <v>1</v>
      </c>
      <c r="J584" s="15"/>
      <c r="K584" s="14"/>
      <c r="L584" s="14" t="str">
        <f aca="false">IF(OR(K584="",O584&lt;&gt;"",I584=""),"",ROUNDUP(I584*K584,0))</f>
        <v/>
      </c>
      <c r="M584" s="15" t="s">
        <v>1871</v>
      </c>
      <c r="N584" s="14"/>
      <c r="O584" s="15"/>
      <c r="P584" s="15" t="s">
        <v>138</v>
      </c>
      <c r="Q584" s="13" t="s">
        <v>1872</v>
      </c>
      <c r="R584" s="14"/>
    </row>
    <row r="585" customFormat="false" ht="23.85" hidden="false" customHeight="false" outlineLevel="0" collapsed="false">
      <c r="A585" s="14" t="n">
        <v>8</v>
      </c>
      <c r="B585" s="15" t="s">
        <v>153</v>
      </c>
      <c r="C585" s="15" t="s">
        <v>124</v>
      </c>
      <c r="D585" s="15" t="s">
        <v>1873</v>
      </c>
      <c r="E585" s="14"/>
      <c r="F585" s="15" t="s">
        <v>1874</v>
      </c>
      <c r="G585" s="14" t="s">
        <v>75</v>
      </c>
      <c r="H585" s="14"/>
      <c r="I585" s="14" t="str">
        <f aca="false">IF(E585="","",IF(OR(AND(H585="Plan A",$C$5="B"),AND(H585="Plan B",$C$5="A")),0,IF(OR(G585="per student",G585="per group",G585="per class"),E585*IF(B585="Year 7",$C$3,$C$4),E585)))</f>
        <v/>
      </c>
      <c r="J585" s="15"/>
      <c r="K585" s="14"/>
      <c r="L585" s="14" t="str">
        <f aca="false">IF(OR(K585="",O585&lt;&gt;"",I585=""),"",ROUNDUP(I585*K585,0))</f>
        <v/>
      </c>
      <c r="M585" s="15" t="s">
        <v>1875</v>
      </c>
      <c r="N585" s="14"/>
      <c r="O585" s="15"/>
      <c r="P585" s="15" t="s">
        <v>133</v>
      </c>
      <c r="Q585" s="15"/>
      <c r="R585" s="14"/>
    </row>
    <row r="586" customFormat="false" ht="57.45" hidden="false" customHeight="false" outlineLevel="0" collapsed="false">
      <c r="A586" s="14" t="n">
        <v>8</v>
      </c>
      <c r="B586" s="15" t="s">
        <v>153</v>
      </c>
      <c r="C586" s="15" t="s">
        <v>294</v>
      </c>
      <c r="D586" s="15" t="s">
        <v>1876</v>
      </c>
      <c r="E586" s="14"/>
      <c r="F586" s="15" t="s">
        <v>1877</v>
      </c>
      <c r="G586" s="14" t="s">
        <v>127</v>
      </c>
      <c r="H586" s="14"/>
      <c r="I586" s="14" t="str">
        <f aca="false">IF(E586="","",IF(OR(AND(H586="Plan A",$C$5="B"),AND(H586="Plan B",$C$5="A")),0,IF(OR(G586="per student",G586="per group",G586="per class"),E586*IF(B586="Year 7",$C$3,$C$4),E586)))</f>
        <v/>
      </c>
      <c r="J586" s="15"/>
      <c r="K586" s="14"/>
      <c r="L586" s="14" t="str">
        <f aca="false">IF(OR(K586="",O586&lt;&gt;"",I586=""),"",ROUNDUP(I586*K586,0))</f>
        <v/>
      </c>
      <c r="M586" s="15" t="s">
        <v>1878</v>
      </c>
      <c r="N586" s="14"/>
      <c r="O586" s="15"/>
      <c r="P586" s="15" t="s">
        <v>133</v>
      </c>
      <c r="Q586" s="13" t="s">
        <v>1879</v>
      </c>
      <c r="R586" s="14"/>
    </row>
    <row r="587" customFormat="false" ht="23.85" hidden="false" customHeight="false" outlineLevel="0" collapsed="false">
      <c r="A587" s="14" t="n">
        <v>8</v>
      </c>
      <c r="B587" s="15" t="s">
        <v>153</v>
      </c>
      <c r="C587" s="15" t="s">
        <v>294</v>
      </c>
      <c r="D587" s="15" t="s">
        <v>1880</v>
      </c>
      <c r="E587" s="14"/>
      <c r="F587" s="15" t="s">
        <v>1863</v>
      </c>
      <c r="G587" s="14" t="s">
        <v>127</v>
      </c>
      <c r="H587" s="14"/>
      <c r="I587" s="14" t="str">
        <f aca="false">IF(E587="","",IF(OR(AND(H587="Plan A",$C$5="B"),AND(H587="Plan B",$C$5="A")),0,IF(OR(G587="per student",G587="per group",G587="per class"),E587*IF(B587="Year 7",$C$3,$C$4),E587)))</f>
        <v/>
      </c>
      <c r="J587" s="15"/>
      <c r="K587" s="14"/>
      <c r="L587" s="14" t="str">
        <f aca="false">IF(OR(K587="",O587&lt;&gt;"",I587=""),"",ROUNDUP(I587*K587,0))</f>
        <v/>
      </c>
      <c r="M587" s="15" t="s">
        <v>1881</v>
      </c>
      <c r="N587" s="14"/>
      <c r="O587" s="15"/>
      <c r="P587" s="13" t="s">
        <v>91</v>
      </c>
      <c r="Q587" s="13" t="s">
        <v>1882</v>
      </c>
      <c r="R587" s="14"/>
    </row>
    <row r="588" customFormat="false" ht="23.85" hidden="false" customHeight="false" outlineLevel="0" collapsed="false">
      <c r="A588" s="14" t="n">
        <v>8</v>
      </c>
      <c r="B588" s="15" t="s">
        <v>153</v>
      </c>
      <c r="C588" s="15" t="s">
        <v>294</v>
      </c>
      <c r="D588" s="15" t="s">
        <v>1883</v>
      </c>
      <c r="E588" s="14" t="n">
        <v>2</v>
      </c>
      <c r="F588" s="15" t="s">
        <v>397</v>
      </c>
      <c r="G588" s="14" t="s">
        <v>66</v>
      </c>
      <c r="H588" s="14"/>
      <c r="I588" s="14" t="n">
        <f aca="false">IF(E588="","",IF(OR(AND(H588="Plan A",$C$5="B"),AND(H588="Plan B",$C$5="A")),0,IF(OR(G588="per student",G588="per group",G588="per class"),E588*IF(B588="Year 7",$C$3,$C$4),E588)))</f>
        <v>2</v>
      </c>
      <c r="J588" s="15"/>
      <c r="K588" s="14"/>
      <c r="L588" s="14" t="str">
        <f aca="false">IF(OR(K588="",O588&lt;&gt;"",I588=""),"",ROUNDUP(I588*K588,0))</f>
        <v/>
      </c>
      <c r="M588" s="15" t="s">
        <v>1884</v>
      </c>
      <c r="N588" s="14"/>
      <c r="O588" s="15"/>
      <c r="P588" s="15" t="s">
        <v>77</v>
      </c>
      <c r="Q588" s="13" t="s">
        <v>1885</v>
      </c>
      <c r="R588" s="14"/>
    </row>
    <row r="589" customFormat="false" ht="23.85" hidden="false" customHeight="false" outlineLevel="0" collapsed="false">
      <c r="A589" s="14" t="n">
        <v>8</v>
      </c>
      <c r="B589" s="15" t="s">
        <v>153</v>
      </c>
      <c r="C589" s="15" t="s">
        <v>294</v>
      </c>
      <c r="D589" s="15" t="s">
        <v>1886</v>
      </c>
      <c r="E589" s="14" t="n">
        <v>2</v>
      </c>
      <c r="F589" s="15" t="s">
        <v>1887</v>
      </c>
      <c r="G589" s="14" t="s">
        <v>66</v>
      </c>
      <c r="H589" s="14"/>
      <c r="I589" s="14" t="n">
        <f aca="false">IF(E589="","",IF(OR(AND(H589="Plan A",$C$5="B"),AND(H589="Plan B",$C$5="A")),0,IF(OR(G589="per student",G589="per group",G589="per class"),E589*IF(B589="Year 7",$C$3,$C$4),E589)))</f>
        <v>2</v>
      </c>
      <c r="J589" s="15"/>
      <c r="K589" s="14"/>
      <c r="L589" s="14" t="str">
        <f aca="false">IF(OR(K589="",O589&lt;&gt;"",I589=""),"",ROUNDUP(I589*K589,0))</f>
        <v/>
      </c>
      <c r="M589" s="15" t="s">
        <v>1888</v>
      </c>
      <c r="N589" s="14"/>
      <c r="O589" s="15"/>
      <c r="P589" s="15" t="s">
        <v>77</v>
      </c>
      <c r="Q589" s="13" t="s">
        <v>1889</v>
      </c>
      <c r="R589" s="14"/>
    </row>
    <row r="590" customFormat="false" ht="23.85" hidden="false" customHeight="false" outlineLevel="0" collapsed="false">
      <c r="A590" s="14" t="n">
        <v>8</v>
      </c>
      <c r="B590" s="15" t="s">
        <v>153</v>
      </c>
      <c r="C590" s="15" t="s">
        <v>294</v>
      </c>
      <c r="D590" s="15" t="s">
        <v>1890</v>
      </c>
      <c r="E590" s="14" t="n">
        <v>2</v>
      </c>
      <c r="F590" s="15" t="s">
        <v>397</v>
      </c>
      <c r="G590" s="14" t="s">
        <v>66</v>
      </c>
      <c r="H590" s="14"/>
      <c r="I590" s="14" t="n">
        <f aca="false">IF(E590="","",IF(OR(AND(H590="Plan A",$C$5="B"),AND(H590="Plan B",$C$5="A")),0,IF(OR(G590="per student",G590="per group",G590="per class"),E590*IF(B590="Year 7",$C$3,$C$4),E590)))</f>
        <v>2</v>
      </c>
      <c r="J590" s="15"/>
      <c r="K590" s="14"/>
      <c r="L590" s="14" t="str">
        <f aca="false">IF(OR(K590="",O590&lt;&gt;"",I590=""),"",ROUNDUP(I590*K590,0))</f>
        <v/>
      </c>
      <c r="M590" s="15" t="s">
        <v>1891</v>
      </c>
      <c r="N590" s="14"/>
      <c r="O590" s="15" t="s">
        <v>1892</v>
      </c>
      <c r="P590" s="13" t="s">
        <v>91</v>
      </c>
      <c r="Q590" s="13" t="s">
        <v>1893</v>
      </c>
      <c r="R590" s="14"/>
    </row>
    <row r="591" customFormat="false" ht="15" hidden="false" customHeight="false" outlineLevel="0" collapsed="false">
      <c r="A591" s="14" t="n">
        <v>8</v>
      </c>
      <c r="B591" s="15" t="s">
        <v>153</v>
      </c>
      <c r="C591" s="15" t="s">
        <v>294</v>
      </c>
      <c r="D591" s="15" t="s">
        <v>1894</v>
      </c>
      <c r="E591" s="14" t="n">
        <v>2</v>
      </c>
      <c r="F591" s="15" t="s">
        <v>1895</v>
      </c>
      <c r="G591" s="14" t="s">
        <v>66</v>
      </c>
      <c r="H591" s="14"/>
      <c r="I591" s="14" t="n">
        <f aca="false">IF(E591="","",IF(OR(AND(H591="Plan A",$C$5="B"),AND(H591="Plan B",$C$5="A")),0,IF(OR(G591="per student",G591="per group",G591="per class"),E591*IF(B591="Year 7",$C$3,$C$4),E591)))</f>
        <v>2</v>
      </c>
      <c r="J591" s="15"/>
      <c r="K591" s="14"/>
      <c r="L591" s="14" t="str">
        <f aca="false">IF(OR(K591="",O591&lt;&gt;"",I591=""),"",ROUNDUP(I591*K591,0))</f>
        <v/>
      </c>
      <c r="M591" s="15" t="s">
        <v>1896</v>
      </c>
      <c r="N591" s="14"/>
      <c r="O591" s="15"/>
      <c r="P591" s="15" t="s">
        <v>77</v>
      </c>
      <c r="Q591" s="13" t="s">
        <v>1897</v>
      </c>
      <c r="R591" s="14"/>
    </row>
    <row r="592" customFormat="false" ht="23.85" hidden="false" customHeight="false" outlineLevel="0" collapsed="false">
      <c r="A592" s="14" t="n">
        <v>8</v>
      </c>
      <c r="B592" s="15" t="s">
        <v>153</v>
      </c>
      <c r="C592" s="15" t="s">
        <v>294</v>
      </c>
      <c r="D592" s="15" t="s">
        <v>1898</v>
      </c>
      <c r="E592" s="14" t="n">
        <v>6</v>
      </c>
      <c r="F592" s="15" t="s">
        <v>1899</v>
      </c>
      <c r="G592" s="14" t="s">
        <v>66</v>
      </c>
      <c r="H592" s="14"/>
      <c r="I592" s="14" t="n">
        <f aca="false">IF(E592="","",IF(OR(AND(H592="Plan A",$C$5="B"),AND(H592="Plan B",$C$5="A")),0,IF(OR(G592="per student",G592="per group",G592="per class"),E592*IF(B592="Year 7",$C$3,$C$4),E592)))</f>
        <v>6</v>
      </c>
      <c r="J592" s="15"/>
      <c r="K592" s="14"/>
      <c r="L592" s="14" t="str">
        <f aca="false">IF(OR(K592="",O592&lt;&gt;"",I592=""),"",ROUNDUP(I592*K592,0))</f>
        <v/>
      </c>
      <c r="M592" s="15" t="s">
        <v>1900</v>
      </c>
      <c r="N592" s="14"/>
      <c r="O592" s="15"/>
      <c r="P592" s="15" t="s">
        <v>77</v>
      </c>
      <c r="Q592" s="13" t="s">
        <v>1901</v>
      </c>
      <c r="R592" s="14"/>
    </row>
    <row r="593" customFormat="false" ht="23.85" hidden="false" customHeight="false" outlineLevel="0" collapsed="false">
      <c r="A593" s="14" t="n">
        <v>8</v>
      </c>
      <c r="B593" s="15" t="s">
        <v>153</v>
      </c>
      <c r="C593" s="15" t="s">
        <v>294</v>
      </c>
      <c r="D593" s="15" t="s">
        <v>870</v>
      </c>
      <c r="E593" s="14" t="n">
        <v>180</v>
      </c>
      <c r="F593" s="15" t="s">
        <v>1902</v>
      </c>
      <c r="G593" s="14" t="s">
        <v>127</v>
      </c>
      <c r="H593" s="14"/>
      <c r="I593" s="14" t="n">
        <f aca="false">IF(E593="","",IF(OR(AND(H593="Plan A",$C$5="B"),AND(H593="Plan B",$C$5="A")),0,IF(OR(G593="per student",G593="per group",G593="per class"),E593*IF(B593="Year 7",$C$3,$C$4),E593)))</f>
        <v>180</v>
      </c>
      <c r="J593" s="15"/>
      <c r="K593" s="14"/>
      <c r="L593" s="14" t="str">
        <f aca="false">IF(OR(K593="",O593&lt;&gt;"",I593=""),"",ROUNDUP(I593*K593,0))</f>
        <v/>
      </c>
      <c r="M593" s="15" t="s">
        <v>1903</v>
      </c>
      <c r="N593" s="14"/>
      <c r="O593" s="15"/>
      <c r="P593" s="15" t="s">
        <v>77</v>
      </c>
      <c r="Q593" s="13" t="s">
        <v>1904</v>
      </c>
      <c r="R593" s="14"/>
    </row>
    <row r="594" customFormat="false" ht="35.05" hidden="false" customHeight="false" outlineLevel="0" collapsed="false">
      <c r="A594" s="14" t="n">
        <v>8</v>
      </c>
      <c r="B594" s="15" t="s">
        <v>153</v>
      </c>
      <c r="C594" s="15" t="s">
        <v>294</v>
      </c>
      <c r="D594" s="15" t="s">
        <v>860</v>
      </c>
      <c r="E594" s="14" t="n">
        <v>7</v>
      </c>
      <c r="F594" s="15" t="s">
        <v>1905</v>
      </c>
      <c r="G594" s="14" t="s">
        <v>127</v>
      </c>
      <c r="H594" s="14"/>
      <c r="I594" s="14" t="n">
        <f aca="false">IF(E594="","",IF(OR(AND(H594="Plan A",$C$5="B"),AND(H594="Plan B",$C$5="A")),0,IF(OR(G594="per student",G594="per group",G594="per class"),E594*IF(B594="Year 7",$C$3,$C$4),E594)))</f>
        <v>7</v>
      </c>
      <c r="J594" s="15"/>
      <c r="K594" s="14"/>
      <c r="L594" s="14" t="str">
        <f aca="false">IF(OR(K594="",O594&lt;&gt;"",I594=""),"",ROUNDUP(I594*K594,0))</f>
        <v/>
      </c>
      <c r="M594" s="15" t="s">
        <v>1906</v>
      </c>
      <c r="N594" s="14"/>
      <c r="O594" s="15"/>
      <c r="P594" s="15" t="s">
        <v>77</v>
      </c>
      <c r="Q594" s="13" t="s">
        <v>1907</v>
      </c>
      <c r="R594" s="14"/>
    </row>
    <row r="595" customFormat="false" ht="23.85" hidden="false" customHeight="false" outlineLevel="0" collapsed="false">
      <c r="A595" s="14" t="n">
        <v>8</v>
      </c>
      <c r="B595" s="15" t="s">
        <v>153</v>
      </c>
      <c r="C595" s="15" t="s">
        <v>294</v>
      </c>
      <c r="D595" s="15" t="s">
        <v>310</v>
      </c>
      <c r="E595" s="14" t="n">
        <v>12</v>
      </c>
      <c r="F595" s="15" t="s">
        <v>1905</v>
      </c>
      <c r="G595" s="14" t="s">
        <v>66</v>
      </c>
      <c r="H595" s="14"/>
      <c r="I595" s="14" t="n">
        <f aca="false">IF(E595="","",IF(OR(AND(H595="Plan A",$C$5="B"),AND(H595="Plan B",$C$5="A")),0,IF(OR(G595="per student",G595="per group",G595="per class"),E595*IF(B595="Year 7",$C$3,$C$4),E595)))</f>
        <v>12</v>
      </c>
      <c r="J595" s="15"/>
      <c r="K595" s="14"/>
      <c r="L595" s="14" t="str">
        <f aca="false">IF(OR(K595="",O595&lt;&gt;"",I595=""),"",ROUNDUP(I595*K595,0))</f>
        <v/>
      </c>
      <c r="M595" s="15" t="s">
        <v>1908</v>
      </c>
      <c r="N595" s="14"/>
      <c r="O595" s="15"/>
      <c r="P595" s="15" t="s">
        <v>77</v>
      </c>
      <c r="Q595" s="13" t="s">
        <v>1909</v>
      </c>
      <c r="R595" s="14"/>
    </row>
    <row r="596" customFormat="false" ht="15" hidden="false" customHeight="false" outlineLevel="0" collapsed="false">
      <c r="A596" s="14" t="n">
        <v>8</v>
      </c>
      <c r="B596" s="15" t="s">
        <v>153</v>
      </c>
      <c r="C596" s="15" t="s">
        <v>294</v>
      </c>
      <c r="D596" s="15" t="s">
        <v>866</v>
      </c>
      <c r="E596" s="14" t="n">
        <v>2</v>
      </c>
      <c r="F596" s="15" t="s">
        <v>1905</v>
      </c>
      <c r="G596" s="14" t="s">
        <v>66</v>
      </c>
      <c r="H596" s="14"/>
      <c r="I596" s="14" t="n">
        <f aca="false">IF(E596="","",IF(OR(AND(H596="Plan A",$C$5="B"),AND(H596="Plan B",$C$5="A")),0,IF(OR(G596="per student",G596="per group",G596="per class"),E596*IF(B596="Year 7",$C$3,$C$4),E596)))</f>
        <v>2</v>
      </c>
      <c r="J596" s="15"/>
      <c r="K596" s="14"/>
      <c r="L596" s="14" t="str">
        <f aca="false">IF(OR(K596="",O596&lt;&gt;"",I596=""),"",ROUNDUP(I596*K596,0))</f>
        <v/>
      </c>
      <c r="M596" s="15" t="s">
        <v>1910</v>
      </c>
      <c r="N596" s="14"/>
      <c r="O596" s="15"/>
      <c r="P596" s="15" t="s">
        <v>77</v>
      </c>
      <c r="Q596" s="13" t="s">
        <v>1911</v>
      </c>
      <c r="R596" s="14"/>
    </row>
    <row r="597" customFormat="false" ht="15" hidden="false" customHeight="false" outlineLevel="0" collapsed="false">
      <c r="A597" s="14" t="n">
        <v>8</v>
      </c>
      <c r="B597" s="15" t="s">
        <v>153</v>
      </c>
      <c r="C597" s="15" t="s">
        <v>294</v>
      </c>
      <c r="D597" s="15" t="s">
        <v>868</v>
      </c>
      <c r="E597" s="14" t="n">
        <v>2</v>
      </c>
      <c r="F597" s="15" t="s">
        <v>1905</v>
      </c>
      <c r="G597" s="14" t="s">
        <v>66</v>
      </c>
      <c r="H597" s="14"/>
      <c r="I597" s="14" t="n">
        <f aca="false">IF(E597="","",IF(OR(AND(H597="Plan A",$C$5="B"),AND(H597="Plan B",$C$5="A")),0,IF(OR(G597="per student",G597="per group",G597="per class"),E597*IF(B597="Year 7",$C$3,$C$4),E597)))</f>
        <v>2</v>
      </c>
      <c r="J597" s="15"/>
      <c r="K597" s="14"/>
      <c r="L597" s="14" t="str">
        <f aca="false">IF(OR(K597="",O597&lt;&gt;"",I597=""),"",ROUNDUP(I597*K597,0))</f>
        <v/>
      </c>
      <c r="M597" s="15" t="s">
        <v>1912</v>
      </c>
      <c r="N597" s="14"/>
      <c r="O597" s="15"/>
      <c r="P597" s="15" t="s">
        <v>77</v>
      </c>
      <c r="Q597" s="13" t="s">
        <v>1913</v>
      </c>
      <c r="R597" s="14"/>
    </row>
    <row r="598" customFormat="false" ht="46.25" hidden="false" customHeight="false" outlineLevel="0" collapsed="false">
      <c r="A598" s="14" t="n">
        <v>8</v>
      </c>
      <c r="B598" s="15" t="s">
        <v>153</v>
      </c>
      <c r="C598" s="15" t="s">
        <v>144</v>
      </c>
      <c r="D598" s="15" t="s">
        <v>1914</v>
      </c>
      <c r="E598" s="14" t="n">
        <v>6</v>
      </c>
      <c r="F598" s="15" t="s">
        <v>296</v>
      </c>
      <c r="G598" s="14" t="s">
        <v>57</v>
      </c>
      <c r="H598" s="14"/>
      <c r="I598" s="14" t="n">
        <f aca="false">IF(E598="","",IF(OR(AND(H598="Plan A",$C$5="B"),AND(H598="Plan B",$C$5="A")),0,IF(OR(G598="per student",G598="per group",G598="per class"),E598*IF(B598="Year 7",$C$3,$C$4),E598)))</f>
        <v>6</v>
      </c>
      <c r="J598" s="15"/>
      <c r="K598" s="14"/>
      <c r="L598" s="14" t="str">
        <f aca="false">IF(OR(K598="",O598&lt;&gt;"",I598=""),"",ROUNDUP(I598*K598,0))</f>
        <v/>
      </c>
      <c r="M598" s="15" t="s">
        <v>1915</v>
      </c>
      <c r="N598" s="14"/>
      <c r="O598" s="15"/>
      <c r="P598" s="15" t="s">
        <v>77</v>
      </c>
      <c r="Q598" s="13" t="s">
        <v>1916</v>
      </c>
      <c r="R598" s="14"/>
    </row>
    <row r="599" customFormat="false" ht="23.85" hidden="false" customHeight="false" outlineLevel="0" collapsed="false">
      <c r="A599" s="14" t="n">
        <v>8</v>
      </c>
      <c r="B599" s="15" t="s">
        <v>153</v>
      </c>
      <c r="C599" s="15" t="s">
        <v>144</v>
      </c>
      <c r="D599" s="15" t="s">
        <v>1917</v>
      </c>
      <c r="E599" s="14" t="n">
        <v>14</v>
      </c>
      <c r="F599" s="15" t="s">
        <v>1790</v>
      </c>
      <c r="G599" s="14" t="s">
        <v>66</v>
      </c>
      <c r="H599" s="14"/>
      <c r="I599" s="14" t="n">
        <f aca="false">IF(E599="","",IF(OR(AND(H599="Plan A",$C$5="B"),AND(H599="Plan B",$C$5="A")),0,IF(OR(G599="per student",G599="per group",G599="per class"),E599*IF(B599="Year 7",$C$3,$C$4),E599)))</f>
        <v>14</v>
      </c>
      <c r="J599" s="15"/>
      <c r="K599" s="14"/>
      <c r="L599" s="14" t="str">
        <f aca="false">IF(OR(K599="",O599&lt;&gt;"",I599=""),"",ROUNDUP(I599*K599,0))</f>
        <v/>
      </c>
      <c r="M599" s="15" t="s">
        <v>1918</v>
      </c>
      <c r="N599" s="14"/>
      <c r="O599" s="15"/>
      <c r="P599" s="15" t="s">
        <v>77</v>
      </c>
      <c r="Q599" s="13" t="s">
        <v>1919</v>
      </c>
      <c r="R599" s="14"/>
    </row>
    <row r="600" customFormat="false" ht="35.05" hidden="false" customHeight="false" outlineLevel="0" collapsed="false">
      <c r="A600" s="14" t="n">
        <v>8</v>
      </c>
      <c r="B600" s="15" t="s">
        <v>153</v>
      </c>
      <c r="C600" s="15" t="s">
        <v>144</v>
      </c>
      <c r="D600" s="15" t="s">
        <v>1920</v>
      </c>
      <c r="E600" s="14" t="n">
        <v>8</v>
      </c>
      <c r="F600" s="15" t="s">
        <v>1921</v>
      </c>
      <c r="G600" s="14" t="s">
        <v>57</v>
      </c>
      <c r="H600" s="14"/>
      <c r="I600" s="14" t="n">
        <f aca="false">IF(E600="","",IF(OR(AND(H600="Plan A",$C$5="B"),AND(H600="Plan B",$C$5="A")),0,IF(OR(G600="per student",G600="per group",G600="per class"),E600*IF(B600="Year 7",$C$3,$C$4),E600)))</f>
        <v>8</v>
      </c>
      <c r="J600" s="15"/>
      <c r="K600" s="14"/>
      <c r="L600" s="14" t="str">
        <f aca="false">IF(OR(K600="",O600&lt;&gt;"",I600=""),"",ROUNDUP(I600*K600,0))</f>
        <v/>
      </c>
      <c r="M600" s="15" t="s">
        <v>1922</v>
      </c>
      <c r="N600" s="14"/>
      <c r="O600" s="15"/>
      <c r="P600" s="15" t="s">
        <v>77</v>
      </c>
      <c r="Q600" s="13" t="s">
        <v>1923</v>
      </c>
      <c r="R600" s="14"/>
    </row>
    <row r="601" customFormat="false" ht="35.05" hidden="false" customHeight="false" outlineLevel="0" collapsed="false">
      <c r="A601" s="14" t="n">
        <v>8</v>
      </c>
      <c r="B601" s="15" t="s">
        <v>153</v>
      </c>
      <c r="C601" s="15" t="s">
        <v>144</v>
      </c>
      <c r="D601" s="15" t="s">
        <v>1924</v>
      </c>
      <c r="E601" s="14" t="n">
        <v>2</v>
      </c>
      <c r="F601" s="15" t="s">
        <v>841</v>
      </c>
      <c r="G601" s="14" t="s">
        <v>66</v>
      </c>
      <c r="H601" s="14"/>
      <c r="I601" s="14" t="n">
        <f aca="false">IF(E601="","",IF(OR(AND(H601="Plan A",$C$5="B"),AND(H601="Plan B",$C$5="A")),0,IF(OR(G601="per student",G601="per group",G601="per class"),E601*IF(B601="Year 7",$C$3,$C$4),E601)))</f>
        <v>2</v>
      </c>
      <c r="J601" s="15"/>
      <c r="K601" s="14"/>
      <c r="L601" s="14" t="str">
        <f aca="false">IF(OR(K601="",O601&lt;&gt;"",I601=""),"",ROUNDUP(I601*K601,0))</f>
        <v/>
      </c>
      <c r="M601" s="15" t="s">
        <v>1925</v>
      </c>
      <c r="N601" s="14"/>
      <c r="O601" s="15"/>
      <c r="P601" s="15" t="s">
        <v>77</v>
      </c>
      <c r="Q601" s="13" t="s">
        <v>1926</v>
      </c>
      <c r="R601" s="14"/>
    </row>
    <row r="602" customFormat="false" ht="46.25" hidden="false" customHeight="false" outlineLevel="0" collapsed="false">
      <c r="A602" s="14" t="n">
        <v>8</v>
      </c>
      <c r="B602" s="15" t="s">
        <v>153</v>
      </c>
      <c r="C602" s="15" t="s">
        <v>144</v>
      </c>
      <c r="D602" s="15" t="s">
        <v>1927</v>
      </c>
      <c r="E602" s="14" t="n">
        <v>2</v>
      </c>
      <c r="F602" s="15" t="s">
        <v>373</v>
      </c>
      <c r="G602" s="14" t="s">
        <v>66</v>
      </c>
      <c r="H602" s="14"/>
      <c r="I602" s="14" t="n">
        <f aca="false">IF(E602="","",IF(OR(AND(H602="Plan A",$C$5="B"),AND(H602="Plan B",$C$5="A")),0,IF(OR(G602="per student",G602="per group",G602="per class"),E602*IF(B602="Year 7",$C$3,$C$4),E602)))</f>
        <v>2</v>
      </c>
      <c r="J602" s="15"/>
      <c r="K602" s="14"/>
      <c r="L602" s="14" t="str">
        <f aca="false">IF(OR(K602="",O602&lt;&gt;"",I602=""),"",ROUNDUP(I602*K602,0))</f>
        <v/>
      </c>
      <c r="M602" s="15" t="s">
        <v>1928</v>
      </c>
      <c r="N602" s="14"/>
      <c r="O602" s="15"/>
      <c r="P602" s="15" t="s">
        <v>77</v>
      </c>
      <c r="Q602" s="13" t="s">
        <v>1929</v>
      </c>
      <c r="R602" s="14"/>
    </row>
    <row r="603" customFormat="false" ht="46.25" hidden="false" customHeight="false" outlineLevel="0" collapsed="false">
      <c r="A603" s="14" t="n">
        <v>8</v>
      </c>
      <c r="B603" s="15" t="s">
        <v>153</v>
      </c>
      <c r="C603" s="15" t="s">
        <v>144</v>
      </c>
      <c r="D603" s="15" t="s">
        <v>1930</v>
      </c>
      <c r="E603" s="14" t="n">
        <v>2</v>
      </c>
      <c r="F603" s="15" t="s">
        <v>397</v>
      </c>
      <c r="G603" s="14" t="s">
        <v>66</v>
      </c>
      <c r="H603" s="14"/>
      <c r="I603" s="14" t="n">
        <f aca="false">IF(E603="","",IF(OR(AND(H603="Plan A",$C$5="B"),AND(H603="Plan B",$C$5="A")),0,IF(OR(G603="per student",G603="per group",G603="per class"),E603*IF(B603="Year 7",$C$3,$C$4),E603)))</f>
        <v>2</v>
      </c>
      <c r="J603" s="15"/>
      <c r="K603" s="14"/>
      <c r="L603" s="14" t="str">
        <f aca="false">IF(OR(K603="",O603&lt;&gt;"",I603=""),"",ROUNDUP(I603*K603,0))</f>
        <v/>
      </c>
      <c r="M603" s="15" t="s">
        <v>1931</v>
      </c>
      <c r="N603" s="14"/>
      <c r="O603" s="15"/>
      <c r="P603" s="15" t="s">
        <v>77</v>
      </c>
      <c r="Q603" s="13" t="s">
        <v>1932</v>
      </c>
      <c r="R603" s="14"/>
    </row>
    <row r="604" customFormat="false" ht="23.85" hidden="false" customHeight="false" outlineLevel="0" collapsed="false">
      <c r="A604" s="14" t="n">
        <v>8</v>
      </c>
      <c r="B604" s="15" t="s">
        <v>153</v>
      </c>
      <c r="C604" s="15" t="s">
        <v>144</v>
      </c>
      <c r="D604" s="15" t="s">
        <v>1933</v>
      </c>
      <c r="E604" s="14" t="n">
        <v>600</v>
      </c>
      <c r="F604" s="15" t="s">
        <v>307</v>
      </c>
      <c r="G604" s="14" t="s">
        <v>66</v>
      </c>
      <c r="H604" s="14"/>
      <c r="I604" s="14" t="n">
        <f aca="false">IF(E604="","",IF(OR(AND(H604="Plan A",$C$5="B"),AND(H604="Plan B",$C$5="A")),0,IF(OR(G604="per student",G604="per group",G604="per class"),E604*IF(B604="Year 7",$C$3,$C$4),E604)))</f>
        <v>600</v>
      </c>
      <c r="J604" s="15"/>
      <c r="K604" s="14"/>
      <c r="L604" s="14" t="str">
        <f aca="false">IF(OR(K604="",O604&lt;&gt;"",I604=""),"",ROUNDUP(I604*K604,0))</f>
        <v/>
      </c>
      <c r="M604" s="15" t="s">
        <v>1934</v>
      </c>
      <c r="N604" s="14"/>
      <c r="O604" s="15"/>
      <c r="P604" s="15" t="s">
        <v>77</v>
      </c>
      <c r="Q604" s="13" t="s">
        <v>1889</v>
      </c>
      <c r="R604" s="14"/>
    </row>
    <row r="605" customFormat="false" ht="57.45" hidden="false" customHeight="false" outlineLevel="0" collapsed="false">
      <c r="A605" s="14" t="n">
        <v>8</v>
      </c>
      <c r="B605" s="15" t="s">
        <v>153</v>
      </c>
      <c r="C605" s="15" t="s">
        <v>144</v>
      </c>
      <c r="D605" s="15" t="s">
        <v>1935</v>
      </c>
      <c r="E605" s="14" t="n">
        <v>2</v>
      </c>
      <c r="F605" s="15" t="s">
        <v>1936</v>
      </c>
      <c r="G605" s="14" t="s">
        <v>66</v>
      </c>
      <c r="H605" s="14"/>
      <c r="I605" s="14" t="n">
        <f aca="false">IF(E605="","",IF(OR(AND(H605="Plan A",$C$5="B"),AND(H605="Plan B",$C$5="A")),0,IF(OR(G605="per student",G605="per group",G605="per class"),E605*IF(B605="Year 7",$C$3,$C$4),E605)))</f>
        <v>2</v>
      </c>
      <c r="J605" s="15"/>
      <c r="K605" s="14"/>
      <c r="L605" s="14" t="str">
        <f aca="false">IF(OR(K605="",O605&lt;&gt;"",I605=""),"",ROUNDUP(I605*K605,0))</f>
        <v/>
      </c>
      <c r="M605" s="15" t="s">
        <v>1937</v>
      </c>
      <c r="N605" s="14"/>
      <c r="O605" s="15"/>
      <c r="P605" s="13" t="s">
        <v>91</v>
      </c>
      <c r="Q605" s="13" t="s">
        <v>1938</v>
      </c>
      <c r="R605" s="14"/>
    </row>
    <row r="606" customFormat="false" ht="35.05" hidden="false" customHeight="false" outlineLevel="0" collapsed="false">
      <c r="A606" s="14" t="n">
        <v>8</v>
      </c>
      <c r="B606" s="15" t="s">
        <v>153</v>
      </c>
      <c r="C606" s="15" t="s">
        <v>144</v>
      </c>
      <c r="D606" s="15" t="s">
        <v>1939</v>
      </c>
      <c r="E606" s="14" t="n">
        <v>2</v>
      </c>
      <c r="F606" s="15" t="s">
        <v>841</v>
      </c>
      <c r="G606" s="14" t="s">
        <v>66</v>
      </c>
      <c r="H606" s="14"/>
      <c r="I606" s="14" t="n">
        <f aca="false">IF(E606="","",IF(OR(AND(H606="Plan A",$C$5="B"),AND(H606="Plan B",$C$5="A")),0,IF(OR(G606="per student",G606="per group",G606="per class"),E606*IF(B606="Year 7",$C$3,$C$4),E606)))</f>
        <v>2</v>
      </c>
      <c r="J606" s="15"/>
      <c r="K606" s="14"/>
      <c r="L606" s="14" t="str">
        <f aca="false">IF(OR(K606="",O606&lt;&gt;"",I606=""),"",ROUNDUP(I606*K606,0))</f>
        <v/>
      </c>
      <c r="M606" s="15" t="s">
        <v>1940</v>
      </c>
      <c r="N606" s="14"/>
      <c r="O606" s="15"/>
      <c r="P606" s="15" t="s">
        <v>77</v>
      </c>
      <c r="Q606" s="13" t="s">
        <v>1941</v>
      </c>
      <c r="R606" s="14"/>
    </row>
    <row r="607" customFormat="false" ht="57.45" hidden="false" customHeight="false" outlineLevel="0" collapsed="false">
      <c r="A607" s="11" t="n">
        <v>9</v>
      </c>
      <c r="B607" s="12" t="s">
        <v>39</v>
      </c>
      <c r="C607" s="12" t="s">
        <v>40</v>
      </c>
      <c r="D607" s="12" t="s">
        <v>1942</v>
      </c>
      <c r="E607" s="11" t="n">
        <v>24</v>
      </c>
      <c r="F607" s="12" t="s">
        <v>887</v>
      </c>
      <c r="G607" s="11" t="s">
        <v>43</v>
      </c>
      <c r="H607" s="11"/>
      <c r="I607" s="11" t="n">
        <f aca="false">IF(E607="","",IF(OR(AND(H607="Plan A",$C$5="B"),AND(H607="Plan B",$C$5="A")),0,IF(OR(G607="per student",G607="per group",G607="per class"),E607*IF(B607="Year 7",$C$3,$C$4),E607)))</f>
        <v>24</v>
      </c>
      <c r="J607" s="12" t="s">
        <v>13</v>
      </c>
      <c r="K607" s="11" t="n">
        <v>2</v>
      </c>
      <c r="L607" s="11" t="n">
        <f aca="false">IF(OR(K607="",O607&lt;&gt;"",I607=""),"",ROUNDUP(I607*K607,0))</f>
        <v>48</v>
      </c>
      <c r="M607" s="12" t="s">
        <v>1943</v>
      </c>
      <c r="N607" s="11"/>
      <c r="O607" s="12"/>
      <c r="P607" s="12" t="s">
        <v>45</v>
      </c>
      <c r="Q607" s="13" t="s">
        <v>1944</v>
      </c>
      <c r="R607" s="11"/>
    </row>
    <row r="608" customFormat="false" ht="35.05" hidden="false" customHeight="false" outlineLevel="0" collapsed="false">
      <c r="A608" s="11" t="n">
        <v>9</v>
      </c>
      <c r="B608" s="12" t="s">
        <v>39</v>
      </c>
      <c r="C608" s="12" t="s">
        <v>40</v>
      </c>
      <c r="D608" s="12" t="s">
        <v>1945</v>
      </c>
      <c r="E608" s="11" t="n">
        <v>6</v>
      </c>
      <c r="F608" s="12" t="s">
        <v>1946</v>
      </c>
      <c r="G608" s="11" t="s">
        <v>66</v>
      </c>
      <c r="H608" s="11"/>
      <c r="I608" s="11" t="n">
        <f aca="false">IF(E608="","",IF(OR(AND(H608="Plan A",$C$5="B"),AND(H608="Plan B",$C$5="A")),0,IF(OR(G608="per student",G608="per group",G608="per class"),E608*IF(B608="Year 7",$C$3,$C$4),E608)))</f>
        <v>6</v>
      </c>
      <c r="J608" s="12" t="s">
        <v>13</v>
      </c>
      <c r="K608" s="11" t="n">
        <v>1</v>
      </c>
      <c r="L608" s="11" t="n">
        <f aca="false">IF(OR(K608="",O608&lt;&gt;"",I608=""),"",ROUNDUP(I608*K608,0))</f>
        <v>6</v>
      </c>
      <c r="M608" s="12" t="s">
        <v>1947</v>
      </c>
      <c r="N608" s="11"/>
      <c r="O608" s="12"/>
      <c r="P608" s="12" t="s">
        <v>45</v>
      </c>
      <c r="Q608" s="13" t="s">
        <v>1948</v>
      </c>
      <c r="R608" s="11"/>
    </row>
    <row r="609" customFormat="false" ht="57.45" hidden="false" customHeight="false" outlineLevel="0" collapsed="false">
      <c r="A609" s="11" t="n">
        <v>9</v>
      </c>
      <c r="B609" s="12" t="s">
        <v>39</v>
      </c>
      <c r="C609" s="12" t="s">
        <v>40</v>
      </c>
      <c r="D609" s="12" t="s">
        <v>1949</v>
      </c>
      <c r="E609" s="11" t="n">
        <v>1</v>
      </c>
      <c r="F609" s="12" t="s">
        <v>341</v>
      </c>
      <c r="G609" s="11" t="s">
        <v>127</v>
      </c>
      <c r="H609" s="11"/>
      <c r="I609" s="11" t="n">
        <f aca="false">IF(E609="","",IF(OR(AND(H609="Plan A",$C$5="B"),AND(H609="Plan B",$C$5="A")),0,IF(OR(G609="per student",G609="per group",G609="per class"),E609*IF(B609="Year 7",$C$3,$C$4),E609)))</f>
        <v>1</v>
      </c>
      <c r="J609" s="12" t="s">
        <v>18</v>
      </c>
      <c r="K609" s="11" t="n">
        <v>1</v>
      </c>
      <c r="L609" s="11" t="n">
        <f aca="false">IF(OR(K609="",O609&lt;&gt;"",I609=""),"",ROUNDUP(I609*K609,0))</f>
        <v>1</v>
      </c>
      <c r="M609" s="12" t="s">
        <v>1950</v>
      </c>
      <c r="N609" s="11"/>
      <c r="O609" s="12"/>
      <c r="P609" s="12" t="s">
        <v>77</v>
      </c>
      <c r="Q609" s="13" t="s">
        <v>1951</v>
      </c>
      <c r="R609" s="11"/>
    </row>
    <row r="610" customFormat="false" ht="35.05" hidden="false" customHeight="false" outlineLevel="0" collapsed="false">
      <c r="A610" s="11" t="n">
        <v>9</v>
      </c>
      <c r="B610" s="12" t="s">
        <v>39</v>
      </c>
      <c r="C610" s="12" t="s">
        <v>40</v>
      </c>
      <c r="D610" s="12" t="s">
        <v>1952</v>
      </c>
      <c r="E610" s="11" t="n">
        <v>7</v>
      </c>
      <c r="F610" s="12" t="s">
        <v>1953</v>
      </c>
      <c r="G610" s="11" t="s">
        <v>66</v>
      </c>
      <c r="H610" s="11"/>
      <c r="I610" s="11" t="n">
        <f aca="false">IF(E610="","",IF(OR(AND(H610="Plan A",$C$5="B"),AND(H610="Plan B",$C$5="A")),0,IF(OR(G610="per student",G610="per group",G610="per class"),E610*IF(B610="Year 7",$C$3,$C$4),E610)))</f>
        <v>7</v>
      </c>
      <c r="J610" s="12" t="s">
        <v>18</v>
      </c>
      <c r="K610" s="11" t="n">
        <v>1</v>
      </c>
      <c r="L610" s="11" t="n">
        <f aca="false">IF(OR(K610="",O610&lt;&gt;"",I610=""),"",ROUNDUP(I610*K610,0))</f>
        <v>7</v>
      </c>
      <c r="M610" s="12" t="s">
        <v>1954</v>
      </c>
      <c r="N610" s="11"/>
      <c r="O610" s="12"/>
      <c r="P610" s="12" t="s">
        <v>77</v>
      </c>
      <c r="Q610" s="13" t="s">
        <v>1955</v>
      </c>
      <c r="R610" s="11"/>
    </row>
    <row r="611" customFormat="false" ht="35.05" hidden="false" customHeight="false" outlineLevel="0" collapsed="false">
      <c r="A611" s="11" t="n">
        <v>9</v>
      </c>
      <c r="B611" s="12" t="s">
        <v>39</v>
      </c>
      <c r="C611" s="12" t="s">
        <v>40</v>
      </c>
      <c r="D611" s="12" t="s">
        <v>1956</v>
      </c>
      <c r="E611" s="11" t="n">
        <v>7</v>
      </c>
      <c r="F611" s="12" t="s">
        <v>1957</v>
      </c>
      <c r="G611" s="11" t="s">
        <v>66</v>
      </c>
      <c r="H611" s="11"/>
      <c r="I611" s="11" t="n">
        <f aca="false">IF(E611="","",IF(OR(AND(H611="Plan A",$C$5="B"),AND(H611="Plan B",$C$5="A")),0,IF(OR(G611="per student",G611="per group",G611="per class"),E611*IF(B611="Year 7",$C$3,$C$4),E611)))</f>
        <v>7</v>
      </c>
      <c r="J611" s="12" t="s">
        <v>13</v>
      </c>
      <c r="K611" s="11" t="n">
        <v>4</v>
      </c>
      <c r="L611" s="11" t="n">
        <f aca="false">IF(OR(K611="",O611&lt;&gt;"",I611=""),"",ROUNDUP(I611*K611,0))</f>
        <v>28</v>
      </c>
      <c r="M611" s="12" t="s">
        <v>1958</v>
      </c>
      <c r="N611" s="11"/>
      <c r="O611" s="12"/>
      <c r="P611" s="12" t="s">
        <v>45</v>
      </c>
      <c r="Q611" s="13" t="s">
        <v>1959</v>
      </c>
      <c r="R611" s="11"/>
    </row>
    <row r="612" customFormat="false" ht="46.25" hidden="false" customHeight="false" outlineLevel="0" collapsed="false">
      <c r="A612" s="11" t="n">
        <v>9</v>
      </c>
      <c r="B612" s="12" t="s">
        <v>39</v>
      </c>
      <c r="C612" s="12" t="s">
        <v>40</v>
      </c>
      <c r="D612" s="12" t="s">
        <v>1960</v>
      </c>
      <c r="E612" s="11" t="n">
        <v>3</v>
      </c>
      <c r="F612" s="12" t="s">
        <v>1961</v>
      </c>
      <c r="G612" s="11" t="s">
        <v>127</v>
      </c>
      <c r="H612" s="11" t="s">
        <v>964</v>
      </c>
      <c r="I612" s="11" t="n">
        <f aca="false">IF(E612="","",IF(OR(AND(H612="Plan A",$C$5="B"),AND(H612="Plan B",$C$5="A")),0,IF(OR(G612="per student",G612="per group",G612="per class"),E612*IF(B612="Year 7",$C$3,$C$4),E612)))</f>
        <v>3</v>
      </c>
      <c r="J612" s="12" t="s">
        <v>13</v>
      </c>
      <c r="K612" s="11" t="n">
        <v>1</v>
      </c>
      <c r="L612" s="11" t="n">
        <f aca="false">IF(OR(K612="",O612&lt;&gt;"",I612=""),"",ROUNDUP(I612*K612,0))</f>
        <v>3</v>
      </c>
      <c r="M612" s="12" t="s">
        <v>1962</v>
      </c>
      <c r="N612" s="11"/>
      <c r="O612" s="12"/>
      <c r="P612" s="12" t="s">
        <v>45</v>
      </c>
      <c r="Q612" s="13" t="s">
        <v>1963</v>
      </c>
      <c r="R612" s="11"/>
    </row>
    <row r="613" customFormat="false" ht="46.25" hidden="false" customHeight="false" outlineLevel="0" collapsed="false">
      <c r="A613" s="11" t="n">
        <v>9</v>
      </c>
      <c r="B613" s="12" t="s">
        <v>39</v>
      </c>
      <c r="C613" s="12" t="s">
        <v>40</v>
      </c>
      <c r="D613" s="12" t="s">
        <v>1964</v>
      </c>
      <c r="E613" s="11" t="n">
        <v>3</v>
      </c>
      <c r="F613" s="12" t="s">
        <v>1965</v>
      </c>
      <c r="G613" s="11" t="s">
        <v>127</v>
      </c>
      <c r="H613" s="11" t="s">
        <v>956</v>
      </c>
      <c r="I613" s="11" t="n">
        <f aca="false">IF(E613="","",IF(OR(AND(H613="Plan A",$C$5="B"),AND(H613="Plan B",$C$5="A")),0,IF(OR(G613="per student",G613="per group",G613="per class"),E613*IF(B613="Year 7",$C$3,$C$4),E613)))</f>
        <v>3</v>
      </c>
      <c r="J613" s="12" t="s">
        <v>13</v>
      </c>
      <c r="K613" s="11" t="n">
        <v>1</v>
      </c>
      <c r="L613" s="11" t="n">
        <f aca="false">IF(OR(K613="",O613&lt;&gt;"",I613=""),"",ROUNDUP(I613*K613,0))</f>
        <v>3</v>
      </c>
      <c r="M613" s="12" t="s">
        <v>1962</v>
      </c>
      <c r="N613" s="11"/>
      <c r="O613" s="12"/>
      <c r="P613" s="12" t="s">
        <v>45</v>
      </c>
      <c r="Q613" s="13" t="s">
        <v>1963</v>
      </c>
      <c r="R613" s="11"/>
    </row>
    <row r="614" customFormat="false" ht="23.85" hidden="false" customHeight="false" outlineLevel="0" collapsed="false">
      <c r="A614" s="11" t="n">
        <v>9</v>
      </c>
      <c r="B614" s="12" t="s">
        <v>39</v>
      </c>
      <c r="C614" s="12" t="s">
        <v>40</v>
      </c>
      <c r="D614" s="12" t="s">
        <v>1966</v>
      </c>
      <c r="E614" s="11" t="n">
        <v>1</v>
      </c>
      <c r="F614" s="12" t="s">
        <v>1967</v>
      </c>
      <c r="G614" s="11" t="s">
        <v>57</v>
      </c>
      <c r="H614" s="11"/>
      <c r="I614" s="11" t="n">
        <f aca="false">IF(E614="","",IF(OR(AND(H614="Plan A",$C$5="B"),AND(H614="Plan B",$C$5="A")),0,IF(OR(G614="per student",G614="per group",G614="per class"),E614*IF(B614="Year 7",$C$3,$C$4),E614)))</f>
        <v>1</v>
      </c>
      <c r="J614" s="12" t="s">
        <v>13</v>
      </c>
      <c r="K614" s="11" t="n">
        <v>1</v>
      </c>
      <c r="L614" s="11" t="n">
        <f aca="false">IF(OR(K614="",O614&lt;&gt;"",I614=""),"",ROUNDUP(I614*K614,0))</f>
        <v>1</v>
      </c>
      <c r="M614" s="12" t="s">
        <v>1968</v>
      </c>
      <c r="N614" s="11" t="s">
        <v>105</v>
      </c>
      <c r="O614" s="12"/>
      <c r="P614" s="12" t="s">
        <v>45</v>
      </c>
      <c r="Q614" s="13" t="s">
        <v>1969</v>
      </c>
      <c r="R614" s="11"/>
    </row>
    <row r="615" customFormat="false" ht="35.05" hidden="false" customHeight="false" outlineLevel="0" collapsed="false">
      <c r="A615" s="11" t="n">
        <v>9</v>
      </c>
      <c r="B615" s="12" t="s">
        <v>39</v>
      </c>
      <c r="C615" s="12" t="s">
        <v>40</v>
      </c>
      <c r="D615" s="12" t="s">
        <v>1970</v>
      </c>
      <c r="E615" s="11" t="n">
        <v>24</v>
      </c>
      <c r="F615" s="12" t="s">
        <v>1971</v>
      </c>
      <c r="G615" s="11" t="s">
        <v>43</v>
      </c>
      <c r="H615" s="11"/>
      <c r="I615" s="11" t="n">
        <f aca="false">IF(E615="","",IF(OR(AND(H615="Plan A",$C$5="B"),AND(H615="Plan B",$C$5="A")),0,IF(OR(G615="per student",G615="per group",G615="per class"),E615*IF(B615="Year 7",$C$3,$C$4),E615)))</f>
        <v>24</v>
      </c>
      <c r="J615" s="12" t="s">
        <v>13</v>
      </c>
      <c r="K615" s="11" t="n">
        <v>0.5</v>
      </c>
      <c r="L615" s="11" t="n">
        <f aca="false">IF(OR(K615="",O615&lt;&gt;"",I615=""),"",ROUNDUP(I615*K615,0))</f>
        <v>12</v>
      </c>
      <c r="M615" s="12" t="s">
        <v>1972</v>
      </c>
      <c r="N615" s="11"/>
      <c r="O615" s="12"/>
      <c r="P615" s="12" t="s">
        <v>45</v>
      </c>
      <c r="Q615" s="13" t="s">
        <v>1973</v>
      </c>
      <c r="R615" s="11"/>
    </row>
    <row r="616" customFormat="false" ht="46.25" hidden="false" customHeight="false" outlineLevel="0" collapsed="false">
      <c r="A616" s="11" t="n">
        <v>9</v>
      </c>
      <c r="B616" s="12" t="s">
        <v>39</v>
      </c>
      <c r="C616" s="12" t="s">
        <v>40</v>
      </c>
      <c r="D616" s="12" t="s">
        <v>1974</v>
      </c>
      <c r="E616" s="11" t="n">
        <v>24</v>
      </c>
      <c r="F616" s="12" t="s">
        <v>1975</v>
      </c>
      <c r="G616" s="11" t="s">
        <v>43</v>
      </c>
      <c r="H616" s="11"/>
      <c r="I616" s="11" t="n">
        <f aca="false">IF(E616="","",IF(OR(AND(H616="Plan A",$C$5="B"),AND(H616="Plan B",$C$5="A")),0,IF(OR(G616="per student",G616="per group",G616="per class"),E616*IF(B616="Year 7",$C$3,$C$4),E616)))</f>
        <v>24</v>
      </c>
      <c r="J616" s="12" t="s">
        <v>13</v>
      </c>
      <c r="K616" s="11" t="n">
        <v>1</v>
      </c>
      <c r="L616" s="11" t="n">
        <f aca="false">IF(OR(K616="",O616&lt;&gt;"",I616=""),"",ROUNDUP(I616*K616,0))</f>
        <v>24</v>
      </c>
      <c r="M616" s="12" t="s">
        <v>1976</v>
      </c>
      <c r="N616" s="11"/>
      <c r="O616" s="12"/>
      <c r="P616" s="12" t="s">
        <v>45</v>
      </c>
      <c r="Q616" s="13" t="s">
        <v>1977</v>
      </c>
      <c r="R616" s="11"/>
    </row>
    <row r="617" customFormat="false" ht="23.85" hidden="false" customHeight="false" outlineLevel="0" collapsed="false">
      <c r="A617" s="11" t="n">
        <v>9</v>
      </c>
      <c r="B617" s="12" t="s">
        <v>39</v>
      </c>
      <c r="C617" s="12" t="s">
        <v>40</v>
      </c>
      <c r="D617" s="12" t="s">
        <v>1978</v>
      </c>
      <c r="E617" s="11" t="n">
        <v>1</v>
      </c>
      <c r="F617" s="12" t="s">
        <v>1030</v>
      </c>
      <c r="G617" s="11" t="s">
        <v>127</v>
      </c>
      <c r="H617" s="11"/>
      <c r="I617" s="11" t="n">
        <f aca="false">IF(E617="","",IF(OR(AND(H617="Plan A",$C$5="B"),AND(H617="Plan B",$C$5="A")),0,IF(OR(G617="per student",G617="per group",G617="per class"),E617*IF(B617="Year 7",$C$3,$C$4),E617)))</f>
        <v>1</v>
      </c>
      <c r="J617" s="12" t="s">
        <v>20</v>
      </c>
      <c r="K617" s="11" t="n">
        <v>1</v>
      </c>
      <c r="L617" s="11" t="n">
        <f aca="false">IF(OR(K617="",O617&lt;&gt;"",I617=""),"",ROUNDUP(I617*K617,0))</f>
        <v>1</v>
      </c>
      <c r="M617" s="12" t="s">
        <v>1979</v>
      </c>
      <c r="N617" s="11"/>
      <c r="O617" s="12"/>
      <c r="P617" s="12" t="s">
        <v>45</v>
      </c>
      <c r="Q617" s="12"/>
      <c r="R617" s="11"/>
    </row>
    <row r="618" customFormat="false" ht="23.85" hidden="false" customHeight="false" outlineLevel="0" collapsed="false">
      <c r="A618" s="11" t="n">
        <v>9</v>
      </c>
      <c r="B618" s="12" t="s">
        <v>39</v>
      </c>
      <c r="C618" s="12" t="s">
        <v>97</v>
      </c>
      <c r="D618" s="12" t="s">
        <v>240</v>
      </c>
      <c r="E618" s="11" t="n">
        <v>6</v>
      </c>
      <c r="F618" s="12" t="s">
        <v>241</v>
      </c>
      <c r="G618" s="11" t="s">
        <v>127</v>
      </c>
      <c r="H618" s="11"/>
      <c r="I618" s="11" t="n">
        <f aca="false">IF(E618="","",IF(OR(AND(H618="Plan A",$C$5="B"),AND(H618="Plan B",$C$5="A")),0,IF(OR(G618="per student",G618="per group",G618="per class"),E618*IF(B618="Year 7",$C$3,$C$4),E618)))</f>
        <v>6</v>
      </c>
      <c r="J618" s="12"/>
      <c r="K618" s="11"/>
      <c r="L618" s="11" t="str">
        <f aca="false">IF(OR(K618="",O618&lt;&gt;"",I618=""),"",ROUNDUP(I618*K618,0))</f>
        <v/>
      </c>
      <c r="M618" s="12" t="s">
        <v>1980</v>
      </c>
      <c r="N618" s="11"/>
      <c r="O618" s="12"/>
      <c r="P618" s="12" t="s">
        <v>77</v>
      </c>
      <c r="Q618" s="13" t="s">
        <v>1981</v>
      </c>
      <c r="R618" s="11"/>
    </row>
    <row r="619" customFormat="false" ht="23.85" hidden="false" customHeight="false" outlineLevel="0" collapsed="false">
      <c r="A619" s="11" t="n">
        <v>9</v>
      </c>
      <c r="B619" s="12" t="s">
        <v>39</v>
      </c>
      <c r="C619" s="12" t="s">
        <v>97</v>
      </c>
      <c r="D619" s="12" t="s">
        <v>1982</v>
      </c>
      <c r="E619" s="11" t="n">
        <v>12</v>
      </c>
      <c r="F619" s="12" t="s">
        <v>1983</v>
      </c>
      <c r="G619" s="11" t="s">
        <v>66</v>
      </c>
      <c r="H619" s="11"/>
      <c r="I619" s="11" t="n">
        <f aca="false">IF(E619="","",IF(OR(AND(H619="Plan A",$C$5="B"),AND(H619="Plan B",$C$5="A")),0,IF(OR(G619="per student",G619="per group",G619="per class"),E619*IF(B619="Year 7",$C$3,$C$4),E619)))</f>
        <v>12</v>
      </c>
      <c r="J619" s="12"/>
      <c r="K619" s="11"/>
      <c r="L619" s="11" t="str">
        <f aca="false">IF(OR(K619="",O619&lt;&gt;"",I619=""),"",ROUNDUP(I619*K619,0))</f>
        <v/>
      </c>
      <c r="M619" s="12" t="s">
        <v>1984</v>
      </c>
      <c r="N619" s="11"/>
      <c r="O619" s="12"/>
      <c r="P619" s="12" t="s">
        <v>77</v>
      </c>
      <c r="Q619" s="12"/>
      <c r="R619" s="11"/>
    </row>
    <row r="620" customFormat="false" ht="23.85" hidden="false" customHeight="false" outlineLevel="0" collapsed="false">
      <c r="A620" s="11" t="n">
        <v>9</v>
      </c>
      <c r="B620" s="12" t="s">
        <v>39</v>
      </c>
      <c r="C620" s="12" t="s">
        <v>97</v>
      </c>
      <c r="D620" s="12" t="s">
        <v>1985</v>
      </c>
      <c r="E620" s="11" t="n">
        <v>12</v>
      </c>
      <c r="F620" s="12" t="s">
        <v>260</v>
      </c>
      <c r="G620" s="11" t="s">
        <v>66</v>
      </c>
      <c r="H620" s="11"/>
      <c r="I620" s="11" t="n">
        <f aca="false">IF(E620="","",IF(OR(AND(H620="Plan A",$C$5="B"),AND(H620="Plan B",$C$5="A")),0,IF(OR(G620="per student",G620="per group",G620="per class"),E620*IF(B620="Year 7",$C$3,$C$4),E620)))</f>
        <v>12</v>
      </c>
      <c r="J620" s="12"/>
      <c r="K620" s="11"/>
      <c r="L620" s="11" t="str">
        <f aca="false">IF(OR(K620="",O620&lt;&gt;"",I620=""),"",ROUNDUP(I620*K620,0))</f>
        <v/>
      </c>
      <c r="M620" s="12" t="s">
        <v>1986</v>
      </c>
      <c r="N620" s="11"/>
      <c r="O620" s="12"/>
      <c r="P620" s="12" t="s">
        <v>77</v>
      </c>
      <c r="Q620" s="12"/>
      <c r="R620" s="11"/>
    </row>
    <row r="621" customFormat="false" ht="23.85" hidden="false" customHeight="false" outlineLevel="0" collapsed="false">
      <c r="A621" s="11" t="n">
        <v>9</v>
      </c>
      <c r="B621" s="12" t="s">
        <v>39</v>
      </c>
      <c r="C621" s="12" t="s">
        <v>97</v>
      </c>
      <c r="D621" s="12" t="s">
        <v>1987</v>
      </c>
      <c r="E621" s="11" t="n">
        <v>12</v>
      </c>
      <c r="F621" s="12" t="s">
        <v>260</v>
      </c>
      <c r="G621" s="11" t="s">
        <v>66</v>
      </c>
      <c r="H621" s="11"/>
      <c r="I621" s="11" t="n">
        <f aca="false">IF(E621="","",IF(OR(AND(H621="Plan A",$C$5="B"),AND(H621="Plan B",$C$5="A")),0,IF(OR(G621="per student",G621="per group",G621="per class"),E621*IF(B621="Year 7",$C$3,$C$4),E621)))</f>
        <v>12</v>
      </c>
      <c r="J621" s="12"/>
      <c r="K621" s="11"/>
      <c r="L621" s="11" t="str">
        <f aca="false">IF(OR(K621="",O621&lt;&gt;"",I621=""),"",ROUNDUP(I621*K621,0))</f>
        <v/>
      </c>
      <c r="M621" s="12" t="s">
        <v>1988</v>
      </c>
      <c r="N621" s="11"/>
      <c r="O621" s="12"/>
      <c r="P621" s="12" t="s">
        <v>77</v>
      </c>
      <c r="Q621" s="12"/>
      <c r="R621" s="11"/>
    </row>
    <row r="622" customFormat="false" ht="46.25" hidden="false" customHeight="false" outlineLevel="0" collapsed="false">
      <c r="A622" s="11" t="n">
        <v>9</v>
      </c>
      <c r="B622" s="12" t="s">
        <v>39</v>
      </c>
      <c r="C622" s="12" t="s">
        <v>97</v>
      </c>
      <c r="D622" s="12" t="s">
        <v>1989</v>
      </c>
      <c r="E622" s="11" t="n">
        <v>6</v>
      </c>
      <c r="F622" s="12" t="s">
        <v>246</v>
      </c>
      <c r="G622" s="11" t="s">
        <v>66</v>
      </c>
      <c r="H622" s="11"/>
      <c r="I622" s="11" t="n">
        <f aca="false">IF(E622="","",IF(OR(AND(H622="Plan A",$C$5="B"),AND(H622="Plan B",$C$5="A")),0,IF(OR(G622="per student",G622="per group",G622="per class"),E622*IF(B622="Year 7",$C$3,$C$4),E622)))</f>
        <v>6</v>
      </c>
      <c r="J622" s="12"/>
      <c r="K622" s="11"/>
      <c r="L622" s="11" t="str">
        <f aca="false">IF(OR(K622="",O622&lt;&gt;"",I622=""),"",ROUNDUP(I622*K622,0))</f>
        <v/>
      </c>
      <c r="M622" s="12" t="s">
        <v>1990</v>
      </c>
      <c r="N622" s="11"/>
      <c r="O622" s="12" t="s">
        <v>1991</v>
      </c>
      <c r="P622" s="12" t="s">
        <v>376</v>
      </c>
      <c r="Q622" s="13" t="s">
        <v>1992</v>
      </c>
      <c r="R622" s="11"/>
    </row>
    <row r="623" customFormat="false" ht="35.05" hidden="false" customHeight="false" outlineLevel="0" collapsed="false">
      <c r="A623" s="11" t="n">
        <v>9</v>
      </c>
      <c r="B623" s="12" t="s">
        <v>39</v>
      </c>
      <c r="C623" s="12" t="s">
        <v>97</v>
      </c>
      <c r="D623" s="12" t="s">
        <v>641</v>
      </c>
      <c r="E623" s="11" t="n">
        <v>6</v>
      </c>
      <c r="F623" s="12" t="s">
        <v>373</v>
      </c>
      <c r="G623" s="11" t="s">
        <v>66</v>
      </c>
      <c r="H623" s="11"/>
      <c r="I623" s="11" t="n">
        <f aca="false">IF(E623="","",IF(OR(AND(H623="Plan A",$C$5="B"),AND(H623="Plan B",$C$5="A")),0,IF(OR(G623="per student",G623="per group",G623="per class"),E623*IF(B623="Year 7",$C$3,$C$4),E623)))</f>
        <v>6</v>
      </c>
      <c r="J623" s="12"/>
      <c r="K623" s="11"/>
      <c r="L623" s="11" t="str">
        <f aca="false">IF(OR(K623="",O623&lt;&gt;"",I623=""),"",ROUNDUP(I623*K623,0))</f>
        <v/>
      </c>
      <c r="M623" s="12" t="s">
        <v>1993</v>
      </c>
      <c r="N623" s="11"/>
      <c r="O623" s="12" t="s">
        <v>643</v>
      </c>
      <c r="P623" s="12" t="s">
        <v>376</v>
      </c>
      <c r="Q623" s="12"/>
      <c r="R623" s="11"/>
    </row>
    <row r="624" customFormat="false" ht="46.25" hidden="false" customHeight="false" outlineLevel="0" collapsed="false">
      <c r="A624" s="11" t="n">
        <v>9</v>
      </c>
      <c r="B624" s="12" t="s">
        <v>39</v>
      </c>
      <c r="C624" s="12" t="s">
        <v>97</v>
      </c>
      <c r="D624" s="12" t="s">
        <v>729</v>
      </c>
      <c r="E624" s="11" t="n">
        <v>6</v>
      </c>
      <c r="F624" s="12" t="s">
        <v>373</v>
      </c>
      <c r="G624" s="11" t="s">
        <v>66</v>
      </c>
      <c r="H624" s="11"/>
      <c r="I624" s="11" t="n">
        <f aca="false">IF(E624="","",IF(OR(AND(H624="Plan A",$C$5="B"),AND(H624="Plan B",$C$5="A")),0,IF(OR(G624="per student",G624="per group",G624="per class"),E624*IF(B624="Year 7",$C$3,$C$4),E624)))</f>
        <v>6</v>
      </c>
      <c r="J624" s="12"/>
      <c r="K624" s="11"/>
      <c r="L624" s="11" t="str">
        <f aca="false">IF(OR(K624="",O624&lt;&gt;"",I624=""),"",ROUNDUP(I624*K624,0))</f>
        <v/>
      </c>
      <c r="M624" s="12" t="s">
        <v>1994</v>
      </c>
      <c r="N624" s="11"/>
      <c r="O624" s="12" t="s">
        <v>484</v>
      </c>
      <c r="P624" s="12" t="s">
        <v>376</v>
      </c>
      <c r="Q624" s="12"/>
      <c r="R624" s="11"/>
    </row>
    <row r="625" customFormat="false" ht="23.85" hidden="false" customHeight="false" outlineLevel="0" collapsed="false">
      <c r="A625" s="11" t="n">
        <v>9</v>
      </c>
      <c r="B625" s="12" t="s">
        <v>39</v>
      </c>
      <c r="C625" s="12" t="s">
        <v>97</v>
      </c>
      <c r="D625" s="12" t="s">
        <v>386</v>
      </c>
      <c r="E625" s="11" t="n">
        <v>24</v>
      </c>
      <c r="F625" s="12" t="s">
        <v>368</v>
      </c>
      <c r="G625" s="11" t="s">
        <v>43</v>
      </c>
      <c r="H625" s="11"/>
      <c r="I625" s="11" t="n">
        <f aca="false">IF(E625="","",IF(OR(AND(H625="Plan A",$C$5="B"),AND(H625="Plan B",$C$5="A")),0,IF(OR(G625="per student",G625="per group",G625="per class"),E625*IF(B625="Year 7",$C$3,$C$4),E625)))</f>
        <v>24</v>
      </c>
      <c r="J625" s="12"/>
      <c r="K625" s="11"/>
      <c r="L625" s="11" t="str">
        <f aca="false">IF(OR(K625="",O625&lt;&gt;"",I625=""),"",ROUNDUP(I625*K625,0))</f>
        <v/>
      </c>
      <c r="M625" s="12" t="s">
        <v>1995</v>
      </c>
      <c r="N625" s="11"/>
      <c r="O625" s="12" t="s">
        <v>1347</v>
      </c>
      <c r="P625" s="12" t="s">
        <v>376</v>
      </c>
      <c r="Q625" s="12"/>
      <c r="R625" s="11"/>
    </row>
    <row r="626" customFormat="false" ht="23.85" hidden="false" customHeight="false" outlineLevel="0" collapsed="false">
      <c r="A626" s="11" t="n">
        <v>9</v>
      </c>
      <c r="B626" s="12" t="s">
        <v>39</v>
      </c>
      <c r="C626" s="12" t="s">
        <v>97</v>
      </c>
      <c r="D626" s="12" t="s">
        <v>367</v>
      </c>
      <c r="E626" s="11" t="n">
        <v>24</v>
      </c>
      <c r="F626" s="12" t="s">
        <v>368</v>
      </c>
      <c r="G626" s="11" t="s">
        <v>43</v>
      </c>
      <c r="H626" s="11"/>
      <c r="I626" s="11" t="n">
        <f aca="false">IF(E626="","",IF(OR(AND(H626="Plan A",$C$5="B"),AND(H626="Plan B",$C$5="A")),0,IF(OR(G626="per student",G626="per group",G626="per class"),E626*IF(B626="Year 7",$C$3,$C$4),E626)))</f>
        <v>24</v>
      </c>
      <c r="J626" s="12"/>
      <c r="K626" s="11"/>
      <c r="L626" s="11" t="str">
        <f aca="false">IF(OR(K626="",O626&lt;&gt;"",I626=""),"",ROUNDUP(I626*K626,0))</f>
        <v/>
      </c>
      <c r="M626" s="12" t="s">
        <v>1996</v>
      </c>
      <c r="N626" s="11" t="s">
        <v>105</v>
      </c>
      <c r="O626" s="12" t="s">
        <v>370</v>
      </c>
      <c r="P626" s="12" t="s">
        <v>376</v>
      </c>
      <c r="Q626" s="13" t="s">
        <v>1997</v>
      </c>
      <c r="R626" s="11"/>
    </row>
    <row r="627" customFormat="false" ht="23.85" hidden="false" customHeight="false" outlineLevel="0" collapsed="false">
      <c r="A627" s="11" t="n">
        <v>9</v>
      </c>
      <c r="B627" s="12" t="s">
        <v>39</v>
      </c>
      <c r="C627" s="12" t="s">
        <v>97</v>
      </c>
      <c r="D627" s="12" t="s">
        <v>120</v>
      </c>
      <c r="E627" s="11" t="n">
        <v>24</v>
      </c>
      <c r="F627" s="12" t="s">
        <v>248</v>
      </c>
      <c r="G627" s="11" t="s">
        <v>43</v>
      </c>
      <c r="H627" s="11"/>
      <c r="I627" s="11" t="n">
        <f aca="false">IF(E627="","",IF(OR(AND(H627="Plan A",$C$5="B"),AND(H627="Plan B",$C$5="A")),0,IF(OR(G627="per student",G627="per group",G627="per class"),E627*IF(B627="Year 7",$C$3,$C$4),E627)))</f>
        <v>24</v>
      </c>
      <c r="J627" s="12"/>
      <c r="K627" s="11"/>
      <c r="L627" s="11" t="str">
        <f aca="false">IF(OR(K627="",O627&lt;&gt;"",I627=""),"",ROUNDUP(I627*K627,0))</f>
        <v/>
      </c>
      <c r="M627" s="12" t="s">
        <v>1998</v>
      </c>
      <c r="N627" s="11"/>
      <c r="O627" s="12" t="s">
        <v>472</v>
      </c>
      <c r="P627" s="12" t="s">
        <v>376</v>
      </c>
      <c r="Q627" s="13" t="s">
        <v>1999</v>
      </c>
      <c r="R627" s="11"/>
    </row>
    <row r="628" customFormat="false" ht="23.85" hidden="false" customHeight="false" outlineLevel="0" collapsed="false">
      <c r="A628" s="11" t="n">
        <v>9</v>
      </c>
      <c r="B628" s="12" t="s">
        <v>39</v>
      </c>
      <c r="C628" s="12" t="s">
        <v>124</v>
      </c>
      <c r="D628" s="12" t="s">
        <v>580</v>
      </c>
      <c r="E628" s="11" t="n">
        <v>6</v>
      </c>
      <c r="F628" s="12" t="s">
        <v>581</v>
      </c>
      <c r="G628" s="11" t="s">
        <v>66</v>
      </c>
      <c r="H628" s="11"/>
      <c r="I628" s="11" t="n">
        <f aca="false">IF(E628="","",IF(OR(AND(H628="Plan A",$C$5="B"),AND(H628="Plan B",$C$5="A")),0,IF(OR(G628="per student",G628="per group",G628="per class"),E628*IF(B628="Year 7",$C$3,$C$4),E628)))</f>
        <v>6</v>
      </c>
      <c r="J628" s="12"/>
      <c r="K628" s="11"/>
      <c r="L628" s="11" t="str">
        <f aca="false">IF(OR(K628="",O628&lt;&gt;"",I628=""),"",ROUNDUP(I628*K628,0))</f>
        <v/>
      </c>
      <c r="M628" s="12" t="s">
        <v>2000</v>
      </c>
      <c r="N628" s="11"/>
      <c r="O628" s="12" t="s">
        <v>2001</v>
      </c>
      <c r="P628" s="12" t="s">
        <v>376</v>
      </c>
      <c r="Q628" s="13" t="s">
        <v>2002</v>
      </c>
      <c r="R628" s="11"/>
    </row>
    <row r="629" customFormat="false" ht="23.85" hidden="false" customHeight="false" outlineLevel="0" collapsed="false">
      <c r="A629" s="11" t="n">
        <v>9</v>
      </c>
      <c r="B629" s="12" t="s">
        <v>39</v>
      </c>
      <c r="C629" s="12" t="s">
        <v>124</v>
      </c>
      <c r="D629" s="12" t="s">
        <v>943</v>
      </c>
      <c r="E629" s="11" t="n">
        <v>12</v>
      </c>
      <c r="F629" s="12" t="s">
        <v>660</v>
      </c>
      <c r="G629" s="11" t="s">
        <v>66</v>
      </c>
      <c r="H629" s="11"/>
      <c r="I629" s="11" t="n">
        <f aca="false">IF(E629="","",IF(OR(AND(H629="Plan A",$C$5="B"),AND(H629="Plan B",$C$5="A")),0,IF(OR(G629="per student",G629="per group",G629="per class"),E629*IF(B629="Year 7",$C$3,$C$4),E629)))</f>
        <v>12</v>
      </c>
      <c r="J629" s="12"/>
      <c r="K629" s="11"/>
      <c r="L629" s="11" t="str">
        <f aca="false">IF(OR(K629="",O629&lt;&gt;"",I629=""),"",ROUNDUP(I629*K629,0))</f>
        <v/>
      </c>
      <c r="M629" s="12" t="s">
        <v>2003</v>
      </c>
      <c r="N629" s="11"/>
      <c r="O629" s="12" t="s">
        <v>2004</v>
      </c>
      <c r="P629" s="12" t="s">
        <v>376</v>
      </c>
      <c r="Q629" s="13" t="s">
        <v>2005</v>
      </c>
      <c r="R629" s="11"/>
    </row>
    <row r="630" customFormat="false" ht="23.85" hidden="false" customHeight="false" outlineLevel="0" collapsed="false">
      <c r="A630" s="11" t="n">
        <v>9</v>
      </c>
      <c r="B630" s="12" t="s">
        <v>39</v>
      </c>
      <c r="C630" s="12" t="s">
        <v>124</v>
      </c>
      <c r="D630" s="12" t="s">
        <v>125</v>
      </c>
      <c r="E630" s="11" t="n">
        <v>1</v>
      </c>
      <c r="F630" s="12" t="s">
        <v>267</v>
      </c>
      <c r="G630" s="11" t="s">
        <v>127</v>
      </c>
      <c r="H630" s="11"/>
      <c r="I630" s="11" t="n">
        <f aca="false">IF(E630="","",IF(OR(AND(H630="Plan A",$C$5="B"),AND(H630="Plan B",$C$5="A")),0,IF(OR(G630="per student",G630="per group",G630="per class"),E630*IF(B630="Year 7",$C$3,$C$4),E630)))</f>
        <v>1</v>
      </c>
      <c r="J630" s="12"/>
      <c r="K630" s="11"/>
      <c r="L630" s="11" t="str">
        <f aca="false">IF(OR(K630="",O630&lt;&gt;"",I630=""),"",ROUNDUP(I630*K630,0))</f>
        <v/>
      </c>
      <c r="M630" s="12" t="s">
        <v>1428</v>
      </c>
      <c r="N630" s="11" t="s">
        <v>105</v>
      </c>
      <c r="O630" s="12" t="s">
        <v>855</v>
      </c>
      <c r="P630" s="12" t="s">
        <v>376</v>
      </c>
      <c r="Q630" s="13" t="s">
        <v>2006</v>
      </c>
      <c r="R630" s="11"/>
    </row>
    <row r="631" customFormat="false" ht="46.25" hidden="false" customHeight="false" outlineLevel="0" collapsed="false">
      <c r="A631" s="11" t="n">
        <v>9</v>
      </c>
      <c r="B631" s="12" t="s">
        <v>39</v>
      </c>
      <c r="C631" s="12" t="s">
        <v>144</v>
      </c>
      <c r="D631" s="12" t="s">
        <v>2007</v>
      </c>
      <c r="E631" s="11" t="n">
        <v>1</v>
      </c>
      <c r="F631" s="12" t="s">
        <v>2008</v>
      </c>
      <c r="G631" s="11" t="s">
        <v>127</v>
      </c>
      <c r="H631" s="11"/>
      <c r="I631" s="11" t="n">
        <f aca="false">IF(E631="","",IF(OR(AND(H631="Plan A",$C$5="B"),AND(H631="Plan B",$C$5="A")),0,IF(OR(G631="per student",G631="per group",G631="per class"),E631*IF(B631="Year 7",$C$3,$C$4),E631)))</f>
        <v>1</v>
      </c>
      <c r="J631" s="12"/>
      <c r="K631" s="11"/>
      <c r="L631" s="11" t="str">
        <f aca="false">IF(OR(K631="",O631&lt;&gt;"",I631=""),"",ROUNDUP(I631*K631,0))</f>
        <v/>
      </c>
      <c r="M631" s="12" t="s">
        <v>2009</v>
      </c>
      <c r="N631" s="11"/>
      <c r="O631" s="12"/>
      <c r="P631" s="13" t="s">
        <v>91</v>
      </c>
      <c r="Q631" s="13" t="s">
        <v>2010</v>
      </c>
      <c r="R631" s="11"/>
    </row>
    <row r="632" customFormat="false" ht="79.85" hidden="false" customHeight="false" outlineLevel="0" collapsed="false">
      <c r="A632" s="11" t="n">
        <v>9</v>
      </c>
      <c r="B632" s="12" t="s">
        <v>153</v>
      </c>
      <c r="C632" s="12" t="s">
        <v>40</v>
      </c>
      <c r="D632" s="12" t="s">
        <v>2011</v>
      </c>
      <c r="E632" s="11" t="n">
        <v>24</v>
      </c>
      <c r="F632" s="12" t="s">
        <v>887</v>
      </c>
      <c r="G632" s="11" t="s">
        <v>43</v>
      </c>
      <c r="H632" s="11"/>
      <c r="I632" s="11" t="n">
        <f aca="false">IF(E632="","",IF(OR(AND(H632="Plan A",$C$5="B"),AND(H632="Plan B",$C$5="A")),0,IF(OR(G632="per student",G632="per group",G632="per class"),E632*IF(B632="Year 7",$C$3,$C$4),E632)))</f>
        <v>24</v>
      </c>
      <c r="J632" s="12" t="s">
        <v>13</v>
      </c>
      <c r="K632" s="11" t="n">
        <v>2</v>
      </c>
      <c r="L632" s="11" t="n">
        <f aca="false">IF(OR(K632="",O632&lt;&gt;"",I632=""),"",ROUNDUP(I632*K632,0))</f>
        <v>48</v>
      </c>
      <c r="M632" s="12" t="s">
        <v>2012</v>
      </c>
      <c r="N632" s="11"/>
      <c r="O632" s="12"/>
      <c r="P632" s="12" t="s">
        <v>45</v>
      </c>
      <c r="Q632" s="13" t="s">
        <v>2013</v>
      </c>
      <c r="R632" s="11"/>
    </row>
    <row r="633" customFormat="false" ht="35.05" hidden="false" customHeight="false" outlineLevel="0" collapsed="false">
      <c r="A633" s="11" t="n">
        <v>9</v>
      </c>
      <c r="B633" s="12" t="s">
        <v>153</v>
      </c>
      <c r="C633" s="12" t="s">
        <v>40</v>
      </c>
      <c r="D633" s="12" t="s">
        <v>2014</v>
      </c>
      <c r="E633" s="11" t="n">
        <v>6</v>
      </c>
      <c r="F633" s="12" t="s">
        <v>2015</v>
      </c>
      <c r="G633" s="11" t="s">
        <v>66</v>
      </c>
      <c r="H633" s="11"/>
      <c r="I633" s="11" t="n">
        <f aca="false">IF(E633="","",IF(OR(AND(H633="Plan A",$C$5="B"),AND(H633="Plan B",$C$5="A")),0,IF(OR(G633="per student",G633="per group",G633="per class"),E633*IF(B633="Year 7",$C$3,$C$4),E633)))</f>
        <v>6</v>
      </c>
      <c r="J633" s="12" t="s">
        <v>18</v>
      </c>
      <c r="K633" s="11" t="n">
        <v>1</v>
      </c>
      <c r="L633" s="11" t="n">
        <f aca="false">IF(OR(K633="",O633&lt;&gt;"",I633=""),"",ROUNDUP(I633*K633,0))</f>
        <v>6</v>
      </c>
      <c r="M633" s="12" t="s">
        <v>2016</v>
      </c>
      <c r="N633" s="11"/>
      <c r="O633" s="12"/>
      <c r="P633" s="12" t="s">
        <v>77</v>
      </c>
      <c r="Q633" s="13" t="s">
        <v>2017</v>
      </c>
      <c r="R633" s="11"/>
    </row>
    <row r="634" customFormat="false" ht="57.45" hidden="false" customHeight="false" outlineLevel="0" collapsed="false">
      <c r="A634" s="11" t="n">
        <v>9</v>
      </c>
      <c r="B634" s="12" t="s">
        <v>153</v>
      </c>
      <c r="C634" s="12" t="s">
        <v>40</v>
      </c>
      <c r="D634" s="12" t="s">
        <v>2018</v>
      </c>
      <c r="E634" s="11" t="n">
        <v>1</v>
      </c>
      <c r="F634" s="12" t="s">
        <v>2019</v>
      </c>
      <c r="G634" s="11" t="s">
        <v>127</v>
      </c>
      <c r="H634" s="11"/>
      <c r="I634" s="11" t="n">
        <f aca="false">IF(E634="","",IF(OR(AND(H634="Plan A",$C$5="B"),AND(H634="Plan B",$C$5="A")),0,IF(OR(G634="per student",G634="per group",G634="per class"),E634*IF(B634="Year 7",$C$3,$C$4),E634)))</f>
        <v>1</v>
      </c>
      <c r="J634" s="12" t="s">
        <v>18</v>
      </c>
      <c r="K634" s="11" t="n">
        <v>1</v>
      </c>
      <c r="L634" s="11" t="n">
        <f aca="false">IF(OR(K634="",O634&lt;&gt;"",I634=""),"",ROUNDUP(I634*K634,0))</f>
        <v>1</v>
      </c>
      <c r="M634" s="12" t="s">
        <v>2020</v>
      </c>
      <c r="N634" s="11"/>
      <c r="O634" s="12"/>
      <c r="P634" s="13" t="s">
        <v>91</v>
      </c>
      <c r="Q634" s="13" t="s">
        <v>2021</v>
      </c>
      <c r="R634" s="11"/>
    </row>
    <row r="635" customFormat="false" ht="68.65" hidden="false" customHeight="false" outlineLevel="0" collapsed="false">
      <c r="A635" s="11" t="n">
        <v>9</v>
      </c>
      <c r="B635" s="12" t="s">
        <v>153</v>
      </c>
      <c r="C635" s="12" t="s">
        <v>40</v>
      </c>
      <c r="D635" s="12" t="s">
        <v>2022</v>
      </c>
      <c r="E635" s="11" t="n">
        <v>6</v>
      </c>
      <c r="F635" s="12" t="s">
        <v>2023</v>
      </c>
      <c r="G635" s="11" t="s">
        <v>66</v>
      </c>
      <c r="H635" s="11"/>
      <c r="I635" s="11" t="n">
        <f aca="false">IF(E635="","",IF(OR(AND(H635="Plan A",$C$5="B"),AND(H635="Plan B",$C$5="A")),0,IF(OR(G635="per student",G635="per group",G635="per class"),E635*IF(B635="Year 7",$C$3,$C$4),E635)))</f>
        <v>6</v>
      </c>
      <c r="J635" s="12" t="s">
        <v>20</v>
      </c>
      <c r="K635" s="11" t="n">
        <v>1</v>
      </c>
      <c r="L635" s="11" t="n">
        <f aca="false">IF(OR(K635="",O635&lt;&gt;"",I635=""),"",ROUNDUP(I635*K635,0))</f>
        <v>6</v>
      </c>
      <c r="M635" s="12" t="s">
        <v>2024</v>
      </c>
      <c r="N635" s="11"/>
      <c r="O635" s="12"/>
      <c r="P635" s="12" t="s">
        <v>45</v>
      </c>
      <c r="Q635" s="13" t="s">
        <v>2025</v>
      </c>
      <c r="R635" s="11"/>
    </row>
    <row r="636" customFormat="false" ht="46.25" hidden="false" customHeight="false" outlineLevel="0" collapsed="false">
      <c r="A636" s="11" t="n">
        <v>9</v>
      </c>
      <c r="B636" s="12" t="s">
        <v>153</v>
      </c>
      <c r="C636" s="12" t="s">
        <v>40</v>
      </c>
      <c r="D636" s="12" t="s">
        <v>2026</v>
      </c>
      <c r="E636" s="11" t="n">
        <v>6</v>
      </c>
      <c r="F636" s="12" t="s">
        <v>2027</v>
      </c>
      <c r="G636" s="11" t="s">
        <v>66</v>
      </c>
      <c r="H636" s="11"/>
      <c r="I636" s="11" t="n">
        <f aca="false">IF(E636="","",IF(OR(AND(H636="Plan A",$C$5="B"),AND(H636="Plan B",$C$5="A")),0,IF(OR(G636="per student",G636="per group",G636="per class"),E636*IF(B636="Year 7",$C$3,$C$4),E636)))</f>
        <v>6</v>
      </c>
      <c r="J636" s="12" t="s">
        <v>18</v>
      </c>
      <c r="K636" s="11" t="n">
        <v>1</v>
      </c>
      <c r="L636" s="11" t="n">
        <f aca="false">IF(OR(K636="",O636&lt;&gt;"",I636=""),"",ROUNDUP(I636*K636,0))</f>
        <v>6</v>
      </c>
      <c r="M636" s="12" t="s">
        <v>2028</v>
      </c>
      <c r="N636" s="11"/>
      <c r="O636" s="12"/>
      <c r="P636" s="12" t="s">
        <v>77</v>
      </c>
      <c r="Q636" s="13" t="s">
        <v>2029</v>
      </c>
      <c r="R636" s="11"/>
    </row>
    <row r="637" customFormat="false" ht="23.85" hidden="false" customHeight="false" outlineLevel="0" collapsed="false">
      <c r="A637" s="11" t="n">
        <v>9</v>
      </c>
      <c r="B637" s="12" t="s">
        <v>153</v>
      </c>
      <c r="C637" s="12" t="s">
        <v>40</v>
      </c>
      <c r="D637" s="12" t="s">
        <v>2030</v>
      </c>
      <c r="E637" s="11" t="n">
        <v>24</v>
      </c>
      <c r="F637" s="12" t="s">
        <v>222</v>
      </c>
      <c r="G637" s="11" t="s">
        <v>43</v>
      </c>
      <c r="H637" s="11"/>
      <c r="I637" s="11" t="n">
        <f aca="false">IF(E637="","",IF(OR(AND(H637="Plan A",$C$5="B"),AND(H637="Plan B",$C$5="A")),0,IF(OR(G637="per student",G637="per group",G637="per class"),E637*IF(B637="Year 7",$C$3,$C$4),E637)))</f>
        <v>24</v>
      </c>
      <c r="J637" s="12" t="s">
        <v>13</v>
      </c>
      <c r="K637" s="11" t="n">
        <v>1</v>
      </c>
      <c r="L637" s="11" t="n">
        <f aca="false">IF(OR(K637="",O637&lt;&gt;"",I637=""),"",ROUNDUP(I637*K637,0))</f>
        <v>24</v>
      </c>
      <c r="M637" s="12" t="s">
        <v>2031</v>
      </c>
      <c r="N637" s="11" t="s">
        <v>105</v>
      </c>
      <c r="O637" s="12"/>
      <c r="P637" s="12" t="s">
        <v>45</v>
      </c>
      <c r="Q637" s="13" t="s">
        <v>2032</v>
      </c>
      <c r="R637" s="11"/>
    </row>
    <row r="638" customFormat="false" ht="57.45" hidden="false" customHeight="false" outlineLevel="0" collapsed="false">
      <c r="A638" s="11" t="n">
        <v>9</v>
      </c>
      <c r="B638" s="12" t="s">
        <v>153</v>
      </c>
      <c r="C638" s="12" t="s">
        <v>40</v>
      </c>
      <c r="D638" s="12" t="s">
        <v>2033</v>
      </c>
      <c r="E638" s="11" t="n">
        <v>24</v>
      </c>
      <c r="F638" s="12" t="s">
        <v>2034</v>
      </c>
      <c r="G638" s="11" t="s">
        <v>43</v>
      </c>
      <c r="H638" s="11"/>
      <c r="I638" s="11" t="n">
        <f aca="false">IF(E638="","",IF(OR(AND(H638="Plan A",$C$5="B"),AND(H638="Plan B",$C$5="A")),0,IF(OR(G638="per student",G638="per group",G638="per class"),E638*IF(B638="Year 7",$C$3,$C$4),E638)))</f>
        <v>24</v>
      </c>
      <c r="J638" s="12" t="s">
        <v>13</v>
      </c>
      <c r="K638" s="11" t="n">
        <v>0.5</v>
      </c>
      <c r="L638" s="11" t="n">
        <f aca="false">IF(OR(K638="",O638&lt;&gt;"",I638=""),"",ROUNDUP(I638*K638,0))</f>
        <v>12</v>
      </c>
      <c r="M638" s="12" t="s">
        <v>2035</v>
      </c>
      <c r="N638" s="11"/>
      <c r="O638" s="12"/>
      <c r="P638" s="12" t="s">
        <v>45</v>
      </c>
      <c r="Q638" s="13" t="s">
        <v>2036</v>
      </c>
      <c r="R638" s="11"/>
    </row>
    <row r="639" customFormat="false" ht="57.45" hidden="false" customHeight="false" outlineLevel="0" collapsed="false">
      <c r="A639" s="11" t="n">
        <v>9</v>
      </c>
      <c r="B639" s="12" t="s">
        <v>153</v>
      </c>
      <c r="C639" s="12" t="s">
        <v>40</v>
      </c>
      <c r="D639" s="12" t="s">
        <v>2037</v>
      </c>
      <c r="E639" s="11" t="n">
        <v>1</v>
      </c>
      <c r="F639" s="12" t="s">
        <v>2038</v>
      </c>
      <c r="G639" s="11" t="s">
        <v>127</v>
      </c>
      <c r="H639" s="11"/>
      <c r="I639" s="11" t="n">
        <f aca="false">IF(E639="","",IF(OR(AND(H639="Plan A",$C$5="B"),AND(H639="Plan B",$C$5="A")),0,IF(OR(G639="per student",G639="per group",G639="per class"),E639*IF(B639="Year 7",$C$3,$C$4),E639)))</f>
        <v>1</v>
      </c>
      <c r="J639" s="12" t="s">
        <v>13</v>
      </c>
      <c r="K639" s="11" t="n">
        <v>1</v>
      </c>
      <c r="L639" s="11" t="n">
        <f aca="false">IF(OR(K639="",O639&lt;&gt;"",I639=""),"",ROUNDUP(I639*K639,0))</f>
        <v>1</v>
      </c>
      <c r="M639" s="12" t="s">
        <v>2039</v>
      </c>
      <c r="N639" s="11"/>
      <c r="O639" s="12"/>
      <c r="P639" s="12" t="s">
        <v>45</v>
      </c>
      <c r="Q639" s="13" t="s">
        <v>2040</v>
      </c>
      <c r="R639" s="11"/>
    </row>
    <row r="640" customFormat="false" ht="15" hidden="false" customHeight="false" outlineLevel="0" collapsed="false">
      <c r="A640" s="11" t="n">
        <v>9</v>
      </c>
      <c r="B640" s="12" t="s">
        <v>153</v>
      </c>
      <c r="C640" s="12" t="s">
        <v>40</v>
      </c>
      <c r="D640" s="12" t="s">
        <v>2041</v>
      </c>
      <c r="E640" s="11" t="n">
        <v>1</v>
      </c>
      <c r="F640" s="12" t="s">
        <v>2042</v>
      </c>
      <c r="G640" s="11" t="s">
        <v>127</v>
      </c>
      <c r="H640" s="11"/>
      <c r="I640" s="11" t="n">
        <f aca="false">IF(E640="","",IF(OR(AND(H640="Plan A",$C$5="B"),AND(H640="Plan B",$C$5="A")),0,IF(OR(G640="per student",G640="per group",G640="per class"),E640*IF(B640="Year 7",$C$3,$C$4),E640)))</f>
        <v>1</v>
      </c>
      <c r="J640" s="12" t="s">
        <v>20</v>
      </c>
      <c r="K640" s="11" t="n">
        <v>1</v>
      </c>
      <c r="L640" s="11" t="n">
        <f aca="false">IF(OR(K640="",O640&lt;&gt;"",I640=""),"",ROUNDUP(I640*K640,0))</f>
        <v>1</v>
      </c>
      <c r="M640" s="12" t="s">
        <v>2043</v>
      </c>
      <c r="N640" s="11"/>
      <c r="O640" s="12"/>
      <c r="P640" s="12" t="s">
        <v>45</v>
      </c>
      <c r="Q640" s="12"/>
      <c r="R640" s="11"/>
    </row>
    <row r="641" customFormat="false" ht="23.85" hidden="false" customHeight="false" outlineLevel="0" collapsed="false">
      <c r="A641" s="11" t="n">
        <v>9</v>
      </c>
      <c r="B641" s="12" t="s">
        <v>153</v>
      </c>
      <c r="C641" s="12" t="s">
        <v>40</v>
      </c>
      <c r="D641" s="12" t="s">
        <v>2044</v>
      </c>
      <c r="E641" s="11" t="n">
        <v>1</v>
      </c>
      <c r="F641" s="12" t="s">
        <v>2045</v>
      </c>
      <c r="G641" s="11" t="s">
        <v>75</v>
      </c>
      <c r="H641" s="11"/>
      <c r="I641" s="11" t="n">
        <f aca="false">IF(E641="","",IF(OR(AND(H641="Plan A",$C$5="B"),AND(H641="Plan B",$C$5="A")),0,IF(OR(G641="per student",G641="per group",G641="per class"),E641*IF(B641="Year 7",$C$3,$C$4),E641)))</f>
        <v>1</v>
      </c>
      <c r="J641" s="12" t="s">
        <v>13</v>
      </c>
      <c r="K641" s="11" t="n">
        <v>1</v>
      </c>
      <c r="L641" s="11" t="n">
        <f aca="false">IF(OR(K641="",O641&lt;&gt;"",I641=""),"",ROUNDUP(I641*K641,0))</f>
        <v>1</v>
      </c>
      <c r="M641" s="12" t="s">
        <v>2046</v>
      </c>
      <c r="N641" s="11" t="s">
        <v>105</v>
      </c>
      <c r="O641" s="12"/>
      <c r="P641" s="12" t="s">
        <v>45</v>
      </c>
      <c r="Q641" s="13" t="s">
        <v>2047</v>
      </c>
      <c r="R641" s="11"/>
    </row>
    <row r="642" customFormat="false" ht="46.25" hidden="false" customHeight="false" outlineLevel="0" collapsed="false">
      <c r="A642" s="11" t="n">
        <v>9</v>
      </c>
      <c r="B642" s="12" t="s">
        <v>153</v>
      </c>
      <c r="C642" s="12" t="s">
        <v>40</v>
      </c>
      <c r="D642" s="12" t="s">
        <v>2048</v>
      </c>
      <c r="E642" s="11" t="n">
        <v>1</v>
      </c>
      <c r="F642" s="12" t="s">
        <v>2049</v>
      </c>
      <c r="G642" s="11" t="s">
        <v>127</v>
      </c>
      <c r="H642" s="11"/>
      <c r="I642" s="11" t="n">
        <f aca="false">IF(E642="","",IF(OR(AND(H642="Plan A",$C$5="B"),AND(H642="Plan B",$C$5="A")),0,IF(OR(G642="per student",G642="per group",G642="per class"),E642*IF(B642="Year 7",$C$3,$C$4),E642)))</f>
        <v>1</v>
      </c>
      <c r="J642" s="12"/>
      <c r="K642" s="11" t="n">
        <v>1</v>
      </c>
      <c r="L642" s="11" t="n">
        <f aca="false">IF(OR(K642="",O642&lt;&gt;"",I642=""),"",ROUNDUP(I642*K642,0))</f>
        <v>1</v>
      </c>
      <c r="M642" s="12" t="s">
        <v>2050</v>
      </c>
      <c r="N642" s="11" t="s">
        <v>105</v>
      </c>
      <c r="O642" s="12"/>
      <c r="P642" s="12" t="s">
        <v>77</v>
      </c>
      <c r="Q642" s="13" t="s">
        <v>2051</v>
      </c>
      <c r="R642" s="11"/>
    </row>
    <row r="643" customFormat="false" ht="57.45" hidden="false" customHeight="false" outlineLevel="0" collapsed="false">
      <c r="A643" s="11" t="n">
        <v>9</v>
      </c>
      <c r="B643" s="12" t="s">
        <v>153</v>
      </c>
      <c r="C643" s="12" t="s">
        <v>97</v>
      </c>
      <c r="D643" s="12" t="s">
        <v>2052</v>
      </c>
      <c r="E643" s="11" t="n">
        <v>6</v>
      </c>
      <c r="F643" s="12" t="s">
        <v>2053</v>
      </c>
      <c r="G643" s="11" t="s">
        <v>66</v>
      </c>
      <c r="H643" s="11"/>
      <c r="I643" s="11" t="n">
        <f aca="false">IF(E643="","",IF(OR(AND(H643="Plan A",$C$5="B"),AND(H643="Plan B",$C$5="A")),0,IF(OR(G643="per student",G643="per group",G643="per class"),E643*IF(B643="Year 7",$C$3,$C$4),E643)))</f>
        <v>6</v>
      </c>
      <c r="J643" s="12" t="s">
        <v>14</v>
      </c>
      <c r="K643" s="11" t="n">
        <v>1</v>
      </c>
      <c r="L643" s="11" t="n">
        <f aca="false">IF(OR(K643="",O643&lt;&gt;"",I643=""),"",ROUNDUP(I643*K643,0))</f>
        <v>6</v>
      </c>
      <c r="M643" s="12" t="s">
        <v>2054</v>
      </c>
      <c r="N643" s="11"/>
      <c r="O643" s="12"/>
      <c r="P643" s="12" t="s">
        <v>77</v>
      </c>
      <c r="Q643" s="13" t="s">
        <v>2055</v>
      </c>
      <c r="R643" s="11"/>
    </row>
    <row r="644" customFormat="false" ht="35.05" hidden="false" customHeight="false" outlineLevel="0" collapsed="false">
      <c r="A644" s="11" t="n">
        <v>9</v>
      </c>
      <c r="B644" s="12" t="s">
        <v>153</v>
      </c>
      <c r="C644" s="12" t="s">
        <v>97</v>
      </c>
      <c r="D644" s="12" t="s">
        <v>2056</v>
      </c>
      <c r="E644" s="11" t="n">
        <v>6</v>
      </c>
      <c r="F644" s="12" t="s">
        <v>2057</v>
      </c>
      <c r="G644" s="11" t="s">
        <v>66</v>
      </c>
      <c r="H644" s="11"/>
      <c r="I644" s="11" t="n">
        <f aca="false">IF(E644="","",IF(OR(AND(H644="Plan A",$C$5="B"),AND(H644="Plan B",$C$5="A")),0,IF(OR(G644="per student",G644="per group",G644="per class"),E644*IF(B644="Year 7",$C$3,$C$4),E644)))</f>
        <v>6</v>
      </c>
      <c r="J644" s="12"/>
      <c r="K644" s="11"/>
      <c r="L644" s="11" t="str">
        <f aca="false">IF(OR(K644="",O644&lt;&gt;"",I644=""),"",ROUNDUP(I644*K644,0))</f>
        <v/>
      </c>
      <c r="M644" s="12" t="s">
        <v>2058</v>
      </c>
      <c r="N644" s="11"/>
      <c r="O644" s="12"/>
      <c r="P644" s="12" t="s">
        <v>77</v>
      </c>
      <c r="Q644" s="13" t="s">
        <v>2059</v>
      </c>
      <c r="R644" s="11"/>
    </row>
    <row r="645" customFormat="false" ht="23.85" hidden="false" customHeight="false" outlineLevel="0" collapsed="false">
      <c r="A645" s="11" t="n">
        <v>9</v>
      </c>
      <c r="B645" s="12" t="s">
        <v>153</v>
      </c>
      <c r="C645" s="12" t="s">
        <v>97</v>
      </c>
      <c r="D645" s="12" t="s">
        <v>2060</v>
      </c>
      <c r="E645" s="11" t="n">
        <v>1</v>
      </c>
      <c r="F645" s="12" t="s">
        <v>2061</v>
      </c>
      <c r="G645" s="11" t="s">
        <v>127</v>
      </c>
      <c r="H645" s="11"/>
      <c r="I645" s="11" t="n">
        <f aca="false">IF(E645="","",IF(OR(AND(H645="Plan A",$C$5="B"),AND(H645="Plan B",$C$5="A")),0,IF(OR(G645="per student",G645="per group",G645="per class"),E645*IF(B645="Year 7",$C$3,$C$4),E645)))</f>
        <v>1</v>
      </c>
      <c r="J645" s="12"/>
      <c r="K645" s="11"/>
      <c r="L645" s="11" t="str">
        <f aca="false">IF(OR(K645="",O645&lt;&gt;"",I645=""),"",ROUNDUP(I645*K645,0))</f>
        <v/>
      </c>
      <c r="M645" s="12" t="s">
        <v>2062</v>
      </c>
      <c r="N645" s="11"/>
      <c r="O645" s="12"/>
      <c r="P645" s="12" t="s">
        <v>77</v>
      </c>
      <c r="Q645" s="12"/>
      <c r="R645" s="11"/>
    </row>
    <row r="646" customFormat="false" ht="35.05" hidden="false" customHeight="false" outlineLevel="0" collapsed="false">
      <c r="A646" s="11" t="n">
        <v>9</v>
      </c>
      <c r="B646" s="12" t="s">
        <v>153</v>
      </c>
      <c r="C646" s="12" t="s">
        <v>97</v>
      </c>
      <c r="D646" s="12" t="s">
        <v>2063</v>
      </c>
      <c r="E646" s="11" t="n">
        <v>24</v>
      </c>
      <c r="F646" s="12" t="s">
        <v>314</v>
      </c>
      <c r="G646" s="11" t="s">
        <v>43</v>
      </c>
      <c r="H646" s="11"/>
      <c r="I646" s="11" t="n">
        <f aca="false">IF(E646="","",IF(OR(AND(H646="Plan A",$C$5="B"),AND(H646="Plan B",$C$5="A")),0,IF(OR(G646="per student",G646="per group",G646="per class"),E646*IF(B646="Year 7",$C$3,$C$4),E646)))</f>
        <v>24</v>
      </c>
      <c r="J646" s="12"/>
      <c r="K646" s="11"/>
      <c r="L646" s="11" t="str">
        <f aca="false">IF(OR(K646="",O646&lt;&gt;"",I646=""),"",ROUNDUP(I646*K646,0))</f>
        <v/>
      </c>
      <c r="M646" s="12" t="s">
        <v>2064</v>
      </c>
      <c r="N646" s="11"/>
      <c r="O646" s="12" t="s">
        <v>791</v>
      </c>
      <c r="P646" s="12" t="s">
        <v>376</v>
      </c>
      <c r="Q646" s="13" t="s">
        <v>2065</v>
      </c>
      <c r="R646" s="11"/>
    </row>
    <row r="647" customFormat="false" ht="23.85" hidden="false" customHeight="false" outlineLevel="0" collapsed="false">
      <c r="A647" s="11" t="n">
        <v>9</v>
      </c>
      <c r="B647" s="12" t="s">
        <v>153</v>
      </c>
      <c r="C647" s="12" t="s">
        <v>97</v>
      </c>
      <c r="D647" s="12" t="s">
        <v>120</v>
      </c>
      <c r="E647" s="11" t="n">
        <v>24</v>
      </c>
      <c r="F647" s="12" t="s">
        <v>248</v>
      </c>
      <c r="G647" s="11" t="s">
        <v>43</v>
      </c>
      <c r="H647" s="11"/>
      <c r="I647" s="11" t="n">
        <f aca="false">IF(E647="","",IF(OR(AND(H647="Plan A",$C$5="B"),AND(H647="Plan B",$C$5="A")),0,IF(OR(G647="per student",G647="per group",G647="per class"),E647*IF(B647="Year 7",$C$3,$C$4),E647)))</f>
        <v>24</v>
      </c>
      <c r="J647" s="12"/>
      <c r="K647" s="11"/>
      <c r="L647" s="11" t="str">
        <f aca="false">IF(OR(K647="",O647&lt;&gt;"",I647=""),"",ROUNDUP(I647*K647,0))</f>
        <v/>
      </c>
      <c r="M647" s="12" t="s">
        <v>2066</v>
      </c>
      <c r="N647" s="11"/>
      <c r="O647" s="12" t="s">
        <v>2067</v>
      </c>
      <c r="P647" s="12" t="s">
        <v>376</v>
      </c>
      <c r="Q647" s="13" t="s">
        <v>2068</v>
      </c>
      <c r="R647" s="11"/>
    </row>
    <row r="648" customFormat="false" ht="35.05" hidden="false" customHeight="false" outlineLevel="0" collapsed="false">
      <c r="A648" s="11" t="n">
        <v>9</v>
      </c>
      <c r="B648" s="12" t="s">
        <v>153</v>
      </c>
      <c r="C648" s="12" t="s">
        <v>97</v>
      </c>
      <c r="D648" s="12" t="s">
        <v>641</v>
      </c>
      <c r="E648" s="11" t="n">
        <v>6</v>
      </c>
      <c r="F648" s="12" t="s">
        <v>373</v>
      </c>
      <c r="G648" s="11" t="s">
        <v>66</v>
      </c>
      <c r="H648" s="11"/>
      <c r="I648" s="11" t="n">
        <f aca="false">IF(E648="","",IF(OR(AND(H648="Plan A",$C$5="B"),AND(H648="Plan B",$C$5="A")),0,IF(OR(G648="per student",G648="per group",G648="per class"),E648*IF(B648="Year 7",$C$3,$C$4),E648)))</f>
        <v>6</v>
      </c>
      <c r="J648" s="12"/>
      <c r="K648" s="11"/>
      <c r="L648" s="11" t="str">
        <f aca="false">IF(OR(K648="",O648&lt;&gt;"",I648=""),"",ROUNDUP(I648*K648,0))</f>
        <v/>
      </c>
      <c r="M648" s="12" t="s">
        <v>2069</v>
      </c>
      <c r="N648" s="11"/>
      <c r="O648" s="12" t="s">
        <v>481</v>
      </c>
      <c r="P648" s="12" t="s">
        <v>376</v>
      </c>
      <c r="Q648" s="12"/>
      <c r="R648" s="11"/>
    </row>
    <row r="649" customFormat="false" ht="35.05" hidden="false" customHeight="false" outlineLevel="0" collapsed="false">
      <c r="A649" s="11" t="n">
        <v>9</v>
      </c>
      <c r="B649" s="12" t="s">
        <v>153</v>
      </c>
      <c r="C649" s="12" t="s">
        <v>97</v>
      </c>
      <c r="D649" s="12" t="s">
        <v>482</v>
      </c>
      <c r="E649" s="11" t="n">
        <v>6</v>
      </c>
      <c r="F649" s="12" t="s">
        <v>373</v>
      </c>
      <c r="G649" s="11" t="s">
        <v>66</v>
      </c>
      <c r="H649" s="11"/>
      <c r="I649" s="11" t="n">
        <f aca="false">IF(E649="","",IF(OR(AND(H649="Plan A",$C$5="B"),AND(H649="Plan B",$C$5="A")),0,IF(OR(G649="per student",G649="per group",G649="per class"),E649*IF(B649="Year 7",$C$3,$C$4),E649)))</f>
        <v>6</v>
      </c>
      <c r="J649" s="12"/>
      <c r="K649" s="11"/>
      <c r="L649" s="11" t="str">
        <f aca="false">IF(OR(K649="",O649&lt;&gt;"",I649=""),"",ROUNDUP(I649*K649,0))</f>
        <v/>
      </c>
      <c r="M649" s="12" t="s">
        <v>2070</v>
      </c>
      <c r="N649" s="11"/>
      <c r="O649" s="12" t="s">
        <v>484</v>
      </c>
      <c r="P649" s="12" t="s">
        <v>376</v>
      </c>
      <c r="Q649" s="13" t="s">
        <v>2071</v>
      </c>
      <c r="R649" s="11"/>
    </row>
    <row r="650" customFormat="false" ht="23.85" hidden="false" customHeight="false" outlineLevel="0" collapsed="false">
      <c r="A650" s="11" t="n">
        <v>9</v>
      </c>
      <c r="B650" s="12" t="s">
        <v>153</v>
      </c>
      <c r="C650" s="12" t="s">
        <v>97</v>
      </c>
      <c r="D650" s="12" t="s">
        <v>485</v>
      </c>
      <c r="E650" s="11" t="n">
        <v>24</v>
      </c>
      <c r="F650" s="12" t="s">
        <v>368</v>
      </c>
      <c r="G650" s="11" t="s">
        <v>43</v>
      </c>
      <c r="H650" s="11"/>
      <c r="I650" s="11" t="n">
        <f aca="false">IF(E650="","",IF(OR(AND(H650="Plan A",$C$5="B"),AND(H650="Plan B",$C$5="A")),0,IF(OR(G650="per student",G650="per group",G650="per class"),E650*IF(B650="Year 7",$C$3,$C$4),E650)))</f>
        <v>24</v>
      </c>
      <c r="J650" s="12"/>
      <c r="K650" s="11"/>
      <c r="L650" s="11" t="str">
        <f aca="false">IF(OR(K650="",O650&lt;&gt;"",I650=""),"",ROUNDUP(I650*K650,0))</f>
        <v/>
      </c>
      <c r="M650" s="12" t="s">
        <v>2072</v>
      </c>
      <c r="N650" s="11"/>
      <c r="O650" s="12" t="s">
        <v>808</v>
      </c>
      <c r="P650" s="12" t="s">
        <v>376</v>
      </c>
      <c r="Q650" s="13" t="s">
        <v>2073</v>
      </c>
      <c r="R650" s="11"/>
    </row>
    <row r="651" customFormat="false" ht="23.85" hidden="false" customHeight="false" outlineLevel="0" collapsed="false">
      <c r="A651" s="11" t="n">
        <v>9</v>
      </c>
      <c r="B651" s="12" t="s">
        <v>153</v>
      </c>
      <c r="C651" s="12" t="s">
        <v>124</v>
      </c>
      <c r="D651" s="12" t="s">
        <v>125</v>
      </c>
      <c r="E651" s="11" t="n">
        <v>1</v>
      </c>
      <c r="F651" s="12" t="s">
        <v>267</v>
      </c>
      <c r="G651" s="11" t="s">
        <v>127</v>
      </c>
      <c r="H651" s="11"/>
      <c r="I651" s="11" t="n">
        <f aca="false">IF(E651="","",IF(OR(AND(H651="Plan A",$C$5="B"),AND(H651="Plan B",$C$5="A")),0,IF(OR(G651="per student",G651="per group",G651="per class"),E651*IF(B651="Year 7",$C$3,$C$4),E651)))</f>
        <v>1</v>
      </c>
      <c r="J651" s="12"/>
      <c r="K651" s="11"/>
      <c r="L651" s="11" t="str">
        <f aca="false">IF(OR(K651="",O651&lt;&gt;"",I651=""),"",ROUNDUP(I651*K651,0))</f>
        <v/>
      </c>
      <c r="M651" s="12" t="s">
        <v>2074</v>
      </c>
      <c r="N651" s="11"/>
      <c r="O651" s="12" t="s">
        <v>855</v>
      </c>
      <c r="P651" s="12" t="s">
        <v>376</v>
      </c>
      <c r="Q651" s="12"/>
      <c r="R651" s="11"/>
    </row>
    <row r="652" customFormat="false" ht="35.05" hidden="false" customHeight="false" outlineLevel="0" collapsed="false">
      <c r="A652" s="11" t="n">
        <v>9</v>
      </c>
      <c r="B652" s="12" t="s">
        <v>153</v>
      </c>
      <c r="C652" s="12" t="s">
        <v>124</v>
      </c>
      <c r="D652" s="12" t="s">
        <v>2075</v>
      </c>
      <c r="E652" s="11" t="n">
        <v>1</v>
      </c>
      <c r="F652" s="12" t="s">
        <v>1372</v>
      </c>
      <c r="G652" s="11" t="s">
        <v>127</v>
      </c>
      <c r="H652" s="11"/>
      <c r="I652" s="11" t="n">
        <f aca="false">IF(E652="","",IF(OR(AND(H652="Plan A",$C$5="B"),AND(H652="Plan B",$C$5="A")),0,IF(OR(G652="per student",G652="per group",G652="per class"),E652*IF(B652="Year 7",$C$3,$C$4),E652)))</f>
        <v>1</v>
      </c>
      <c r="J652" s="12"/>
      <c r="K652" s="11"/>
      <c r="L652" s="11" t="str">
        <f aca="false">IF(OR(K652="",O652&lt;&gt;"",I652=""),"",ROUNDUP(I652*K652,0))</f>
        <v/>
      </c>
      <c r="M652" s="12" t="s">
        <v>2076</v>
      </c>
      <c r="N652" s="11" t="s">
        <v>105</v>
      </c>
      <c r="O652" s="12" t="s">
        <v>2077</v>
      </c>
      <c r="P652" s="12" t="s">
        <v>376</v>
      </c>
      <c r="Q652" s="13" t="s">
        <v>2078</v>
      </c>
      <c r="R652" s="11"/>
    </row>
    <row r="653" customFormat="false" ht="23.85" hidden="false" customHeight="false" outlineLevel="0" collapsed="false">
      <c r="A653" s="11" t="n">
        <v>9</v>
      </c>
      <c r="B653" s="12" t="s">
        <v>153</v>
      </c>
      <c r="C653" s="12" t="s">
        <v>124</v>
      </c>
      <c r="D653" s="12" t="s">
        <v>2079</v>
      </c>
      <c r="E653" s="11"/>
      <c r="F653" s="12" t="s">
        <v>2080</v>
      </c>
      <c r="G653" s="11" t="s">
        <v>127</v>
      </c>
      <c r="H653" s="11"/>
      <c r="I653" s="11" t="str">
        <f aca="false">IF(E653="","",IF(OR(AND(H653="Plan A",$C$5="B"),AND(H653="Plan B",$C$5="A")),0,IF(OR(G653="per student",G653="per group",G653="per class"),E653*IF(B653="Year 7",$C$3,$C$4),E653)))</f>
        <v/>
      </c>
      <c r="J653" s="12"/>
      <c r="K653" s="11"/>
      <c r="L653" s="11" t="str">
        <f aca="false">IF(OR(K653="",O653&lt;&gt;"",I653=""),"",ROUNDUP(I653*K653,0))</f>
        <v/>
      </c>
      <c r="M653" s="12" t="s">
        <v>2081</v>
      </c>
      <c r="N653" s="11"/>
      <c r="O653" s="12" t="s">
        <v>2082</v>
      </c>
      <c r="P653" s="12" t="s">
        <v>376</v>
      </c>
      <c r="Q653" s="13" t="s">
        <v>2083</v>
      </c>
      <c r="R653" s="11"/>
    </row>
    <row r="654" customFormat="false" ht="46.25" hidden="false" customHeight="false" outlineLevel="0" collapsed="false">
      <c r="A654" s="11" t="n">
        <v>9</v>
      </c>
      <c r="B654" s="12" t="s">
        <v>153</v>
      </c>
      <c r="C654" s="12" t="s">
        <v>124</v>
      </c>
      <c r="D654" s="12" t="s">
        <v>2084</v>
      </c>
      <c r="E654" s="11" t="n">
        <v>1</v>
      </c>
      <c r="F654" s="12" t="s">
        <v>2085</v>
      </c>
      <c r="G654" s="11" t="s">
        <v>127</v>
      </c>
      <c r="H654" s="11"/>
      <c r="I654" s="11" t="n">
        <f aca="false">IF(E654="","",IF(OR(AND(H654="Plan A",$C$5="B"),AND(H654="Plan B",$C$5="A")),0,IF(OR(G654="per student",G654="per group",G654="per class"),E654*IF(B654="Year 7",$C$3,$C$4),E654)))</f>
        <v>1</v>
      </c>
      <c r="J654" s="12"/>
      <c r="K654" s="11"/>
      <c r="L654" s="11" t="str">
        <f aca="false">IF(OR(K654="",O654&lt;&gt;"",I654=""),"",ROUNDUP(I654*K654,0))</f>
        <v/>
      </c>
      <c r="M654" s="12" t="s">
        <v>2086</v>
      </c>
      <c r="N654" s="11"/>
      <c r="O654" s="12" t="s">
        <v>2087</v>
      </c>
      <c r="P654" s="12" t="s">
        <v>376</v>
      </c>
      <c r="Q654" s="13" t="s">
        <v>2088</v>
      </c>
      <c r="R654" s="11"/>
    </row>
    <row r="655" customFormat="false" ht="35.05" hidden="false" customHeight="false" outlineLevel="0" collapsed="false">
      <c r="A655" s="11" t="n">
        <v>9</v>
      </c>
      <c r="B655" s="12" t="s">
        <v>153</v>
      </c>
      <c r="C655" s="12" t="s">
        <v>124</v>
      </c>
      <c r="D655" s="12" t="s">
        <v>2089</v>
      </c>
      <c r="E655" s="11"/>
      <c r="F655" s="12" t="s">
        <v>2090</v>
      </c>
      <c r="G655" s="11" t="s">
        <v>127</v>
      </c>
      <c r="H655" s="11"/>
      <c r="I655" s="11" t="str">
        <f aca="false">IF(E655="","",IF(OR(AND(H655="Plan A",$C$5="B"),AND(H655="Plan B",$C$5="A")),0,IF(OR(G655="per student",G655="per group",G655="per class"),E655*IF(B655="Year 7",$C$3,$C$4),E655)))</f>
        <v/>
      </c>
      <c r="J655" s="12"/>
      <c r="K655" s="11"/>
      <c r="L655" s="11" t="str">
        <f aca="false">IF(OR(K655="",O655&lt;&gt;"",I655=""),"",ROUNDUP(I655*K655,0))</f>
        <v/>
      </c>
      <c r="M655" s="12" t="s">
        <v>2091</v>
      </c>
      <c r="N655" s="11"/>
      <c r="O655" s="12" t="s">
        <v>2092</v>
      </c>
      <c r="P655" s="12" t="s">
        <v>376</v>
      </c>
      <c r="Q655" s="13" t="s">
        <v>2093</v>
      </c>
      <c r="R655" s="11"/>
    </row>
    <row r="656" customFormat="false" ht="35.05" hidden="false" customHeight="false" outlineLevel="0" collapsed="false">
      <c r="A656" s="11" t="n">
        <v>9</v>
      </c>
      <c r="B656" s="12" t="s">
        <v>153</v>
      </c>
      <c r="C656" s="12" t="s">
        <v>124</v>
      </c>
      <c r="D656" s="12" t="s">
        <v>1115</v>
      </c>
      <c r="E656" s="11" t="n">
        <v>1</v>
      </c>
      <c r="F656" s="12" t="s">
        <v>1870</v>
      </c>
      <c r="G656" s="11" t="s">
        <v>127</v>
      </c>
      <c r="H656" s="11"/>
      <c r="I656" s="11" t="n">
        <f aca="false">IF(E656="","",IF(OR(AND(H656="Plan A",$C$5="B"),AND(H656="Plan B",$C$5="A")),0,IF(OR(G656="per student",G656="per group",G656="per class"),E656*IF(B656="Year 7",$C$3,$C$4),E656)))</f>
        <v>1</v>
      </c>
      <c r="J656" s="12"/>
      <c r="K656" s="11"/>
      <c r="L656" s="11" t="str">
        <f aca="false">IF(OR(K656="",O656&lt;&gt;"",I656=""),"",ROUNDUP(I656*K656,0))</f>
        <v/>
      </c>
      <c r="M656" s="12" t="s">
        <v>2094</v>
      </c>
      <c r="N656" s="11"/>
      <c r="O656" s="12"/>
      <c r="P656" s="12" t="s">
        <v>138</v>
      </c>
      <c r="Q656" s="13" t="s">
        <v>2095</v>
      </c>
      <c r="R656" s="11"/>
    </row>
    <row r="657" customFormat="false" ht="46.25" hidden="false" customHeight="false" outlineLevel="0" collapsed="false">
      <c r="A657" s="14" t="n">
        <v>10</v>
      </c>
      <c r="B657" s="15" t="s">
        <v>39</v>
      </c>
      <c r="C657" s="15" t="s">
        <v>40</v>
      </c>
      <c r="D657" s="15" t="s">
        <v>2096</v>
      </c>
      <c r="E657" s="14" t="n">
        <v>24</v>
      </c>
      <c r="F657" s="15" t="s">
        <v>2097</v>
      </c>
      <c r="G657" s="14" t="s">
        <v>43</v>
      </c>
      <c r="H657" s="14"/>
      <c r="I657" s="14" t="n">
        <f aca="false">IF(E657="","",IF(OR(AND(H657="Plan A",$C$5="B"),AND(H657="Plan B",$C$5="A")),0,IF(OR(G657="per student",G657="per group",G657="per class"),E657*IF(B657="Year 7",$C$3,$C$4),E657)))</f>
        <v>24</v>
      </c>
      <c r="J657" s="15" t="s">
        <v>13</v>
      </c>
      <c r="K657" s="14" t="n">
        <v>1</v>
      </c>
      <c r="L657" s="14" t="n">
        <f aca="false">IF(OR(K657="",O657&lt;&gt;"",I657=""),"",ROUNDUP(I657*K657,0))</f>
        <v>24</v>
      </c>
      <c r="M657" s="15" t="s">
        <v>2098</v>
      </c>
      <c r="N657" s="14"/>
      <c r="O657" s="15"/>
      <c r="P657" s="15" t="s">
        <v>45</v>
      </c>
      <c r="Q657" s="13" t="s">
        <v>2099</v>
      </c>
      <c r="R657" s="14"/>
    </row>
    <row r="658" customFormat="false" ht="35.05" hidden="false" customHeight="false" outlineLevel="0" collapsed="false">
      <c r="A658" s="14" t="n">
        <v>10</v>
      </c>
      <c r="B658" s="15" t="s">
        <v>39</v>
      </c>
      <c r="C658" s="15" t="s">
        <v>40</v>
      </c>
      <c r="D658" s="15" t="s">
        <v>2100</v>
      </c>
      <c r="E658" s="14" t="n">
        <v>24</v>
      </c>
      <c r="F658" s="15" t="s">
        <v>2101</v>
      </c>
      <c r="G658" s="14" t="s">
        <v>43</v>
      </c>
      <c r="H658" s="14"/>
      <c r="I658" s="14" t="n">
        <f aca="false">IF(E658="","",IF(OR(AND(H658="Plan A",$C$5="B"),AND(H658="Plan B",$C$5="A")),0,IF(OR(G658="per student",G658="per group",G658="per class"),E658*IF(B658="Year 7",$C$3,$C$4),E658)))</f>
        <v>24</v>
      </c>
      <c r="J658" s="15" t="s">
        <v>13</v>
      </c>
      <c r="K658" s="14" t="n">
        <v>0.5</v>
      </c>
      <c r="L658" s="14" t="n">
        <f aca="false">IF(OR(K658="",O658&lt;&gt;"",I658=""),"",ROUNDUP(I658*K658,0))</f>
        <v>12</v>
      </c>
      <c r="M658" s="15" t="s">
        <v>2102</v>
      </c>
      <c r="N658" s="14"/>
      <c r="O658" s="15"/>
      <c r="P658" s="15" t="s">
        <v>45</v>
      </c>
      <c r="Q658" s="13" t="s">
        <v>2103</v>
      </c>
      <c r="R658" s="14"/>
    </row>
    <row r="659" customFormat="false" ht="68.65" hidden="false" customHeight="false" outlineLevel="0" collapsed="false">
      <c r="A659" s="14" t="n">
        <v>10</v>
      </c>
      <c r="B659" s="15" t="s">
        <v>39</v>
      </c>
      <c r="C659" s="15" t="s">
        <v>40</v>
      </c>
      <c r="D659" s="15" t="s">
        <v>2104</v>
      </c>
      <c r="E659" s="14" t="n">
        <v>24</v>
      </c>
      <c r="F659" s="15" t="s">
        <v>2105</v>
      </c>
      <c r="G659" s="14" t="s">
        <v>43</v>
      </c>
      <c r="H659" s="14"/>
      <c r="I659" s="14" t="n">
        <f aca="false">IF(E659="","",IF(OR(AND(H659="Plan A",$C$5="B"),AND(H659="Plan B",$C$5="A")),0,IF(OR(G659="per student",G659="per group",G659="per class"),E659*IF(B659="Year 7",$C$3,$C$4),E659)))</f>
        <v>24</v>
      </c>
      <c r="J659" s="15" t="s">
        <v>13</v>
      </c>
      <c r="K659" s="14" t="n">
        <v>2</v>
      </c>
      <c r="L659" s="14" t="n">
        <f aca="false">IF(OR(K659="",O659&lt;&gt;"",I659=""),"",ROUNDUP(I659*K659,0))</f>
        <v>48</v>
      </c>
      <c r="M659" s="15" t="s">
        <v>2106</v>
      </c>
      <c r="N659" s="14"/>
      <c r="O659" s="15"/>
      <c r="P659" s="15" t="s">
        <v>45</v>
      </c>
      <c r="Q659" s="13" t="s">
        <v>2107</v>
      </c>
      <c r="R659" s="14"/>
    </row>
    <row r="660" customFormat="false" ht="46.25" hidden="false" customHeight="false" outlineLevel="0" collapsed="false">
      <c r="A660" s="14" t="n">
        <v>10</v>
      </c>
      <c r="B660" s="15" t="s">
        <v>39</v>
      </c>
      <c r="C660" s="15" t="s">
        <v>40</v>
      </c>
      <c r="D660" s="15" t="s">
        <v>2108</v>
      </c>
      <c r="E660" s="14" t="n">
        <v>24</v>
      </c>
      <c r="F660" s="15" t="s">
        <v>2109</v>
      </c>
      <c r="G660" s="14" t="s">
        <v>43</v>
      </c>
      <c r="H660" s="14"/>
      <c r="I660" s="14" t="n">
        <f aca="false">IF(E660="","",IF(OR(AND(H660="Plan A",$C$5="B"),AND(H660="Plan B",$C$5="A")),0,IF(OR(G660="per student",G660="per group",G660="per class"),E660*IF(B660="Year 7",$C$3,$C$4),E660)))</f>
        <v>24</v>
      </c>
      <c r="J660" s="15" t="s">
        <v>13</v>
      </c>
      <c r="K660" s="14" t="n">
        <v>0.25</v>
      </c>
      <c r="L660" s="14" t="n">
        <f aca="false">IF(OR(K660="",O660&lt;&gt;"",I660=""),"",ROUNDUP(I660*K660,0))</f>
        <v>6</v>
      </c>
      <c r="M660" s="15" t="s">
        <v>2110</v>
      </c>
      <c r="N660" s="14"/>
      <c r="O660" s="15"/>
      <c r="P660" s="15" t="s">
        <v>45</v>
      </c>
      <c r="Q660" s="13" t="s">
        <v>2111</v>
      </c>
      <c r="R660" s="14"/>
    </row>
    <row r="661" customFormat="false" ht="35.05" hidden="false" customHeight="false" outlineLevel="0" collapsed="false">
      <c r="A661" s="14" t="n">
        <v>10</v>
      </c>
      <c r="B661" s="15" t="s">
        <v>39</v>
      </c>
      <c r="C661" s="15" t="s">
        <v>40</v>
      </c>
      <c r="D661" s="15" t="s">
        <v>2112</v>
      </c>
      <c r="E661" s="14" t="n">
        <v>1</v>
      </c>
      <c r="F661" s="15" t="s">
        <v>187</v>
      </c>
      <c r="G661" s="14" t="s">
        <v>127</v>
      </c>
      <c r="H661" s="14"/>
      <c r="I661" s="14" t="n">
        <f aca="false">IF(E661="","",IF(OR(AND(H661="Plan A",$C$5="B"),AND(H661="Plan B",$C$5="A")),0,IF(OR(G661="per student",G661="per group",G661="per class"),E661*IF(B661="Year 7",$C$3,$C$4),E661)))</f>
        <v>1</v>
      </c>
      <c r="J661" s="15" t="s">
        <v>13</v>
      </c>
      <c r="K661" s="14" t="n">
        <v>1</v>
      </c>
      <c r="L661" s="14" t="n">
        <f aca="false">IF(OR(K661="",O661&lt;&gt;"",I661=""),"",ROUNDUP(I661*K661,0))</f>
        <v>1</v>
      </c>
      <c r="M661" s="15" t="s">
        <v>2113</v>
      </c>
      <c r="N661" s="14"/>
      <c r="O661" s="15"/>
      <c r="P661" s="15" t="s">
        <v>45</v>
      </c>
      <c r="Q661" s="15"/>
      <c r="R661" s="14"/>
    </row>
    <row r="662" customFormat="false" ht="35.05" hidden="false" customHeight="false" outlineLevel="0" collapsed="false">
      <c r="A662" s="14" t="n">
        <v>10</v>
      </c>
      <c r="B662" s="15" t="s">
        <v>39</v>
      </c>
      <c r="C662" s="15" t="s">
        <v>40</v>
      </c>
      <c r="D662" s="15" t="s">
        <v>2114</v>
      </c>
      <c r="E662" s="14" t="n">
        <v>1</v>
      </c>
      <c r="F662" s="15" t="s">
        <v>2115</v>
      </c>
      <c r="G662" s="14" t="s">
        <v>127</v>
      </c>
      <c r="H662" s="14"/>
      <c r="I662" s="14" t="n">
        <f aca="false">IF(E662="","",IF(OR(AND(H662="Plan A",$C$5="B"),AND(H662="Plan B",$C$5="A")),0,IF(OR(G662="per student",G662="per group",G662="per class"),E662*IF(B662="Year 7",$C$3,$C$4),E662)))</f>
        <v>1</v>
      </c>
      <c r="J662" s="15" t="s">
        <v>13</v>
      </c>
      <c r="K662" s="14" t="n">
        <v>2</v>
      </c>
      <c r="L662" s="14" t="n">
        <f aca="false">IF(OR(K662="",O662&lt;&gt;"",I662=""),"",ROUNDUP(I662*K662,0))</f>
        <v>2</v>
      </c>
      <c r="M662" s="15" t="s">
        <v>2116</v>
      </c>
      <c r="N662" s="14"/>
      <c r="O662" s="15"/>
      <c r="P662" s="15" t="s">
        <v>45</v>
      </c>
      <c r="Q662" s="13" t="s">
        <v>2117</v>
      </c>
      <c r="R662" s="14"/>
    </row>
    <row r="663" customFormat="false" ht="35.05" hidden="false" customHeight="false" outlineLevel="0" collapsed="false">
      <c r="A663" s="14" t="n">
        <v>10</v>
      </c>
      <c r="B663" s="15" t="s">
        <v>39</v>
      </c>
      <c r="C663" s="15" t="s">
        <v>40</v>
      </c>
      <c r="D663" s="15" t="s">
        <v>2118</v>
      </c>
      <c r="E663" s="14" t="n">
        <v>2</v>
      </c>
      <c r="F663" s="15" t="s">
        <v>2119</v>
      </c>
      <c r="G663" s="14" t="s">
        <v>127</v>
      </c>
      <c r="H663" s="14"/>
      <c r="I663" s="14" t="n">
        <f aca="false">IF(E663="","",IF(OR(AND(H663="Plan A",$C$5="B"),AND(H663="Plan B",$C$5="A")),0,IF(OR(G663="per student",G663="per group",G663="per class"),E663*IF(B663="Year 7",$C$3,$C$4),E663)))</f>
        <v>2</v>
      </c>
      <c r="J663" s="15" t="s">
        <v>13</v>
      </c>
      <c r="K663" s="14" t="n">
        <v>1</v>
      </c>
      <c r="L663" s="14" t="n">
        <f aca="false">IF(OR(K663="",O663&lt;&gt;"",I663=""),"",ROUNDUP(I663*K663,0))</f>
        <v>2</v>
      </c>
      <c r="M663" s="15" t="s">
        <v>2120</v>
      </c>
      <c r="N663" s="14"/>
      <c r="O663" s="15"/>
      <c r="P663" s="15" t="s">
        <v>45</v>
      </c>
      <c r="Q663" s="15"/>
      <c r="R663" s="14"/>
    </row>
    <row r="664" customFormat="false" ht="35.05" hidden="false" customHeight="false" outlineLevel="0" collapsed="false">
      <c r="A664" s="14" t="n">
        <v>10</v>
      </c>
      <c r="B664" s="15" t="s">
        <v>39</v>
      </c>
      <c r="C664" s="15" t="s">
        <v>40</v>
      </c>
      <c r="D664" s="15" t="s">
        <v>2121</v>
      </c>
      <c r="E664" s="14" t="n">
        <v>1</v>
      </c>
      <c r="F664" s="15" t="s">
        <v>2122</v>
      </c>
      <c r="G664" s="14" t="s">
        <v>127</v>
      </c>
      <c r="H664" s="14"/>
      <c r="I664" s="14" t="n">
        <f aca="false">IF(E664="","",IF(OR(AND(H664="Plan A",$C$5="B"),AND(H664="Plan B",$C$5="A")),0,IF(OR(G664="per student",G664="per group",G664="per class"),E664*IF(B664="Year 7",$C$3,$C$4),E664)))</f>
        <v>1</v>
      </c>
      <c r="J664" s="15" t="s">
        <v>20</v>
      </c>
      <c r="K664" s="14" t="n">
        <v>1</v>
      </c>
      <c r="L664" s="14" t="n">
        <f aca="false">IF(OR(K664="",O664&lt;&gt;"",I664=""),"",ROUNDUP(I664*K664,0))</f>
        <v>1</v>
      </c>
      <c r="M664" s="15" t="s">
        <v>2123</v>
      </c>
      <c r="N664" s="14"/>
      <c r="O664" s="15"/>
      <c r="P664" s="15" t="s">
        <v>45</v>
      </c>
      <c r="Q664" s="13" t="s">
        <v>1526</v>
      </c>
      <c r="R664" s="14"/>
    </row>
    <row r="665" customFormat="false" ht="58.95" hidden="false" customHeight="false" outlineLevel="0" collapsed="false">
      <c r="A665" s="14" t="n">
        <v>10</v>
      </c>
      <c r="B665" s="15" t="s">
        <v>39</v>
      </c>
      <c r="C665" s="15" t="s">
        <v>40</v>
      </c>
      <c r="D665" s="15" t="s">
        <v>2124</v>
      </c>
      <c r="E665" s="14" t="n">
        <v>24</v>
      </c>
      <c r="F665" s="15" t="s">
        <v>2119</v>
      </c>
      <c r="G665" s="14" t="s">
        <v>43</v>
      </c>
      <c r="H665" s="14"/>
      <c r="I665" s="14" t="n">
        <f aca="false">IF(E665="","",IF(OR(AND(H665="Plan A",$C$5="B"),AND(H665="Plan B",$C$5="A")),0,IF(OR(G665="per student",G665="per group",G665="per class"),E665*IF(B665="Year 7",$C$3,$C$4),E665)))</f>
        <v>24</v>
      </c>
      <c r="J665" s="15" t="s">
        <v>13</v>
      </c>
      <c r="K665" s="14" t="n">
        <v>1</v>
      </c>
      <c r="L665" s="14" t="n">
        <f aca="false">IF(OR(K665="",O665&lt;&gt;"",I665=""),"",ROUNDUP(I665*K665,0))</f>
        <v>24</v>
      </c>
      <c r="M665" s="15" t="s">
        <v>2125</v>
      </c>
      <c r="N665" s="14"/>
      <c r="O665" s="15"/>
      <c r="P665" s="15" t="s">
        <v>45</v>
      </c>
      <c r="Q665" s="13" t="s">
        <v>2126</v>
      </c>
      <c r="R665" s="14"/>
    </row>
    <row r="666" customFormat="false" ht="35.05" hidden="false" customHeight="false" outlineLevel="0" collapsed="false">
      <c r="A666" s="14" t="n">
        <v>10</v>
      </c>
      <c r="B666" s="15" t="s">
        <v>39</v>
      </c>
      <c r="C666" s="15" t="s">
        <v>40</v>
      </c>
      <c r="D666" s="15" t="s">
        <v>2127</v>
      </c>
      <c r="E666" s="14" t="n">
        <v>1</v>
      </c>
      <c r="F666" s="15" t="s">
        <v>2128</v>
      </c>
      <c r="G666" s="14" t="s">
        <v>57</v>
      </c>
      <c r="H666" s="14"/>
      <c r="I666" s="14" t="n">
        <f aca="false">IF(E666="","",IF(OR(AND(H666="Plan A",$C$5="B"),AND(H666="Plan B",$C$5="A")),0,IF(OR(G666="per student",G666="per group",G666="per class"),E666*IF(B666="Year 7",$C$3,$C$4),E666)))</f>
        <v>1</v>
      </c>
      <c r="J666" s="15" t="s">
        <v>13</v>
      </c>
      <c r="K666" s="14"/>
      <c r="L666" s="14" t="str">
        <f aca="false">IF(OR(K666="",O666&lt;&gt;"",I666=""),"",ROUNDUP(I666*K666,0))</f>
        <v/>
      </c>
      <c r="M666" s="15" t="s">
        <v>2129</v>
      </c>
      <c r="N666" s="14" t="s">
        <v>105</v>
      </c>
      <c r="O666" s="15" t="s">
        <v>2130</v>
      </c>
      <c r="P666" s="15" t="s">
        <v>376</v>
      </c>
      <c r="Q666" s="13" t="s">
        <v>2131</v>
      </c>
      <c r="R666" s="14"/>
    </row>
    <row r="667" customFormat="false" ht="79.85" hidden="false" customHeight="false" outlineLevel="0" collapsed="false">
      <c r="A667" s="14" t="n">
        <v>10</v>
      </c>
      <c r="B667" s="15" t="s">
        <v>39</v>
      </c>
      <c r="C667" s="15" t="s">
        <v>97</v>
      </c>
      <c r="D667" s="15" t="s">
        <v>2132</v>
      </c>
      <c r="E667" s="14" t="n">
        <v>1</v>
      </c>
      <c r="F667" s="15" t="s">
        <v>2133</v>
      </c>
      <c r="G667" s="14" t="s">
        <v>127</v>
      </c>
      <c r="H667" s="14"/>
      <c r="I667" s="14" t="n">
        <f aca="false">IF(E667="","",IF(OR(AND(H667="Plan A",$C$5="B"),AND(H667="Plan B",$C$5="A")),0,IF(OR(G667="per student",G667="per group",G667="per class"),E667*IF(B667="Year 7",$C$3,$C$4),E667)))</f>
        <v>1</v>
      </c>
      <c r="J667" s="15" t="s">
        <v>14</v>
      </c>
      <c r="K667" s="14" t="n">
        <v>2</v>
      </c>
      <c r="L667" s="14" t="n">
        <f aca="false">IF(OR(K667="",O667&lt;&gt;"",I667=""),"",ROUNDUP(I667*K667,0))</f>
        <v>2</v>
      </c>
      <c r="M667" s="15" t="s">
        <v>2134</v>
      </c>
      <c r="N667" s="14"/>
      <c r="O667" s="15"/>
      <c r="P667" s="15" t="s">
        <v>77</v>
      </c>
      <c r="Q667" s="13" t="s">
        <v>2135</v>
      </c>
      <c r="R667" s="14"/>
    </row>
    <row r="668" customFormat="false" ht="91" hidden="false" customHeight="false" outlineLevel="0" collapsed="false">
      <c r="A668" s="14" t="n">
        <v>10</v>
      </c>
      <c r="B668" s="15" t="s">
        <v>39</v>
      </c>
      <c r="C668" s="15" t="s">
        <v>97</v>
      </c>
      <c r="D668" s="15" t="s">
        <v>2136</v>
      </c>
      <c r="E668" s="14" t="n">
        <v>25</v>
      </c>
      <c r="F668" s="15" t="s">
        <v>2137</v>
      </c>
      <c r="G668" s="14" t="s">
        <v>43</v>
      </c>
      <c r="H668" s="14"/>
      <c r="I668" s="14" t="n">
        <f aca="false">IF(E668="","",IF(OR(AND(H668="Plan A",$C$5="B"),AND(H668="Plan B",$C$5="A")),0,IF(OR(G668="per student",G668="per group",G668="per class"),E668*IF(B668="Year 7",$C$3,$C$4),E668)))</f>
        <v>25</v>
      </c>
      <c r="J668" s="15" t="s">
        <v>14</v>
      </c>
      <c r="K668" s="14" t="n">
        <v>1</v>
      </c>
      <c r="L668" s="14" t="n">
        <f aca="false">IF(OR(K668="",O668&lt;&gt;"",I668=""),"",ROUNDUP(I668*K668,0))</f>
        <v>25</v>
      </c>
      <c r="M668" s="15" t="s">
        <v>2138</v>
      </c>
      <c r="N668" s="14"/>
      <c r="O668" s="15"/>
      <c r="P668" s="15" t="s">
        <v>77</v>
      </c>
      <c r="Q668" s="13" t="s">
        <v>2139</v>
      </c>
      <c r="R668" s="14"/>
    </row>
    <row r="669" customFormat="false" ht="35.05" hidden="false" customHeight="false" outlineLevel="0" collapsed="false">
      <c r="A669" s="14" t="n">
        <v>10</v>
      </c>
      <c r="B669" s="15" t="s">
        <v>39</v>
      </c>
      <c r="C669" s="15" t="s">
        <v>97</v>
      </c>
      <c r="D669" s="15" t="s">
        <v>2140</v>
      </c>
      <c r="E669" s="14" t="n">
        <v>24</v>
      </c>
      <c r="F669" s="15" t="s">
        <v>117</v>
      </c>
      <c r="G669" s="14" t="s">
        <v>43</v>
      </c>
      <c r="H669" s="14"/>
      <c r="I669" s="14" t="n">
        <f aca="false">IF(E669="","",IF(OR(AND(H669="Plan A",$C$5="B"),AND(H669="Plan B",$C$5="A")),0,IF(OR(G669="per student",G669="per group",G669="per class"),E669*IF(B669="Year 7",$C$3,$C$4),E669)))</f>
        <v>24</v>
      </c>
      <c r="J669" s="15"/>
      <c r="K669" s="14"/>
      <c r="L669" s="14" t="str">
        <f aca="false">IF(OR(K669="",O669&lt;&gt;"",I669=""),"",ROUNDUP(I669*K669,0))</f>
        <v/>
      </c>
      <c r="M669" s="15" t="s">
        <v>2141</v>
      </c>
      <c r="N669" s="14"/>
      <c r="O669" s="15" t="s">
        <v>2142</v>
      </c>
      <c r="P669" s="15" t="s">
        <v>376</v>
      </c>
      <c r="Q669" s="13" t="s">
        <v>2143</v>
      </c>
      <c r="R669" s="14"/>
    </row>
    <row r="670" customFormat="false" ht="35.05" hidden="false" customHeight="false" outlineLevel="0" collapsed="false">
      <c r="A670" s="14" t="n">
        <v>10</v>
      </c>
      <c r="B670" s="15" t="s">
        <v>39</v>
      </c>
      <c r="C670" s="15" t="s">
        <v>97</v>
      </c>
      <c r="D670" s="15" t="s">
        <v>2144</v>
      </c>
      <c r="E670" s="14" t="n">
        <v>6</v>
      </c>
      <c r="F670" s="15" t="s">
        <v>563</v>
      </c>
      <c r="G670" s="14" t="s">
        <v>66</v>
      </c>
      <c r="H670" s="14"/>
      <c r="I670" s="14" t="n">
        <f aca="false">IF(E670="","",IF(OR(AND(H670="Plan A",$C$5="B"),AND(H670="Plan B",$C$5="A")),0,IF(OR(G670="per student",G670="per group",G670="per class"),E670*IF(B670="Year 7",$C$3,$C$4),E670)))</f>
        <v>6</v>
      </c>
      <c r="J670" s="15"/>
      <c r="K670" s="14"/>
      <c r="L670" s="14" t="str">
        <f aca="false">IF(OR(K670="",O670&lt;&gt;"",I670=""),"",ROUNDUP(I670*K670,0))</f>
        <v/>
      </c>
      <c r="M670" s="15" t="s">
        <v>2145</v>
      </c>
      <c r="N670" s="14"/>
      <c r="O670" s="15" t="s">
        <v>2146</v>
      </c>
      <c r="P670" s="15" t="s">
        <v>376</v>
      </c>
      <c r="Q670" s="13" t="s">
        <v>2147</v>
      </c>
      <c r="R670" s="14"/>
    </row>
    <row r="671" customFormat="false" ht="35.05" hidden="false" customHeight="false" outlineLevel="0" collapsed="false">
      <c r="A671" s="14" t="n">
        <v>10</v>
      </c>
      <c r="B671" s="15" t="s">
        <v>39</v>
      </c>
      <c r="C671" s="15" t="s">
        <v>97</v>
      </c>
      <c r="D671" s="15" t="s">
        <v>2148</v>
      </c>
      <c r="E671" s="14" t="n">
        <v>6</v>
      </c>
      <c r="F671" s="15" t="s">
        <v>246</v>
      </c>
      <c r="G671" s="14" t="s">
        <v>66</v>
      </c>
      <c r="H671" s="14"/>
      <c r="I671" s="14" t="n">
        <f aca="false">IF(E671="","",IF(OR(AND(H671="Plan A",$C$5="B"),AND(H671="Plan B",$C$5="A")),0,IF(OR(G671="per student",G671="per group",G671="per class"),E671*IF(B671="Year 7",$C$3,$C$4),E671)))</f>
        <v>6</v>
      </c>
      <c r="J671" s="15"/>
      <c r="K671" s="14"/>
      <c r="L671" s="14" t="str">
        <f aca="false">IF(OR(K671="",O671&lt;&gt;"",I671=""),"",ROUNDUP(I671*K671,0))</f>
        <v/>
      </c>
      <c r="M671" s="15" t="s">
        <v>2149</v>
      </c>
      <c r="N671" s="14"/>
      <c r="O671" s="15" t="s">
        <v>2150</v>
      </c>
      <c r="P671" s="13" t="s">
        <v>91</v>
      </c>
      <c r="Q671" s="13" t="s">
        <v>2151</v>
      </c>
      <c r="R671" s="14"/>
    </row>
    <row r="672" customFormat="false" ht="35.05" hidden="false" customHeight="false" outlineLevel="0" collapsed="false">
      <c r="A672" s="14" t="n">
        <v>10</v>
      </c>
      <c r="B672" s="15" t="s">
        <v>39</v>
      </c>
      <c r="C672" s="15" t="s">
        <v>97</v>
      </c>
      <c r="D672" s="15" t="s">
        <v>120</v>
      </c>
      <c r="E672" s="14" t="n">
        <v>24</v>
      </c>
      <c r="F672" s="15" t="s">
        <v>248</v>
      </c>
      <c r="G672" s="14" t="s">
        <v>43</v>
      </c>
      <c r="H672" s="14"/>
      <c r="I672" s="14" t="n">
        <f aca="false">IF(E672="","",IF(OR(AND(H672="Plan A",$C$5="B"),AND(H672="Plan B",$C$5="A")),0,IF(OR(G672="per student",G672="per group",G672="per class"),E672*IF(B672="Year 7",$C$3,$C$4),E672)))</f>
        <v>24</v>
      </c>
      <c r="J672" s="15"/>
      <c r="K672" s="14"/>
      <c r="L672" s="14" t="str">
        <f aca="false">IF(OR(K672="",O672&lt;&gt;"",I672=""),"",ROUNDUP(I672*K672,0))</f>
        <v/>
      </c>
      <c r="M672" s="15" t="s">
        <v>2152</v>
      </c>
      <c r="N672" s="14"/>
      <c r="O672" s="15" t="s">
        <v>472</v>
      </c>
      <c r="P672" s="13" t="s">
        <v>91</v>
      </c>
      <c r="Q672" s="13" t="s">
        <v>2153</v>
      </c>
      <c r="R672" s="14"/>
    </row>
    <row r="673" customFormat="false" ht="23.85" hidden="false" customHeight="false" outlineLevel="0" collapsed="false">
      <c r="A673" s="14" t="n">
        <v>10</v>
      </c>
      <c r="B673" s="15" t="s">
        <v>39</v>
      </c>
      <c r="C673" s="15" t="s">
        <v>97</v>
      </c>
      <c r="D673" s="15" t="s">
        <v>2154</v>
      </c>
      <c r="E673" s="14" t="n">
        <v>2</v>
      </c>
      <c r="F673" s="15" t="s">
        <v>248</v>
      </c>
      <c r="G673" s="14" t="s">
        <v>127</v>
      </c>
      <c r="H673" s="14"/>
      <c r="I673" s="14" t="n">
        <f aca="false">IF(E673="","",IF(OR(AND(H673="Plan A",$C$5="B"),AND(H673="Plan B",$C$5="A")),0,IF(OR(G673="per student",G673="per group",G673="per class"),E673*IF(B673="Year 7",$C$3,$C$4),E673)))</f>
        <v>2</v>
      </c>
      <c r="J673" s="15"/>
      <c r="K673" s="14"/>
      <c r="L673" s="14" t="str">
        <f aca="false">IF(OR(K673="",O673&lt;&gt;"",I673=""),"",ROUNDUP(I673*K673,0))</f>
        <v/>
      </c>
      <c r="M673" s="15" t="s">
        <v>2155</v>
      </c>
      <c r="N673" s="14"/>
      <c r="O673" s="15"/>
      <c r="P673" s="13" t="s">
        <v>91</v>
      </c>
      <c r="Q673" s="13" t="s">
        <v>2156</v>
      </c>
      <c r="R673" s="14"/>
    </row>
    <row r="674" customFormat="false" ht="23.85" hidden="false" customHeight="false" outlineLevel="0" collapsed="false">
      <c r="A674" s="14" t="n">
        <v>10</v>
      </c>
      <c r="B674" s="15" t="s">
        <v>39</v>
      </c>
      <c r="C674" s="15" t="s">
        <v>97</v>
      </c>
      <c r="D674" s="15" t="s">
        <v>939</v>
      </c>
      <c r="E674" s="14" t="n">
        <v>2</v>
      </c>
      <c r="F674" s="15" t="s">
        <v>2157</v>
      </c>
      <c r="G674" s="14" t="s">
        <v>127</v>
      </c>
      <c r="H674" s="14"/>
      <c r="I674" s="14" t="n">
        <f aca="false">IF(E674="","",IF(OR(AND(H674="Plan A",$C$5="B"),AND(H674="Plan B",$C$5="A")),0,IF(OR(G674="per student",G674="per group",G674="per class"),E674*IF(B674="Year 7",$C$3,$C$4),E674)))</f>
        <v>2</v>
      </c>
      <c r="J674" s="15"/>
      <c r="K674" s="14"/>
      <c r="L674" s="14" t="str">
        <f aca="false">IF(OR(K674="",O674&lt;&gt;"",I674=""),"",ROUNDUP(I674*K674,0))</f>
        <v/>
      </c>
      <c r="M674" s="15" t="s">
        <v>2158</v>
      </c>
      <c r="N674" s="14"/>
      <c r="O674" s="15"/>
      <c r="P674" s="15" t="s">
        <v>77</v>
      </c>
      <c r="Q674" s="13" t="s">
        <v>2159</v>
      </c>
      <c r="R674" s="14"/>
    </row>
    <row r="675" customFormat="false" ht="35.05" hidden="false" customHeight="false" outlineLevel="0" collapsed="false">
      <c r="A675" s="14" t="n">
        <v>10</v>
      </c>
      <c r="B675" s="15" t="s">
        <v>39</v>
      </c>
      <c r="C675" s="15" t="s">
        <v>97</v>
      </c>
      <c r="D675" s="15" t="s">
        <v>1054</v>
      </c>
      <c r="E675" s="14" t="n">
        <v>2</v>
      </c>
      <c r="F675" s="15" t="s">
        <v>2160</v>
      </c>
      <c r="G675" s="14" t="s">
        <v>127</v>
      </c>
      <c r="H675" s="14"/>
      <c r="I675" s="14" t="n">
        <f aca="false">IF(E675="","",IF(OR(AND(H675="Plan A",$C$5="B"),AND(H675="Plan B",$C$5="A")),0,IF(OR(G675="per student",G675="per group",G675="per class"),E675*IF(B675="Year 7",$C$3,$C$4),E675)))</f>
        <v>2</v>
      </c>
      <c r="J675" s="15"/>
      <c r="K675" s="14"/>
      <c r="L675" s="14" t="str">
        <f aca="false">IF(OR(K675="",O675&lt;&gt;"",I675=""),"",ROUNDUP(I675*K675,0))</f>
        <v/>
      </c>
      <c r="M675" s="15" t="s">
        <v>2161</v>
      </c>
      <c r="N675" s="14"/>
      <c r="O675" s="15"/>
      <c r="P675" s="15" t="s">
        <v>77</v>
      </c>
      <c r="Q675" s="13" t="s">
        <v>2162</v>
      </c>
      <c r="R675" s="14"/>
    </row>
    <row r="676" customFormat="false" ht="23.85" hidden="false" customHeight="false" outlineLevel="0" collapsed="false">
      <c r="A676" s="14" t="n">
        <v>10</v>
      </c>
      <c r="B676" s="15" t="s">
        <v>39</v>
      </c>
      <c r="C676" s="15" t="s">
        <v>97</v>
      </c>
      <c r="D676" s="15" t="s">
        <v>2163</v>
      </c>
      <c r="E676" s="14" t="n">
        <v>1</v>
      </c>
      <c r="F676" s="15" t="s">
        <v>2164</v>
      </c>
      <c r="G676" s="14" t="s">
        <v>127</v>
      </c>
      <c r="H676" s="14"/>
      <c r="I676" s="14" t="n">
        <f aca="false">IF(E676="","",IF(OR(AND(H676="Plan A",$C$5="B"),AND(H676="Plan B",$C$5="A")),0,IF(OR(G676="per student",G676="per group",G676="per class"),E676*IF(B676="Year 7",$C$3,$C$4),E676)))</f>
        <v>1</v>
      </c>
      <c r="J676" s="15"/>
      <c r="K676" s="14"/>
      <c r="L676" s="14" t="str">
        <f aca="false">IF(OR(K676="",O676&lt;&gt;"",I676=""),"",ROUNDUP(I676*K676,0))</f>
        <v/>
      </c>
      <c r="M676" s="15" t="s">
        <v>2165</v>
      </c>
      <c r="N676" s="14"/>
      <c r="O676" s="15"/>
      <c r="P676" s="15" t="s">
        <v>77</v>
      </c>
      <c r="Q676" s="15"/>
      <c r="R676" s="14"/>
    </row>
    <row r="677" customFormat="false" ht="23.85" hidden="false" customHeight="false" outlineLevel="0" collapsed="false">
      <c r="A677" s="14" t="n">
        <v>10</v>
      </c>
      <c r="B677" s="15" t="s">
        <v>39</v>
      </c>
      <c r="C677" s="15" t="s">
        <v>97</v>
      </c>
      <c r="D677" s="15" t="s">
        <v>2166</v>
      </c>
      <c r="E677" s="14"/>
      <c r="F677" s="15" t="s">
        <v>2167</v>
      </c>
      <c r="G677" s="14" t="s">
        <v>127</v>
      </c>
      <c r="H677" s="14"/>
      <c r="I677" s="14" t="str">
        <f aca="false">IF(E677="","",IF(OR(AND(H677="Plan A",$C$5="B"),AND(H677="Plan B",$C$5="A")),0,IF(OR(G677="per student",G677="per group",G677="per class"),E677*IF(B677="Year 7",$C$3,$C$4),E677)))</f>
        <v/>
      </c>
      <c r="J677" s="15"/>
      <c r="K677" s="14"/>
      <c r="L677" s="14" t="str">
        <f aca="false">IF(OR(K677="",O677&lt;&gt;"",I677=""),"",ROUNDUP(I677*K677,0))</f>
        <v/>
      </c>
      <c r="M677" s="15" t="s">
        <v>2168</v>
      </c>
      <c r="N677" s="14"/>
      <c r="O677" s="15"/>
      <c r="P677" s="15" t="s">
        <v>133</v>
      </c>
      <c r="Q677" s="13" t="s">
        <v>2169</v>
      </c>
      <c r="R677" s="14"/>
    </row>
    <row r="678" customFormat="false" ht="23.85" hidden="false" customHeight="false" outlineLevel="0" collapsed="false">
      <c r="A678" s="14" t="n">
        <v>10</v>
      </c>
      <c r="B678" s="15" t="s">
        <v>39</v>
      </c>
      <c r="C678" s="15" t="s">
        <v>97</v>
      </c>
      <c r="D678" s="15" t="s">
        <v>2170</v>
      </c>
      <c r="E678" s="14"/>
      <c r="F678" s="15" t="s">
        <v>2171</v>
      </c>
      <c r="G678" s="14" t="s">
        <v>66</v>
      </c>
      <c r="H678" s="14"/>
      <c r="I678" s="14" t="str">
        <f aca="false">IF(E678="","",IF(OR(AND(H678="Plan A",$C$5="B"),AND(H678="Plan B",$C$5="A")),0,IF(OR(G678="per student",G678="per group",G678="per class"),E678*IF(B678="Year 7",$C$3,$C$4),E678)))</f>
        <v/>
      </c>
      <c r="J678" s="15"/>
      <c r="K678" s="14"/>
      <c r="L678" s="14" t="str">
        <f aca="false">IF(OR(K678="",O678&lt;&gt;"",I678=""),"",ROUNDUP(I678*K678,0))</f>
        <v/>
      </c>
      <c r="M678" s="15" t="s">
        <v>2172</v>
      </c>
      <c r="N678" s="14"/>
      <c r="O678" s="15" t="s">
        <v>2173</v>
      </c>
      <c r="P678" s="15" t="s">
        <v>376</v>
      </c>
      <c r="Q678" s="13" t="s">
        <v>2174</v>
      </c>
      <c r="R678" s="14"/>
    </row>
    <row r="679" customFormat="false" ht="46.25" hidden="false" customHeight="false" outlineLevel="0" collapsed="false">
      <c r="A679" s="14" t="n">
        <v>10</v>
      </c>
      <c r="B679" s="15" t="s">
        <v>39</v>
      </c>
      <c r="C679" s="15" t="s">
        <v>97</v>
      </c>
      <c r="D679" s="15" t="s">
        <v>367</v>
      </c>
      <c r="E679" s="14" t="n">
        <v>24</v>
      </c>
      <c r="F679" s="15" t="s">
        <v>368</v>
      </c>
      <c r="G679" s="14" t="s">
        <v>43</v>
      </c>
      <c r="H679" s="14"/>
      <c r="I679" s="14" t="n">
        <f aca="false">IF(E679="","",IF(OR(AND(H679="Plan A",$C$5="B"),AND(H679="Plan B",$C$5="A")),0,IF(OR(G679="per student",G679="per group",G679="per class"),E679*IF(B679="Year 7",$C$3,$C$4),E679)))</f>
        <v>24</v>
      </c>
      <c r="J679" s="15"/>
      <c r="K679" s="14"/>
      <c r="L679" s="14" t="str">
        <f aca="false">IF(OR(K679="",O679&lt;&gt;"",I679=""),"",ROUNDUP(I679*K679,0))</f>
        <v/>
      </c>
      <c r="M679" s="15" t="s">
        <v>2175</v>
      </c>
      <c r="N679" s="14"/>
      <c r="O679" s="15" t="s">
        <v>370</v>
      </c>
      <c r="P679" s="15" t="s">
        <v>376</v>
      </c>
      <c r="Q679" s="13" t="s">
        <v>2176</v>
      </c>
      <c r="R679" s="14"/>
    </row>
    <row r="680" customFormat="false" ht="35.05" hidden="false" customHeight="false" outlineLevel="0" collapsed="false">
      <c r="A680" s="14" t="n">
        <v>10</v>
      </c>
      <c r="B680" s="15" t="s">
        <v>39</v>
      </c>
      <c r="C680" s="15" t="s">
        <v>97</v>
      </c>
      <c r="D680" s="15" t="s">
        <v>2177</v>
      </c>
      <c r="E680" s="14" t="n">
        <v>24</v>
      </c>
      <c r="F680" s="15" t="s">
        <v>2178</v>
      </c>
      <c r="G680" s="14" t="s">
        <v>43</v>
      </c>
      <c r="H680" s="14"/>
      <c r="I680" s="14" t="n">
        <f aca="false">IF(E680="","",IF(OR(AND(H680="Plan A",$C$5="B"),AND(H680="Plan B",$C$5="A")),0,IF(OR(G680="per student",G680="per group",G680="per class"),E680*IF(B680="Year 7",$C$3,$C$4),E680)))</f>
        <v>24</v>
      </c>
      <c r="J680" s="15"/>
      <c r="K680" s="14"/>
      <c r="L680" s="14" t="str">
        <f aca="false">IF(OR(K680="",O680&lt;&gt;"",I680=""),"",ROUNDUP(I680*K680,0))</f>
        <v/>
      </c>
      <c r="M680" s="15" t="s">
        <v>2179</v>
      </c>
      <c r="N680" s="14"/>
      <c r="O680" s="15" t="s">
        <v>2180</v>
      </c>
      <c r="P680" s="15" t="s">
        <v>376</v>
      </c>
      <c r="Q680" s="15"/>
      <c r="R680" s="14"/>
    </row>
    <row r="681" customFormat="false" ht="35.05" hidden="false" customHeight="false" outlineLevel="0" collapsed="false">
      <c r="A681" s="14" t="n">
        <v>10</v>
      </c>
      <c r="B681" s="15" t="s">
        <v>39</v>
      </c>
      <c r="C681" s="15" t="s">
        <v>97</v>
      </c>
      <c r="D681" s="15" t="s">
        <v>2181</v>
      </c>
      <c r="E681" s="14" t="n">
        <v>24</v>
      </c>
      <c r="F681" s="15" t="s">
        <v>2182</v>
      </c>
      <c r="G681" s="14" t="s">
        <v>43</v>
      </c>
      <c r="H681" s="14"/>
      <c r="I681" s="14" t="n">
        <f aca="false">IF(E681="","",IF(OR(AND(H681="Plan A",$C$5="B"),AND(H681="Plan B",$C$5="A")),0,IF(OR(G681="per student",G681="per group",G681="per class"),E681*IF(B681="Year 7",$C$3,$C$4),E681)))</f>
        <v>24</v>
      </c>
      <c r="J681" s="15"/>
      <c r="K681" s="14"/>
      <c r="L681" s="14" t="str">
        <f aca="false">IF(OR(K681="",O681&lt;&gt;"",I681=""),"",ROUNDUP(I681*K681,0))</f>
        <v/>
      </c>
      <c r="M681" s="15" t="s">
        <v>2183</v>
      </c>
      <c r="N681" s="14" t="s">
        <v>105</v>
      </c>
      <c r="O681" s="15" t="s">
        <v>2184</v>
      </c>
      <c r="P681" s="15" t="s">
        <v>376</v>
      </c>
      <c r="Q681" s="13" t="s">
        <v>2185</v>
      </c>
      <c r="R681" s="14"/>
    </row>
    <row r="682" customFormat="false" ht="35.05" hidden="false" customHeight="false" outlineLevel="0" collapsed="false">
      <c r="A682" s="14" t="n">
        <v>10</v>
      </c>
      <c r="B682" s="15" t="s">
        <v>39</v>
      </c>
      <c r="C682" s="15" t="s">
        <v>97</v>
      </c>
      <c r="D682" s="15" t="s">
        <v>641</v>
      </c>
      <c r="E682" s="14" t="n">
        <v>6</v>
      </c>
      <c r="F682" s="15" t="s">
        <v>373</v>
      </c>
      <c r="G682" s="14" t="s">
        <v>66</v>
      </c>
      <c r="H682" s="14"/>
      <c r="I682" s="14" t="n">
        <f aca="false">IF(E682="","",IF(OR(AND(H682="Plan A",$C$5="B"),AND(H682="Plan B",$C$5="A")),0,IF(OR(G682="per student",G682="per group",G682="per class"),E682*IF(B682="Year 7",$C$3,$C$4),E682)))</f>
        <v>6</v>
      </c>
      <c r="J682" s="15"/>
      <c r="K682" s="14"/>
      <c r="L682" s="14" t="str">
        <f aca="false">IF(OR(K682="",O682&lt;&gt;"",I682=""),"",ROUNDUP(I682*K682,0))</f>
        <v/>
      </c>
      <c r="M682" s="15" t="s">
        <v>2186</v>
      </c>
      <c r="N682" s="14"/>
      <c r="O682" s="15" t="s">
        <v>643</v>
      </c>
      <c r="P682" s="15" t="s">
        <v>376</v>
      </c>
      <c r="Q682" s="13" t="s">
        <v>2187</v>
      </c>
      <c r="R682" s="14"/>
    </row>
    <row r="683" customFormat="false" ht="46.25" hidden="false" customHeight="false" outlineLevel="0" collapsed="false">
      <c r="A683" s="14" t="n">
        <v>10</v>
      </c>
      <c r="B683" s="15" t="s">
        <v>39</v>
      </c>
      <c r="C683" s="15" t="s">
        <v>97</v>
      </c>
      <c r="D683" s="15" t="s">
        <v>386</v>
      </c>
      <c r="E683" s="14" t="n">
        <v>24</v>
      </c>
      <c r="F683" s="15" t="s">
        <v>368</v>
      </c>
      <c r="G683" s="14" t="s">
        <v>43</v>
      </c>
      <c r="H683" s="14"/>
      <c r="I683" s="14" t="n">
        <f aca="false">IF(E683="","",IF(OR(AND(H683="Plan A",$C$5="B"),AND(H683="Plan B",$C$5="A")),0,IF(OR(G683="per student",G683="per group",G683="per class"),E683*IF(B683="Year 7",$C$3,$C$4),E683)))</f>
        <v>24</v>
      </c>
      <c r="J683" s="15"/>
      <c r="K683" s="14"/>
      <c r="L683" s="14" t="str">
        <f aca="false">IF(OR(K683="",O683&lt;&gt;"",I683=""),"",ROUNDUP(I683*K683,0))</f>
        <v/>
      </c>
      <c r="M683" s="15" t="s">
        <v>2188</v>
      </c>
      <c r="N683" s="14"/>
      <c r="O683" s="15" t="s">
        <v>388</v>
      </c>
      <c r="P683" s="15" t="s">
        <v>376</v>
      </c>
      <c r="Q683" s="13" t="s">
        <v>2189</v>
      </c>
      <c r="R683" s="14"/>
    </row>
    <row r="684" customFormat="false" ht="15" hidden="false" customHeight="false" outlineLevel="0" collapsed="false">
      <c r="A684" s="14" t="n">
        <v>10</v>
      </c>
      <c r="B684" s="15" t="s">
        <v>39</v>
      </c>
      <c r="C684" s="15" t="s">
        <v>124</v>
      </c>
      <c r="D684" s="15" t="s">
        <v>125</v>
      </c>
      <c r="E684" s="14" t="n">
        <v>1</v>
      </c>
      <c r="F684" s="15" t="s">
        <v>267</v>
      </c>
      <c r="G684" s="14" t="s">
        <v>127</v>
      </c>
      <c r="H684" s="14"/>
      <c r="I684" s="14" t="n">
        <f aca="false">IF(E684="","",IF(OR(AND(H684="Plan A",$C$5="B"),AND(H684="Plan B",$C$5="A")),0,IF(OR(G684="per student",G684="per group",G684="per class"),E684*IF(B684="Year 7",$C$3,$C$4),E684)))</f>
        <v>1</v>
      </c>
      <c r="J684" s="15"/>
      <c r="K684" s="14"/>
      <c r="L684" s="14" t="str">
        <f aca="false">IF(OR(K684="",O684&lt;&gt;"",I684=""),"",ROUNDUP(I684*K684,0))</f>
        <v/>
      </c>
      <c r="M684" s="15" t="s">
        <v>2190</v>
      </c>
      <c r="N684" s="14"/>
      <c r="O684" s="15" t="s">
        <v>391</v>
      </c>
      <c r="P684" s="15" t="s">
        <v>376</v>
      </c>
      <c r="Q684" s="15"/>
      <c r="R684" s="14"/>
    </row>
    <row r="685" customFormat="false" ht="35.05" hidden="false" customHeight="false" outlineLevel="0" collapsed="false">
      <c r="A685" s="14" t="n">
        <v>10</v>
      </c>
      <c r="B685" s="15" t="s">
        <v>39</v>
      </c>
      <c r="C685" s="15" t="s">
        <v>124</v>
      </c>
      <c r="D685" s="15" t="s">
        <v>2191</v>
      </c>
      <c r="E685" s="14" t="n">
        <v>1</v>
      </c>
      <c r="F685" s="15" t="s">
        <v>267</v>
      </c>
      <c r="G685" s="14" t="s">
        <v>57</v>
      </c>
      <c r="H685" s="14"/>
      <c r="I685" s="14" t="n">
        <f aca="false">IF(E685="","",IF(OR(AND(H685="Plan A",$C$5="B"),AND(H685="Plan B",$C$5="A")),0,IF(OR(G685="per student",G685="per group",G685="per class"),E685*IF(B685="Year 7",$C$3,$C$4),E685)))</f>
        <v>1</v>
      </c>
      <c r="J685" s="15"/>
      <c r="K685" s="14"/>
      <c r="L685" s="14" t="str">
        <f aca="false">IF(OR(K685="",O685&lt;&gt;"",I685=""),"",ROUNDUP(I685*K685,0))</f>
        <v/>
      </c>
      <c r="M685" s="15" t="s">
        <v>2192</v>
      </c>
      <c r="N685" s="14"/>
      <c r="O685" s="15"/>
      <c r="P685" s="15" t="s">
        <v>77</v>
      </c>
      <c r="Q685" s="13" t="s">
        <v>2193</v>
      </c>
      <c r="R685" s="14"/>
    </row>
    <row r="686" customFormat="false" ht="23.85" hidden="false" customHeight="false" outlineLevel="0" collapsed="false">
      <c r="A686" s="14" t="n">
        <v>10</v>
      </c>
      <c r="B686" s="15" t="s">
        <v>39</v>
      </c>
      <c r="C686" s="15" t="s">
        <v>124</v>
      </c>
      <c r="D686" s="15" t="s">
        <v>2194</v>
      </c>
      <c r="E686" s="14" t="n">
        <v>1</v>
      </c>
      <c r="F686" s="15" t="s">
        <v>2195</v>
      </c>
      <c r="G686" s="14" t="s">
        <v>57</v>
      </c>
      <c r="H686" s="14"/>
      <c r="I686" s="14" t="n">
        <f aca="false">IF(E686="","",IF(OR(AND(H686="Plan A",$C$5="B"),AND(H686="Plan B",$C$5="A")),0,IF(OR(G686="per student",G686="per group",G686="per class"),E686*IF(B686="Year 7",$C$3,$C$4),E686)))</f>
        <v>1</v>
      </c>
      <c r="J686" s="15"/>
      <c r="K686" s="14"/>
      <c r="L686" s="14" t="str">
        <f aca="false">IF(OR(K686="",O686&lt;&gt;"",I686=""),"",ROUNDUP(I686*K686,0))</f>
        <v/>
      </c>
      <c r="M686" s="15" t="s">
        <v>2196</v>
      </c>
      <c r="N686" s="14"/>
      <c r="O686" s="15"/>
      <c r="P686" s="15" t="s">
        <v>138</v>
      </c>
      <c r="Q686" s="13" t="s">
        <v>2197</v>
      </c>
      <c r="R686" s="14"/>
    </row>
    <row r="687" customFormat="false" ht="23.85" hidden="false" customHeight="false" outlineLevel="0" collapsed="false">
      <c r="A687" s="14" t="n">
        <v>10</v>
      </c>
      <c r="B687" s="15" t="s">
        <v>39</v>
      </c>
      <c r="C687" s="15" t="s">
        <v>124</v>
      </c>
      <c r="D687" s="15" t="s">
        <v>1115</v>
      </c>
      <c r="E687" s="14" t="n">
        <v>1</v>
      </c>
      <c r="F687" s="15" t="s">
        <v>1870</v>
      </c>
      <c r="G687" s="14" t="s">
        <v>57</v>
      </c>
      <c r="H687" s="14"/>
      <c r="I687" s="14" t="n">
        <f aca="false">IF(E687="","",IF(OR(AND(H687="Plan A",$C$5="B"),AND(H687="Plan B",$C$5="A")),0,IF(OR(G687="per student",G687="per group",G687="per class"),E687*IF(B687="Year 7",$C$3,$C$4),E687)))</f>
        <v>1</v>
      </c>
      <c r="J687" s="15"/>
      <c r="K687" s="14"/>
      <c r="L687" s="14" t="str">
        <f aca="false">IF(OR(K687="",O687&lt;&gt;"",I687=""),"",ROUNDUP(I687*K687,0))</f>
        <v/>
      </c>
      <c r="M687" s="15" t="s">
        <v>2198</v>
      </c>
      <c r="N687" s="14"/>
      <c r="O687" s="15"/>
      <c r="P687" s="15" t="s">
        <v>138</v>
      </c>
      <c r="Q687" s="13" t="s">
        <v>2199</v>
      </c>
      <c r="R687" s="14"/>
    </row>
    <row r="688" customFormat="false" ht="57.45" hidden="false" customHeight="false" outlineLevel="0" collapsed="false">
      <c r="A688" s="14" t="n">
        <v>10</v>
      </c>
      <c r="B688" s="15" t="s">
        <v>153</v>
      </c>
      <c r="C688" s="15" t="s">
        <v>40</v>
      </c>
      <c r="D688" s="15" t="s">
        <v>2200</v>
      </c>
      <c r="E688" s="14" t="n">
        <v>24</v>
      </c>
      <c r="F688" s="15" t="s">
        <v>42</v>
      </c>
      <c r="G688" s="14" t="s">
        <v>43</v>
      </c>
      <c r="H688" s="14"/>
      <c r="I688" s="14" t="n">
        <f aca="false">IF(E688="","",IF(OR(AND(H688="Plan A",$C$5="B"),AND(H688="Plan B",$C$5="A")),0,IF(OR(G688="per student",G688="per group",G688="per class"),E688*IF(B688="Year 7",$C$3,$C$4),E688)))</f>
        <v>24</v>
      </c>
      <c r="J688" s="15" t="s">
        <v>13</v>
      </c>
      <c r="K688" s="14" t="n">
        <v>3</v>
      </c>
      <c r="L688" s="14" t="n">
        <f aca="false">IF(OR(K688="",O688&lt;&gt;"",I688=""),"",ROUNDUP(I688*K688,0))</f>
        <v>72</v>
      </c>
      <c r="M688" s="15" t="s">
        <v>2201</v>
      </c>
      <c r="N688" s="14"/>
      <c r="O688" s="15"/>
      <c r="P688" s="15" t="s">
        <v>45</v>
      </c>
      <c r="Q688" s="13" t="s">
        <v>2202</v>
      </c>
      <c r="R688" s="14"/>
    </row>
    <row r="689" customFormat="false" ht="35.05" hidden="false" customHeight="false" outlineLevel="0" collapsed="false">
      <c r="A689" s="14" t="n">
        <v>10</v>
      </c>
      <c r="B689" s="15" t="s">
        <v>153</v>
      </c>
      <c r="C689" s="15" t="s">
        <v>40</v>
      </c>
      <c r="D689" s="15" t="s">
        <v>2203</v>
      </c>
      <c r="E689" s="14" t="n">
        <v>24</v>
      </c>
      <c r="F689" s="15" t="s">
        <v>2204</v>
      </c>
      <c r="G689" s="14" t="s">
        <v>43</v>
      </c>
      <c r="H689" s="14"/>
      <c r="I689" s="14" t="n">
        <f aca="false">IF(E689="","",IF(OR(AND(H689="Plan A",$C$5="B"),AND(H689="Plan B",$C$5="A")),0,IF(OR(G689="per student",G689="per group",G689="per class"),E689*IF(B689="Year 7",$C$3,$C$4),E689)))</f>
        <v>24</v>
      </c>
      <c r="J689" s="15" t="s">
        <v>13</v>
      </c>
      <c r="K689" s="14" t="n">
        <v>0.5</v>
      </c>
      <c r="L689" s="14" t="n">
        <f aca="false">IF(OR(K689="",O689&lt;&gt;"",I689=""),"",ROUNDUP(I689*K689,0))</f>
        <v>12</v>
      </c>
      <c r="M689" s="15" t="s">
        <v>2205</v>
      </c>
      <c r="N689" s="14"/>
      <c r="O689" s="15"/>
      <c r="P689" s="15" t="s">
        <v>45</v>
      </c>
      <c r="Q689" s="13" t="s">
        <v>2206</v>
      </c>
      <c r="R689" s="14"/>
    </row>
    <row r="690" customFormat="false" ht="91" hidden="false" customHeight="false" outlineLevel="0" collapsed="false">
      <c r="A690" s="14" t="n">
        <v>10</v>
      </c>
      <c r="B690" s="15" t="s">
        <v>153</v>
      </c>
      <c r="C690" s="15" t="s">
        <v>40</v>
      </c>
      <c r="D690" s="15" t="s">
        <v>2207</v>
      </c>
      <c r="E690" s="14" t="n">
        <v>24</v>
      </c>
      <c r="F690" s="15" t="s">
        <v>2208</v>
      </c>
      <c r="G690" s="14" t="s">
        <v>43</v>
      </c>
      <c r="H690" s="14"/>
      <c r="I690" s="14" t="n">
        <f aca="false">IF(E690="","",IF(OR(AND(H690="Plan A",$C$5="B"),AND(H690="Plan B",$C$5="A")),0,IF(OR(G690="per student",G690="per group",G690="per class"),E690*IF(B690="Year 7",$C$3,$C$4),E690)))</f>
        <v>24</v>
      </c>
      <c r="J690" s="15" t="s">
        <v>13</v>
      </c>
      <c r="K690" s="14" t="n">
        <v>1</v>
      </c>
      <c r="L690" s="14" t="n">
        <f aca="false">IF(OR(K690="",O690&lt;&gt;"",I690=""),"",ROUNDUP(I690*K690,0))</f>
        <v>24</v>
      </c>
      <c r="M690" s="15" t="s">
        <v>2209</v>
      </c>
      <c r="N690" s="14"/>
      <c r="O690" s="15"/>
      <c r="P690" s="15" t="s">
        <v>45</v>
      </c>
      <c r="Q690" s="13" t="s">
        <v>2210</v>
      </c>
      <c r="R690" s="14"/>
    </row>
    <row r="691" customFormat="false" ht="35.05" hidden="false" customHeight="false" outlineLevel="0" collapsed="false">
      <c r="A691" s="14" t="n">
        <v>10</v>
      </c>
      <c r="B691" s="15" t="s">
        <v>153</v>
      </c>
      <c r="C691" s="15" t="s">
        <v>40</v>
      </c>
      <c r="D691" s="15" t="s">
        <v>2211</v>
      </c>
      <c r="E691" s="14" t="n">
        <v>24</v>
      </c>
      <c r="F691" s="15" t="s">
        <v>2212</v>
      </c>
      <c r="G691" s="14" t="s">
        <v>43</v>
      </c>
      <c r="H691" s="14"/>
      <c r="I691" s="14" t="n">
        <f aca="false">IF(E691="","",IF(OR(AND(H691="Plan A",$C$5="B"),AND(H691="Plan B",$C$5="A")),0,IF(OR(G691="per student",G691="per group",G691="per class"),E691*IF(B691="Year 7",$C$3,$C$4),E691)))</f>
        <v>24</v>
      </c>
      <c r="J691" s="15" t="s">
        <v>13</v>
      </c>
      <c r="K691" s="14" t="n">
        <v>0.25</v>
      </c>
      <c r="L691" s="14" t="n">
        <f aca="false">IF(OR(K691="",O691&lt;&gt;"",I691=""),"",ROUNDUP(I691*K691,0))</f>
        <v>6</v>
      </c>
      <c r="M691" s="15" t="s">
        <v>2213</v>
      </c>
      <c r="N691" s="14"/>
      <c r="O691" s="15"/>
      <c r="P691" s="15" t="s">
        <v>45</v>
      </c>
      <c r="Q691" s="13" t="s">
        <v>2214</v>
      </c>
      <c r="R691" s="14"/>
    </row>
    <row r="692" customFormat="false" ht="35.05" hidden="false" customHeight="false" outlineLevel="0" collapsed="false">
      <c r="A692" s="14" t="n">
        <v>10</v>
      </c>
      <c r="B692" s="15" t="s">
        <v>153</v>
      </c>
      <c r="C692" s="15" t="s">
        <v>40</v>
      </c>
      <c r="D692" s="15" t="s">
        <v>2215</v>
      </c>
      <c r="E692" s="14" t="n">
        <v>24</v>
      </c>
      <c r="F692" s="15" t="s">
        <v>2023</v>
      </c>
      <c r="G692" s="14" t="s">
        <v>43</v>
      </c>
      <c r="H692" s="14"/>
      <c r="I692" s="14" t="n">
        <f aca="false">IF(E692="","",IF(OR(AND(H692="Plan A",$C$5="B"),AND(H692="Plan B",$C$5="A")),0,IF(OR(G692="per student",G692="per group",G692="per class"),E692*IF(B692="Year 7",$C$3,$C$4),E692)))</f>
        <v>24</v>
      </c>
      <c r="J692" s="15" t="s">
        <v>20</v>
      </c>
      <c r="K692" s="14" t="n">
        <v>1</v>
      </c>
      <c r="L692" s="14" t="n">
        <f aca="false">IF(OR(K692="",O692&lt;&gt;"",I692=""),"",ROUNDUP(I692*K692,0))</f>
        <v>24</v>
      </c>
      <c r="M692" s="15" t="s">
        <v>2216</v>
      </c>
      <c r="N692" s="14"/>
      <c r="O692" s="15"/>
      <c r="P692" s="15" t="s">
        <v>45</v>
      </c>
      <c r="Q692" s="13" t="s">
        <v>2217</v>
      </c>
      <c r="R692" s="14"/>
    </row>
    <row r="693" customFormat="false" ht="47.75" hidden="false" customHeight="false" outlineLevel="0" collapsed="false">
      <c r="A693" s="14" t="n">
        <v>10</v>
      </c>
      <c r="B693" s="15" t="s">
        <v>153</v>
      </c>
      <c r="C693" s="15" t="s">
        <v>40</v>
      </c>
      <c r="D693" s="15" t="s">
        <v>2218</v>
      </c>
      <c r="E693" s="14" t="n">
        <v>7</v>
      </c>
      <c r="F693" s="15" t="s">
        <v>2119</v>
      </c>
      <c r="G693" s="14" t="s">
        <v>127</v>
      </c>
      <c r="H693" s="14"/>
      <c r="I693" s="14" t="n">
        <f aca="false">IF(E693="","",IF(OR(AND(H693="Plan A",$C$5="B"),AND(H693="Plan B",$C$5="A")),0,IF(OR(G693="per student",G693="per group",G693="per class"),E693*IF(B693="Year 7",$C$3,$C$4),E693)))</f>
        <v>7</v>
      </c>
      <c r="J693" s="15" t="s">
        <v>13</v>
      </c>
      <c r="K693" s="14" t="n">
        <v>1</v>
      </c>
      <c r="L693" s="14" t="n">
        <f aca="false">IF(OR(K693="",O693&lt;&gt;"",I693=""),"",ROUNDUP(I693*K693,0))</f>
        <v>7</v>
      </c>
      <c r="M693" s="15" t="s">
        <v>2219</v>
      </c>
      <c r="N693" s="14"/>
      <c r="O693" s="15"/>
      <c r="P693" s="15" t="s">
        <v>45</v>
      </c>
      <c r="Q693" s="13" t="s">
        <v>2220</v>
      </c>
      <c r="R693" s="14"/>
    </row>
    <row r="694" customFormat="false" ht="23.85" hidden="false" customHeight="false" outlineLevel="0" collapsed="false">
      <c r="A694" s="14" t="n">
        <v>10</v>
      </c>
      <c r="B694" s="15" t="s">
        <v>153</v>
      </c>
      <c r="C694" s="15" t="s">
        <v>40</v>
      </c>
      <c r="D694" s="15" t="s">
        <v>2221</v>
      </c>
      <c r="E694" s="14" t="n">
        <v>1</v>
      </c>
      <c r="F694" s="15" t="s">
        <v>187</v>
      </c>
      <c r="G694" s="14" t="s">
        <v>127</v>
      </c>
      <c r="H694" s="14"/>
      <c r="I694" s="14" t="n">
        <f aca="false">IF(E694="","",IF(OR(AND(H694="Plan A",$C$5="B"),AND(H694="Plan B",$C$5="A")),0,IF(OR(G694="per student",G694="per group",G694="per class"),E694*IF(B694="Year 7",$C$3,$C$4),E694)))</f>
        <v>1</v>
      </c>
      <c r="J694" s="15" t="s">
        <v>13</v>
      </c>
      <c r="K694" s="14" t="n">
        <v>1</v>
      </c>
      <c r="L694" s="14" t="n">
        <f aca="false">IF(OR(K694="",O694&lt;&gt;"",I694=""),"",ROUNDUP(I694*K694,0))</f>
        <v>1</v>
      </c>
      <c r="M694" s="15" t="s">
        <v>2222</v>
      </c>
      <c r="N694" s="14"/>
      <c r="O694" s="15"/>
      <c r="P694" s="15" t="s">
        <v>45</v>
      </c>
      <c r="Q694" s="15"/>
      <c r="R694" s="14"/>
    </row>
    <row r="695" customFormat="false" ht="35.05" hidden="false" customHeight="false" outlineLevel="0" collapsed="false">
      <c r="A695" s="14" t="n">
        <v>10</v>
      </c>
      <c r="B695" s="15" t="s">
        <v>153</v>
      </c>
      <c r="C695" s="15" t="s">
        <v>40</v>
      </c>
      <c r="D695" s="15" t="s">
        <v>2223</v>
      </c>
      <c r="E695" s="14" t="n">
        <v>1</v>
      </c>
      <c r="F695" s="15" t="s">
        <v>2224</v>
      </c>
      <c r="G695" s="14" t="s">
        <v>127</v>
      </c>
      <c r="H695" s="14"/>
      <c r="I695" s="14" t="n">
        <f aca="false">IF(E695="","",IF(OR(AND(H695="Plan A",$C$5="B"),AND(H695="Plan B",$C$5="A")),0,IF(OR(G695="per student",G695="per group",G695="per class"),E695*IF(B695="Year 7",$C$3,$C$4),E695)))</f>
        <v>1</v>
      </c>
      <c r="J695" s="15" t="s">
        <v>13</v>
      </c>
      <c r="K695" s="14" t="n">
        <v>2</v>
      </c>
      <c r="L695" s="14" t="n">
        <f aca="false">IF(OR(K695="",O695&lt;&gt;"",I695=""),"",ROUNDUP(I695*K695,0))</f>
        <v>2</v>
      </c>
      <c r="M695" s="15" t="s">
        <v>2225</v>
      </c>
      <c r="N695" s="14"/>
      <c r="O695" s="15"/>
      <c r="P695" s="15" t="s">
        <v>45</v>
      </c>
      <c r="Q695" s="13" t="s">
        <v>2226</v>
      </c>
      <c r="R695" s="14"/>
    </row>
    <row r="696" customFormat="false" ht="23.85" hidden="false" customHeight="false" outlineLevel="0" collapsed="false">
      <c r="A696" s="14" t="n">
        <v>10</v>
      </c>
      <c r="B696" s="15" t="s">
        <v>153</v>
      </c>
      <c r="C696" s="15" t="s">
        <v>40</v>
      </c>
      <c r="D696" s="15" t="s">
        <v>2227</v>
      </c>
      <c r="E696" s="14" t="n">
        <v>1</v>
      </c>
      <c r="F696" s="15" t="s">
        <v>191</v>
      </c>
      <c r="G696" s="14" t="s">
        <v>127</v>
      </c>
      <c r="H696" s="14"/>
      <c r="I696" s="14" t="n">
        <f aca="false">IF(E696="","",IF(OR(AND(H696="Plan A",$C$5="B"),AND(H696="Plan B",$C$5="A")),0,IF(OR(G696="per student",G696="per group",G696="per class"),E696*IF(B696="Year 7",$C$3,$C$4),E696)))</f>
        <v>1</v>
      </c>
      <c r="J696" s="15" t="s">
        <v>20</v>
      </c>
      <c r="K696" s="14" t="n">
        <v>1</v>
      </c>
      <c r="L696" s="14" t="n">
        <f aca="false">IF(OR(K696="",O696&lt;&gt;"",I696=""),"",ROUNDUP(I696*K696,0))</f>
        <v>1</v>
      </c>
      <c r="M696" s="15" t="s">
        <v>2228</v>
      </c>
      <c r="N696" s="14"/>
      <c r="O696" s="15"/>
      <c r="P696" s="15" t="s">
        <v>45</v>
      </c>
      <c r="Q696" s="13" t="s">
        <v>2229</v>
      </c>
      <c r="R696" s="14"/>
    </row>
    <row r="697" customFormat="false" ht="79.85" hidden="false" customHeight="false" outlineLevel="0" collapsed="false">
      <c r="A697" s="14" t="n">
        <v>10</v>
      </c>
      <c r="B697" s="15" t="s">
        <v>153</v>
      </c>
      <c r="C697" s="15" t="s">
        <v>40</v>
      </c>
      <c r="D697" s="15" t="s">
        <v>2230</v>
      </c>
      <c r="E697" s="14" t="n">
        <v>6</v>
      </c>
      <c r="F697" s="15" t="s">
        <v>2231</v>
      </c>
      <c r="G697" s="14" t="s">
        <v>66</v>
      </c>
      <c r="H697" s="14"/>
      <c r="I697" s="14" t="n">
        <f aca="false">IF(E697="","",IF(OR(AND(H697="Plan A",$C$5="B"),AND(H697="Plan B",$C$5="A")),0,IF(OR(G697="per student",G697="per group",G697="per class"),E697*IF(B697="Year 7",$C$3,$C$4),E697)))</f>
        <v>6</v>
      </c>
      <c r="J697" s="15" t="s">
        <v>14</v>
      </c>
      <c r="K697" s="14" t="n">
        <v>2</v>
      </c>
      <c r="L697" s="14" t="n">
        <f aca="false">IF(OR(K697="",O697&lt;&gt;"",I697=""),"",ROUNDUP(I697*K697,0))</f>
        <v>12</v>
      </c>
      <c r="M697" s="15" t="s">
        <v>2232</v>
      </c>
      <c r="N697" s="14"/>
      <c r="O697" s="15"/>
      <c r="P697" s="13" t="s">
        <v>91</v>
      </c>
      <c r="Q697" s="13" t="s">
        <v>2233</v>
      </c>
      <c r="R697" s="14"/>
    </row>
    <row r="698" customFormat="false" ht="79.85" hidden="false" customHeight="false" outlineLevel="0" collapsed="false">
      <c r="A698" s="14" t="n">
        <v>10</v>
      </c>
      <c r="B698" s="15" t="s">
        <v>153</v>
      </c>
      <c r="C698" s="15" t="s">
        <v>40</v>
      </c>
      <c r="D698" s="15" t="s">
        <v>2234</v>
      </c>
      <c r="E698" s="14" t="n">
        <v>25</v>
      </c>
      <c r="F698" s="15" t="s">
        <v>2235</v>
      </c>
      <c r="G698" s="14" t="s">
        <v>43</v>
      </c>
      <c r="H698" s="14"/>
      <c r="I698" s="14" t="n">
        <f aca="false">IF(E698="","",IF(OR(AND(H698="Plan A",$C$5="B"),AND(H698="Plan B",$C$5="A")),0,IF(OR(G698="per student",G698="per group",G698="per class"),E698*IF(B698="Year 7",$C$3,$C$4),E698)))</f>
        <v>25</v>
      </c>
      <c r="J698" s="15" t="s">
        <v>14</v>
      </c>
      <c r="K698" s="14" t="n">
        <v>1</v>
      </c>
      <c r="L698" s="14" t="n">
        <f aca="false">IF(OR(K698="",O698&lt;&gt;"",I698=""),"",ROUNDUP(I698*K698,0))</f>
        <v>25</v>
      </c>
      <c r="M698" s="15" t="s">
        <v>2236</v>
      </c>
      <c r="N698" s="14"/>
      <c r="O698" s="15"/>
      <c r="P698" s="15" t="s">
        <v>77</v>
      </c>
      <c r="Q698" s="13" t="s">
        <v>2237</v>
      </c>
      <c r="R698" s="14"/>
    </row>
    <row r="699" customFormat="false" ht="35.05" hidden="false" customHeight="false" outlineLevel="0" collapsed="false">
      <c r="A699" s="14" t="n">
        <v>10</v>
      </c>
      <c r="B699" s="15" t="s">
        <v>153</v>
      </c>
      <c r="C699" s="15" t="s">
        <v>40</v>
      </c>
      <c r="D699" s="15" t="s">
        <v>2238</v>
      </c>
      <c r="E699" s="14" t="n">
        <v>24</v>
      </c>
      <c r="F699" s="15" t="s">
        <v>2119</v>
      </c>
      <c r="G699" s="14" t="s">
        <v>43</v>
      </c>
      <c r="H699" s="14"/>
      <c r="I699" s="14" t="n">
        <f aca="false">IF(E699="","",IF(OR(AND(H699="Plan A",$C$5="B"),AND(H699="Plan B",$C$5="A")),0,IF(OR(G699="per student",G699="per group",G699="per class"),E699*IF(B699="Year 7",$C$3,$C$4),E699)))</f>
        <v>24</v>
      </c>
      <c r="J699" s="15" t="s">
        <v>13</v>
      </c>
      <c r="K699" s="14" t="n">
        <v>1</v>
      </c>
      <c r="L699" s="14" t="n">
        <f aca="false">IF(OR(K699="",O699&lt;&gt;"",I699=""),"",ROUNDUP(I699*K699,0))</f>
        <v>24</v>
      </c>
      <c r="M699" s="15" t="s">
        <v>2239</v>
      </c>
      <c r="N699" s="14"/>
      <c r="O699" s="15"/>
      <c r="P699" s="15" t="s">
        <v>45</v>
      </c>
      <c r="Q699" s="13" t="s">
        <v>2240</v>
      </c>
      <c r="R699" s="14"/>
    </row>
    <row r="700" customFormat="false" ht="35.05" hidden="false" customHeight="false" outlineLevel="0" collapsed="false">
      <c r="A700" s="14" t="n">
        <v>10</v>
      </c>
      <c r="B700" s="15" t="s">
        <v>153</v>
      </c>
      <c r="C700" s="15" t="s">
        <v>40</v>
      </c>
      <c r="D700" s="15" t="s">
        <v>2241</v>
      </c>
      <c r="E700" s="14" t="n">
        <v>3</v>
      </c>
      <c r="F700" s="15" t="s">
        <v>2242</v>
      </c>
      <c r="G700" s="14" t="s">
        <v>127</v>
      </c>
      <c r="H700" s="14"/>
      <c r="I700" s="14" t="n">
        <f aca="false">IF(E700="","",IF(OR(AND(H700="Plan A",$C$5="B"),AND(H700="Plan B",$C$5="A")),0,IF(OR(G700="per student",G700="per group",G700="per class"),E700*IF(B700="Year 7",$C$3,$C$4),E700)))</f>
        <v>3</v>
      </c>
      <c r="J700" s="15" t="s">
        <v>13</v>
      </c>
      <c r="K700" s="14" t="n">
        <v>1</v>
      </c>
      <c r="L700" s="14" t="n">
        <f aca="false">IF(OR(K700="",O700&lt;&gt;"",I700=""),"",ROUNDUP(I700*K700,0))</f>
        <v>3</v>
      </c>
      <c r="M700" s="15" t="s">
        <v>2243</v>
      </c>
      <c r="N700" s="14" t="s">
        <v>105</v>
      </c>
      <c r="O700" s="15"/>
      <c r="P700" s="15" t="s">
        <v>45</v>
      </c>
      <c r="Q700" s="13" t="s">
        <v>2244</v>
      </c>
      <c r="R700" s="14"/>
    </row>
    <row r="701" customFormat="false" ht="23.85" hidden="false" customHeight="false" outlineLevel="0" collapsed="false">
      <c r="A701" s="14" t="n">
        <v>10</v>
      </c>
      <c r="B701" s="15" t="s">
        <v>153</v>
      </c>
      <c r="C701" s="15" t="s">
        <v>40</v>
      </c>
      <c r="D701" s="15" t="s">
        <v>2245</v>
      </c>
      <c r="E701" s="14" t="n">
        <v>1</v>
      </c>
      <c r="F701" s="15" t="s">
        <v>2246</v>
      </c>
      <c r="G701" s="14" t="s">
        <v>127</v>
      </c>
      <c r="H701" s="14"/>
      <c r="I701" s="14" t="n">
        <f aca="false">IF(E701="","",IF(OR(AND(H701="Plan A",$C$5="B"),AND(H701="Plan B",$C$5="A")),0,IF(OR(G701="per student",G701="per group",G701="per class"),E701*IF(B701="Year 7",$C$3,$C$4),E701)))</f>
        <v>1</v>
      </c>
      <c r="J701" s="15"/>
      <c r="K701" s="14"/>
      <c r="L701" s="14" t="str">
        <f aca="false">IF(OR(K701="",O701&lt;&gt;"",I701=""),"",ROUNDUP(I701*K701,0))</f>
        <v/>
      </c>
      <c r="M701" s="15" t="s">
        <v>2247</v>
      </c>
      <c r="N701" s="14"/>
      <c r="O701" s="15" t="s">
        <v>2248</v>
      </c>
      <c r="P701" s="15" t="s">
        <v>376</v>
      </c>
      <c r="Q701" s="15"/>
      <c r="R701" s="14"/>
    </row>
    <row r="702" customFormat="false" ht="35.05" hidden="false" customHeight="false" outlineLevel="0" collapsed="false">
      <c r="A702" s="14" t="n">
        <v>10</v>
      </c>
      <c r="B702" s="15" t="s">
        <v>153</v>
      </c>
      <c r="C702" s="15" t="s">
        <v>40</v>
      </c>
      <c r="D702" s="15" t="s">
        <v>2249</v>
      </c>
      <c r="E702" s="14" t="n">
        <v>1</v>
      </c>
      <c r="F702" s="15" t="s">
        <v>2246</v>
      </c>
      <c r="G702" s="14" t="s">
        <v>127</v>
      </c>
      <c r="H702" s="14"/>
      <c r="I702" s="14" t="n">
        <f aca="false">IF(E702="","",IF(OR(AND(H702="Plan A",$C$5="B"),AND(H702="Plan B",$C$5="A")),0,IF(OR(G702="per student",G702="per group",G702="per class"),E702*IF(B702="Year 7",$C$3,$C$4),E702)))</f>
        <v>1</v>
      </c>
      <c r="J702" s="15"/>
      <c r="K702" s="14"/>
      <c r="L702" s="14" t="str">
        <f aca="false">IF(OR(K702="",O702&lt;&gt;"",I702=""),"",ROUNDUP(I702*K702,0))</f>
        <v/>
      </c>
      <c r="M702" s="15" t="s">
        <v>2250</v>
      </c>
      <c r="N702" s="14"/>
      <c r="O702" s="15" t="s">
        <v>2251</v>
      </c>
      <c r="P702" s="15" t="s">
        <v>133</v>
      </c>
      <c r="Q702" s="13" t="s">
        <v>2252</v>
      </c>
      <c r="R702" s="14"/>
    </row>
    <row r="703" customFormat="false" ht="23.85" hidden="false" customHeight="false" outlineLevel="0" collapsed="false">
      <c r="A703" s="14" t="n">
        <v>10</v>
      </c>
      <c r="B703" s="15" t="s">
        <v>153</v>
      </c>
      <c r="C703" s="15" t="s">
        <v>97</v>
      </c>
      <c r="D703" s="15" t="s">
        <v>120</v>
      </c>
      <c r="E703" s="14" t="n">
        <v>24</v>
      </c>
      <c r="F703" s="15" t="s">
        <v>248</v>
      </c>
      <c r="G703" s="14" t="s">
        <v>43</v>
      </c>
      <c r="H703" s="14"/>
      <c r="I703" s="14" t="n">
        <f aca="false">IF(E703="","",IF(OR(AND(H703="Plan A",$C$5="B"),AND(H703="Plan B",$C$5="A")),0,IF(OR(G703="per student",G703="per group",G703="per class"),E703*IF(B703="Year 7",$C$3,$C$4),E703)))</f>
        <v>24</v>
      </c>
      <c r="J703" s="15"/>
      <c r="K703" s="14"/>
      <c r="L703" s="14" t="str">
        <f aca="false">IF(OR(K703="",O703&lt;&gt;"",I703=""),"",ROUNDUP(I703*K703,0))</f>
        <v/>
      </c>
      <c r="M703" s="15" t="s">
        <v>2253</v>
      </c>
      <c r="N703" s="14"/>
      <c r="O703" s="15" t="s">
        <v>2254</v>
      </c>
      <c r="P703" s="13" t="s">
        <v>91</v>
      </c>
      <c r="Q703" s="13" t="s">
        <v>2255</v>
      </c>
      <c r="R703" s="14"/>
    </row>
    <row r="704" customFormat="false" ht="46.25" hidden="false" customHeight="false" outlineLevel="0" collapsed="false">
      <c r="A704" s="14" t="n">
        <v>10</v>
      </c>
      <c r="B704" s="15" t="s">
        <v>153</v>
      </c>
      <c r="C704" s="15" t="s">
        <v>97</v>
      </c>
      <c r="D704" s="15" t="s">
        <v>2256</v>
      </c>
      <c r="E704" s="14" t="n">
        <v>24</v>
      </c>
      <c r="F704" s="15" t="s">
        <v>314</v>
      </c>
      <c r="G704" s="14" t="s">
        <v>43</v>
      </c>
      <c r="H704" s="14"/>
      <c r="I704" s="14" t="n">
        <f aca="false">IF(E704="","",IF(OR(AND(H704="Plan A",$C$5="B"),AND(H704="Plan B",$C$5="A")),0,IF(OR(G704="per student",G704="per group",G704="per class"),E704*IF(B704="Year 7",$C$3,$C$4),E704)))</f>
        <v>24</v>
      </c>
      <c r="J704" s="15"/>
      <c r="K704" s="14"/>
      <c r="L704" s="14" t="str">
        <f aca="false">IF(OR(K704="",O704&lt;&gt;"",I704=""),"",ROUNDUP(I704*K704,0))</f>
        <v/>
      </c>
      <c r="M704" s="15" t="s">
        <v>2257</v>
      </c>
      <c r="N704" s="14"/>
      <c r="O704" s="15" t="s">
        <v>2258</v>
      </c>
      <c r="P704" s="15" t="s">
        <v>376</v>
      </c>
      <c r="Q704" s="13" t="s">
        <v>2259</v>
      </c>
      <c r="R704" s="14"/>
    </row>
    <row r="705" customFormat="false" ht="35.05" hidden="false" customHeight="false" outlineLevel="0" collapsed="false">
      <c r="A705" s="14" t="n">
        <v>10</v>
      </c>
      <c r="B705" s="15" t="s">
        <v>153</v>
      </c>
      <c r="C705" s="15" t="s">
        <v>97</v>
      </c>
      <c r="D705" s="15" t="s">
        <v>2260</v>
      </c>
      <c r="E705" s="14" t="n">
        <v>6</v>
      </c>
      <c r="F705" s="15" t="s">
        <v>2261</v>
      </c>
      <c r="G705" s="14" t="s">
        <v>66</v>
      </c>
      <c r="H705" s="14"/>
      <c r="I705" s="14" t="n">
        <f aca="false">IF(E705="","",IF(OR(AND(H705="Plan A",$C$5="B"),AND(H705="Plan B",$C$5="A")),0,IF(OR(G705="per student",G705="per group",G705="per class"),E705*IF(B705="Year 7",$C$3,$C$4),E705)))</f>
        <v>6</v>
      </c>
      <c r="J705" s="15"/>
      <c r="K705" s="14"/>
      <c r="L705" s="14" t="str">
        <f aca="false">IF(OR(K705="",O705&lt;&gt;"",I705=""),"",ROUNDUP(I705*K705,0))</f>
        <v/>
      </c>
      <c r="M705" s="15" t="s">
        <v>2262</v>
      </c>
      <c r="N705" s="14"/>
      <c r="O705" s="15" t="s">
        <v>2263</v>
      </c>
      <c r="P705" s="15" t="s">
        <v>376</v>
      </c>
      <c r="Q705" s="15"/>
      <c r="R705" s="14"/>
    </row>
    <row r="706" customFormat="false" ht="46.25" hidden="false" customHeight="false" outlineLevel="0" collapsed="false">
      <c r="A706" s="14" t="n">
        <v>10</v>
      </c>
      <c r="B706" s="15" t="s">
        <v>153</v>
      </c>
      <c r="C706" s="15" t="s">
        <v>97</v>
      </c>
      <c r="D706" s="15" t="s">
        <v>2264</v>
      </c>
      <c r="E706" s="14" t="n">
        <v>24</v>
      </c>
      <c r="F706" s="15" t="s">
        <v>2265</v>
      </c>
      <c r="G706" s="14" t="s">
        <v>66</v>
      </c>
      <c r="H706" s="14"/>
      <c r="I706" s="14" t="n">
        <f aca="false">IF(E706="","",IF(OR(AND(H706="Plan A",$C$5="B"),AND(H706="Plan B",$C$5="A")),0,IF(OR(G706="per student",G706="per group",G706="per class"),E706*IF(B706="Year 7",$C$3,$C$4),E706)))</f>
        <v>24</v>
      </c>
      <c r="J706" s="15"/>
      <c r="K706" s="14"/>
      <c r="L706" s="14" t="str">
        <f aca="false">IF(OR(K706="",O706&lt;&gt;"",I706=""),"",ROUNDUP(I706*K706,0))</f>
        <v/>
      </c>
      <c r="M706" s="15" t="s">
        <v>2266</v>
      </c>
      <c r="N706" s="14"/>
      <c r="O706" s="15" t="s">
        <v>2267</v>
      </c>
      <c r="P706" s="15" t="s">
        <v>376</v>
      </c>
      <c r="Q706" s="13" t="s">
        <v>2268</v>
      </c>
      <c r="R706" s="14"/>
    </row>
    <row r="707" customFormat="false" ht="35.05" hidden="false" customHeight="false" outlineLevel="0" collapsed="false">
      <c r="A707" s="14" t="n">
        <v>10</v>
      </c>
      <c r="B707" s="15" t="s">
        <v>153</v>
      </c>
      <c r="C707" s="15" t="s">
        <v>97</v>
      </c>
      <c r="D707" s="15" t="s">
        <v>641</v>
      </c>
      <c r="E707" s="14" t="n">
        <v>6</v>
      </c>
      <c r="F707" s="15" t="s">
        <v>373</v>
      </c>
      <c r="G707" s="14" t="s">
        <v>66</v>
      </c>
      <c r="H707" s="14"/>
      <c r="I707" s="14" t="n">
        <f aca="false">IF(E707="","",IF(OR(AND(H707="Plan A",$C$5="B"),AND(H707="Plan B",$C$5="A")),0,IF(OR(G707="per student",G707="per group",G707="per class"),E707*IF(B707="Year 7",$C$3,$C$4),E707)))</f>
        <v>6</v>
      </c>
      <c r="J707" s="15"/>
      <c r="K707" s="14"/>
      <c r="L707" s="14" t="str">
        <f aca="false">IF(OR(K707="",O707&lt;&gt;"",I707=""),"",ROUNDUP(I707*K707,0))</f>
        <v/>
      </c>
      <c r="M707" s="15" t="s">
        <v>2269</v>
      </c>
      <c r="N707" s="14"/>
      <c r="O707" s="15" t="s">
        <v>481</v>
      </c>
      <c r="P707" s="15" t="s">
        <v>376</v>
      </c>
      <c r="Q707" s="15"/>
      <c r="R707" s="14"/>
    </row>
    <row r="708" customFormat="false" ht="35.05" hidden="false" customHeight="false" outlineLevel="0" collapsed="false">
      <c r="A708" s="14" t="n">
        <v>10</v>
      </c>
      <c r="B708" s="15" t="s">
        <v>153</v>
      </c>
      <c r="C708" s="15" t="s">
        <v>97</v>
      </c>
      <c r="D708" s="15" t="s">
        <v>2270</v>
      </c>
      <c r="E708" s="14" t="n">
        <v>6</v>
      </c>
      <c r="F708" s="15" t="s">
        <v>373</v>
      </c>
      <c r="G708" s="14" t="s">
        <v>66</v>
      </c>
      <c r="H708" s="14"/>
      <c r="I708" s="14" t="n">
        <f aca="false">IF(E708="","",IF(OR(AND(H708="Plan A",$C$5="B"),AND(H708="Plan B",$C$5="A")),0,IF(OR(G708="per student",G708="per group",G708="per class"),E708*IF(B708="Year 7",$C$3,$C$4),E708)))</f>
        <v>6</v>
      </c>
      <c r="J708" s="15"/>
      <c r="K708" s="14"/>
      <c r="L708" s="14" t="str">
        <f aca="false">IF(OR(K708="",O708&lt;&gt;"",I708=""),"",ROUNDUP(I708*K708,0))</f>
        <v/>
      </c>
      <c r="M708" s="15" t="s">
        <v>2271</v>
      </c>
      <c r="N708" s="14"/>
      <c r="O708" s="15" t="s">
        <v>484</v>
      </c>
      <c r="P708" s="15" t="s">
        <v>376</v>
      </c>
      <c r="Q708" s="13" t="s">
        <v>2272</v>
      </c>
      <c r="R708" s="14"/>
    </row>
    <row r="709" customFormat="false" ht="35.05" hidden="false" customHeight="false" outlineLevel="0" collapsed="false">
      <c r="A709" s="14" t="n">
        <v>10</v>
      </c>
      <c r="B709" s="15" t="s">
        <v>153</v>
      </c>
      <c r="C709" s="15" t="s">
        <v>97</v>
      </c>
      <c r="D709" s="15" t="s">
        <v>555</v>
      </c>
      <c r="E709" s="14" t="n">
        <v>24</v>
      </c>
      <c r="F709" s="15" t="s">
        <v>117</v>
      </c>
      <c r="G709" s="14" t="s">
        <v>43</v>
      </c>
      <c r="H709" s="14"/>
      <c r="I709" s="14" t="n">
        <f aca="false">IF(E709="","",IF(OR(AND(H709="Plan A",$C$5="B"),AND(H709="Plan B",$C$5="A")),0,IF(OR(G709="per student",G709="per group",G709="per class"),E709*IF(B709="Year 7",$C$3,$C$4),E709)))</f>
        <v>24</v>
      </c>
      <c r="J709" s="15"/>
      <c r="K709" s="14"/>
      <c r="L709" s="14" t="str">
        <f aca="false">IF(OR(K709="",O709&lt;&gt;"",I709=""),"",ROUNDUP(I709*K709,0))</f>
        <v/>
      </c>
      <c r="M709" s="15" t="s">
        <v>2273</v>
      </c>
      <c r="N709" s="14"/>
      <c r="O709" s="15" t="s">
        <v>481</v>
      </c>
      <c r="P709" s="15" t="s">
        <v>376</v>
      </c>
      <c r="Q709" s="13" t="s">
        <v>2274</v>
      </c>
      <c r="R709" s="14"/>
    </row>
    <row r="710" customFormat="false" ht="35.05" hidden="false" customHeight="false" outlineLevel="0" collapsed="false">
      <c r="A710" s="14" t="n">
        <v>10</v>
      </c>
      <c r="B710" s="15" t="s">
        <v>153</v>
      </c>
      <c r="C710" s="15" t="s">
        <v>97</v>
      </c>
      <c r="D710" s="15" t="s">
        <v>2275</v>
      </c>
      <c r="E710" s="14" t="n">
        <v>4</v>
      </c>
      <c r="F710" s="15" t="s">
        <v>563</v>
      </c>
      <c r="G710" s="14" t="s">
        <v>75</v>
      </c>
      <c r="H710" s="14"/>
      <c r="I710" s="14" t="n">
        <f aca="false">IF(E710="","",IF(OR(AND(H710="Plan A",$C$5="B"),AND(H710="Plan B",$C$5="A")),0,IF(OR(G710="per student",G710="per group",G710="per class"),E710*IF(B710="Year 7",$C$3,$C$4),E710)))</f>
        <v>4</v>
      </c>
      <c r="J710" s="15"/>
      <c r="K710" s="14"/>
      <c r="L710" s="14" t="str">
        <f aca="false">IF(OR(K710="",O710&lt;&gt;"",I710=""),"",ROUNDUP(I710*K710,0))</f>
        <v/>
      </c>
      <c r="M710" s="15" t="s">
        <v>564</v>
      </c>
      <c r="N710" s="14"/>
      <c r="O710" s="15" t="s">
        <v>2276</v>
      </c>
      <c r="P710" s="15" t="s">
        <v>376</v>
      </c>
      <c r="Q710" s="13" t="s">
        <v>2277</v>
      </c>
      <c r="R710" s="14"/>
    </row>
    <row r="711" customFormat="false" ht="35.05" hidden="false" customHeight="false" outlineLevel="0" collapsed="false">
      <c r="A711" s="14" t="n">
        <v>10</v>
      </c>
      <c r="B711" s="15" t="s">
        <v>153</v>
      </c>
      <c r="C711" s="15" t="s">
        <v>97</v>
      </c>
      <c r="D711" s="15" t="s">
        <v>485</v>
      </c>
      <c r="E711" s="14" t="n">
        <v>24</v>
      </c>
      <c r="F711" s="15" t="s">
        <v>368</v>
      </c>
      <c r="G711" s="14" t="s">
        <v>43</v>
      </c>
      <c r="H711" s="14"/>
      <c r="I711" s="14" t="n">
        <f aca="false">IF(E711="","",IF(OR(AND(H711="Plan A",$C$5="B"),AND(H711="Plan B",$C$5="A")),0,IF(OR(G711="per student",G711="per group",G711="per class"),E711*IF(B711="Year 7",$C$3,$C$4),E711)))</f>
        <v>24</v>
      </c>
      <c r="J711" s="15"/>
      <c r="K711" s="14"/>
      <c r="L711" s="14" t="str">
        <f aca="false">IF(OR(K711="",O711&lt;&gt;"",I711=""),"",ROUNDUP(I711*K711,0))</f>
        <v/>
      </c>
      <c r="M711" s="15" t="s">
        <v>2278</v>
      </c>
      <c r="N711" s="14"/>
      <c r="O711" s="15" t="s">
        <v>808</v>
      </c>
      <c r="P711" s="15" t="s">
        <v>376</v>
      </c>
      <c r="Q711" s="13" t="s">
        <v>2279</v>
      </c>
      <c r="R711" s="14"/>
    </row>
    <row r="712" customFormat="false" ht="35.05" hidden="false" customHeight="false" outlineLevel="0" collapsed="false">
      <c r="A712" s="14" t="n">
        <v>10</v>
      </c>
      <c r="B712" s="15" t="s">
        <v>153</v>
      </c>
      <c r="C712" s="15" t="s">
        <v>97</v>
      </c>
      <c r="D712" s="15" t="s">
        <v>367</v>
      </c>
      <c r="E712" s="14" t="n">
        <v>24</v>
      </c>
      <c r="F712" s="15" t="s">
        <v>368</v>
      </c>
      <c r="G712" s="14" t="s">
        <v>43</v>
      </c>
      <c r="H712" s="14"/>
      <c r="I712" s="14" t="n">
        <f aca="false">IF(E712="","",IF(OR(AND(H712="Plan A",$C$5="B"),AND(H712="Plan B",$C$5="A")),0,IF(OR(G712="per student",G712="per group",G712="per class"),E712*IF(B712="Year 7",$C$3,$C$4),E712)))</f>
        <v>24</v>
      </c>
      <c r="J712" s="15"/>
      <c r="K712" s="14"/>
      <c r="L712" s="14" t="str">
        <f aca="false">IF(OR(K712="",O712&lt;&gt;"",I712=""),"",ROUNDUP(I712*K712,0))</f>
        <v/>
      </c>
      <c r="M712" s="15" t="s">
        <v>2280</v>
      </c>
      <c r="N712" s="14"/>
      <c r="O712" s="15" t="s">
        <v>370</v>
      </c>
      <c r="P712" s="15" t="s">
        <v>376</v>
      </c>
      <c r="Q712" s="15"/>
      <c r="R712" s="14"/>
    </row>
    <row r="713" customFormat="false" ht="23.85" hidden="false" customHeight="false" outlineLevel="0" collapsed="false">
      <c r="A713" s="14" t="n">
        <v>10</v>
      </c>
      <c r="B713" s="15" t="s">
        <v>153</v>
      </c>
      <c r="C713" s="15" t="s">
        <v>97</v>
      </c>
      <c r="D713" s="15" t="s">
        <v>2163</v>
      </c>
      <c r="E713" s="14" t="n">
        <v>1</v>
      </c>
      <c r="F713" s="15" t="s">
        <v>2164</v>
      </c>
      <c r="G713" s="14" t="s">
        <v>127</v>
      </c>
      <c r="H713" s="14"/>
      <c r="I713" s="14" t="n">
        <f aca="false">IF(E713="","",IF(OR(AND(H713="Plan A",$C$5="B"),AND(H713="Plan B",$C$5="A")),0,IF(OR(G713="per student",G713="per group",G713="per class"),E713*IF(B713="Year 7",$C$3,$C$4),E713)))</f>
        <v>1</v>
      </c>
      <c r="J713" s="15"/>
      <c r="K713" s="14"/>
      <c r="L713" s="14" t="str">
        <f aca="false">IF(OR(K713="",O713&lt;&gt;"",I713=""),"",ROUNDUP(I713*K713,0))</f>
        <v/>
      </c>
      <c r="M713" s="15" t="s">
        <v>2281</v>
      </c>
      <c r="N713" s="14"/>
      <c r="O713" s="15"/>
      <c r="P713" s="15" t="s">
        <v>138</v>
      </c>
      <c r="Q713" s="15"/>
      <c r="R713" s="14"/>
    </row>
    <row r="714" customFormat="false" ht="23.85" hidden="false" customHeight="false" outlineLevel="0" collapsed="false">
      <c r="A714" s="14" t="n">
        <v>10</v>
      </c>
      <c r="B714" s="15" t="s">
        <v>153</v>
      </c>
      <c r="C714" s="15" t="s">
        <v>97</v>
      </c>
      <c r="D714" s="15" t="s">
        <v>2282</v>
      </c>
      <c r="E714" s="14" t="n">
        <v>1</v>
      </c>
      <c r="F714" s="15" t="s">
        <v>2283</v>
      </c>
      <c r="G714" s="14" t="s">
        <v>127</v>
      </c>
      <c r="H714" s="14"/>
      <c r="I714" s="14" t="n">
        <f aca="false">IF(E714="","",IF(OR(AND(H714="Plan A",$C$5="B"),AND(H714="Plan B",$C$5="A")),0,IF(OR(G714="per student",G714="per group",G714="per class"),E714*IF(B714="Year 7",$C$3,$C$4),E714)))</f>
        <v>1</v>
      </c>
      <c r="J714" s="15"/>
      <c r="K714" s="14"/>
      <c r="L714" s="14" t="str">
        <f aca="false">IF(OR(K714="",O714&lt;&gt;"",I714=""),"",ROUNDUP(I714*K714,0))</f>
        <v/>
      </c>
      <c r="M714" s="15" t="s">
        <v>2284</v>
      </c>
      <c r="N714" s="14"/>
      <c r="O714" s="15"/>
      <c r="P714" s="15" t="s">
        <v>138</v>
      </c>
      <c r="Q714" s="13" t="s">
        <v>2285</v>
      </c>
      <c r="R714" s="14"/>
    </row>
    <row r="715" customFormat="false" ht="23.85" hidden="false" customHeight="false" outlineLevel="0" collapsed="false">
      <c r="A715" s="14" t="n">
        <v>10</v>
      </c>
      <c r="B715" s="15" t="s">
        <v>153</v>
      </c>
      <c r="C715" s="15" t="s">
        <v>124</v>
      </c>
      <c r="D715" s="15" t="s">
        <v>2286</v>
      </c>
      <c r="E715" s="14" t="n">
        <v>1</v>
      </c>
      <c r="F715" s="15" t="s">
        <v>1112</v>
      </c>
      <c r="G715" s="14" t="s">
        <v>127</v>
      </c>
      <c r="H715" s="14"/>
      <c r="I715" s="14" t="n">
        <f aca="false">IF(E715="","",IF(OR(AND(H715="Plan A",$C$5="B"),AND(H715="Plan B",$C$5="A")),0,IF(OR(G715="per student",G715="per group",G715="per class"),E715*IF(B715="Year 7",$C$3,$C$4),E715)))</f>
        <v>1</v>
      </c>
      <c r="J715" s="15"/>
      <c r="K715" s="14"/>
      <c r="L715" s="14" t="str">
        <f aca="false">IF(OR(K715="",O715&lt;&gt;"",I715=""),"",ROUNDUP(I715*K715,0))</f>
        <v/>
      </c>
      <c r="M715" s="15" t="s">
        <v>2287</v>
      </c>
      <c r="N715" s="14"/>
      <c r="O715" s="15"/>
      <c r="P715" s="13" t="s">
        <v>91</v>
      </c>
      <c r="Q715" s="13" t="s">
        <v>2288</v>
      </c>
      <c r="R715" s="14"/>
    </row>
    <row r="716" customFormat="false" ht="23.85" hidden="false" customHeight="false" outlineLevel="0" collapsed="false">
      <c r="A716" s="14" t="n">
        <v>10</v>
      </c>
      <c r="B716" s="15" t="s">
        <v>153</v>
      </c>
      <c r="C716" s="15" t="s">
        <v>124</v>
      </c>
      <c r="D716" s="15" t="s">
        <v>125</v>
      </c>
      <c r="E716" s="14" t="n">
        <v>1</v>
      </c>
      <c r="F716" s="15" t="s">
        <v>267</v>
      </c>
      <c r="G716" s="14" t="s">
        <v>127</v>
      </c>
      <c r="H716" s="14"/>
      <c r="I716" s="14" t="n">
        <f aca="false">IF(E716="","",IF(OR(AND(H716="Plan A",$C$5="B"),AND(H716="Plan B",$C$5="A")),0,IF(OR(G716="per student",G716="per group",G716="per class"),E716*IF(B716="Year 7",$C$3,$C$4),E716)))</f>
        <v>1</v>
      </c>
      <c r="J716" s="15"/>
      <c r="K716" s="14"/>
      <c r="L716" s="14" t="str">
        <f aca="false">IF(OR(K716="",O716&lt;&gt;"",I716=""),"",ROUNDUP(I716*K716,0))</f>
        <v/>
      </c>
      <c r="M716" s="15" t="s">
        <v>2289</v>
      </c>
      <c r="N716" s="14"/>
      <c r="O716" s="15" t="s">
        <v>855</v>
      </c>
      <c r="P716" s="15" t="s">
        <v>376</v>
      </c>
      <c r="Q716" s="15"/>
      <c r="R716" s="14"/>
    </row>
    <row r="717" customFormat="false" ht="15" hidden="false" customHeight="false" outlineLevel="0" collapsed="false">
      <c r="A717" s="14" t="n">
        <v>10</v>
      </c>
      <c r="B717" s="15" t="s">
        <v>153</v>
      </c>
      <c r="C717" s="15" t="s">
        <v>124</v>
      </c>
      <c r="D717" s="15" t="s">
        <v>2290</v>
      </c>
      <c r="E717" s="14" t="n">
        <v>1</v>
      </c>
      <c r="F717" s="15" t="s">
        <v>2291</v>
      </c>
      <c r="G717" s="14" t="s">
        <v>57</v>
      </c>
      <c r="H717" s="14"/>
      <c r="I717" s="14" t="n">
        <f aca="false">IF(E717="","",IF(OR(AND(H717="Plan A",$C$5="B"),AND(H717="Plan B",$C$5="A")),0,IF(OR(G717="per student",G717="per group",G717="per class"),E717*IF(B717="Year 7",$C$3,$C$4),E717)))</f>
        <v>1</v>
      </c>
      <c r="J717" s="15"/>
      <c r="K717" s="14"/>
      <c r="L717" s="14" t="str">
        <f aca="false">IF(OR(K717="",O717&lt;&gt;"",I717=""),"",ROUNDUP(I717*K717,0))</f>
        <v/>
      </c>
      <c r="M717" s="15" t="s">
        <v>2292</v>
      </c>
      <c r="N717" s="14" t="s">
        <v>105</v>
      </c>
      <c r="O717" s="15"/>
      <c r="P717" s="15" t="s">
        <v>77</v>
      </c>
      <c r="Q717" s="15"/>
      <c r="R717" s="14"/>
    </row>
    <row r="718" customFormat="false" ht="23.85" hidden="false" customHeight="false" outlineLevel="0" collapsed="false">
      <c r="A718" s="14" t="n">
        <v>10</v>
      </c>
      <c r="B718" s="15" t="s">
        <v>153</v>
      </c>
      <c r="C718" s="15" t="s">
        <v>124</v>
      </c>
      <c r="D718" s="15" t="s">
        <v>2293</v>
      </c>
      <c r="E718" s="14" t="n">
        <v>1</v>
      </c>
      <c r="F718" s="15" t="s">
        <v>2294</v>
      </c>
      <c r="G718" s="14" t="s">
        <v>57</v>
      </c>
      <c r="H718" s="14"/>
      <c r="I718" s="14" t="n">
        <f aca="false">IF(E718="","",IF(OR(AND(H718="Plan A",$C$5="B"),AND(H718="Plan B",$C$5="A")),0,IF(OR(G718="per student",G718="per group",G718="per class"),E718*IF(B718="Year 7",$C$3,$C$4),E718)))</f>
        <v>1</v>
      </c>
      <c r="J718" s="15"/>
      <c r="K718" s="14"/>
      <c r="L718" s="14" t="str">
        <f aca="false">IF(OR(K718="",O718&lt;&gt;"",I718=""),"",ROUNDUP(I718*K718,0))</f>
        <v/>
      </c>
      <c r="M718" s="15" t="s">
        <v>2295</v>
      </c>
      <c r="N718" s="14" t="s">
        <v>105</v>
      </c>
      <c r="O718" s="15"/>
      <c r="P718" s="15" t="s">
        <v>77</v>
      </c>
      <c r="Q718" s="15"/>
      <c r="R718" s="14"/>
    </row>
    <row r="719" customFormat="false" ht="23.85" hidden="false" customHeight="false" outlineLevel="0" collapsed="false">
      <c r="A719" s="14" t="n">
        <v>10</v>
      </c>
      <c r="B719" s="15" t="s">
        <v>153</v>
      </c>
      <c r="C719" s="15" t="s">
        <v>294</v>
      </c>
      <c r="D719" s="15" t="s">
        <v>2296</v>
      </c>
      <c r="E719" s="14" t="n">
        <v>1</v>
      </c>
      <c r="F719" s="15" t="s">
        <v>979</v>
      </c>
      <c r="G719" s="14" t="s">
        <v>57</v>
      </c>
      <c r="H719" s="14"/>
      <c r="I719" s="14" t="n">
        <f aca="false">IF(E719="","",IF(OR(AND(H719="Plan A",$C$5="B"),AND(H719="Plan B",$C$5="A")),0,IF(OR(G719="per student",G719="per group",G719="per class"),E719*IF(B719="Year 7",$C$3,$C$4),E719)))</f>
        <v>1</v>
      </c>
      <c r="J719" s="15"/>
      <c r="K719" s="14"/>
      <c r="L719" s="14" t="str">
        <f aca="false">IF(OR(K719="",O719&lt;&gt;"",I719=""),"",ROUNDUP(I719*K719,0))</f>
        <v/>
      </c>
      <c r="M719" s="15" t="s">
        <v>2297</v>
      </c>
      <c r="N719" s="14" t="s">
        <v>105</v>
      </c>
      <c r="O719" s="15"/>
      <c r="P719" s="15" t="s">
        <v>77</v>
      </c>
      <c r="Q719" s="15"/>
      <c r="R719" s="14"/>
    </row>
    <row r="720" customFormat="false" ht="35.05" hidden="false" customHeight="false" outlineLevel="0" collapsed="false">
      <c r="A720" s="14" t="n">
        <v>10</v>
      </c>
      <c r="B720" s="15" t="s">
        <v>153</v>
      </c>
      <c r="C720" s="15" t="s">
        <v>144</v>
      </c>
      <c r="D720" s="15" t="s">
        <v>2298</v>
      </c>
      <c r="E720" s="14" t="n">
        <v>1</v>
      </c>
      <c r="F720" s="15" t="s">
        <v>2299</v>
      </c>
      <c r="G720" s="14" t="s">
        <v>127</v>
      </c>
      <c r="H720" s="14"/>
      <c r="I720" s="14" t="n">
        <f aca="false">IF(E720="","",IF(OR(AND(H720="Plan A",$C$5="B"),AND(H720="Plan B",$C$5="A")),0,IF(OR(G720="per student",G720="per group",G720="per class"),E720*IF(B720="Year 7",$C$3,$C$4),E720)))</f>
        <v>1</v>
      </c>
      <c r="J720" s="15"/>
      <c r="K720" s="14"/>
      <c r="L720" s="14" t="str">
        <f aca="false">IF(OR(K720="",O720&lt;&gt;"",I720=""),"",ROUNDUP(I720*K720,0))</f>
        <v/>
      </c>
      <c r="M720" s="15" t="s">
        <v>2300</v>
      </c>
      <c r="N720" s="14" t="s">
        <v>105</v>
      </c>
      <c r="O720" s="15"/>
      <c r="P720" s="15" t="s">
        <v>77</v>
      </c>
      <c r="Q720" s="13" t="s">
        <v>2301</v>
      </c>
      <c r="R720" s="14"/>
    </row>
    <row r="721" customFormat="false" ht="23.85" hidden="false" customHeight="false" outlineLevel="0" collapsed="false">
      <c r="A721" s="14" t="n">
        <v>10</v>
      </c>
      <c r="B721" s="15" t="s">
        <v>153</v>
      </c>
      <c r="C721" s="15" t="s">
        <v>144</v>
      </c>
      <c r="D721" s="15" t="s">
        <v>2302</v>
      </c>
      <c r="E721" s="14" t="n">
        <v>1</v>
      </c>
      <c r="F721" s="15" t="s">
        <v>2303</v>
      </c>
      <c r="G721" s="14" t="s">
        <v>57</v>
      </c>
      <c r="H721" s="14"/>
      <c r="I721" s="14" t="n">
        <f aca="false">IF(E721="","",IF(OR(AND(H721="Plan A",$C$5="B"),AND(H721="Plan B",$C$5="A")),0,IF(OR(G721="per student",G721="per group",G721="per class"),E721*IF(B721="Year 7",$C$3,$C$4),E721)))</f>
        <v>1</v>
      </c>
      <c r="J721" s="15"/>
      <c r="K721" s="14"/>
      <c r="L721" s="14" t="str">
        <f aca="false">IF(OR(K721="",O721&lt;&gt;"",I721=""),"",ROUNDUP(I721*K721,0))</f>
        <v/>
      </c>
      <c r="M721" s="15" t="s">
        <v>2304</v>
      </c>
      <c r="N721" s="14"/>
      <c r="O721" s="15"/>
      <c r="P721" s="13" t="s">
        <v>215</v>
      </c>
      <c r="Q721" s="13" t="s">
        <v>2305</v>
      </c>
      <c r="R721" s="14"/>
    </row>
  </sheetData>
  <autoFilter ref="A8:R721"/>
  <dataValidations count="1">
    <dataValidation allowBlank="false" errorStyle="stop" operator="between" showDropDown="false" showErrorMessage="false" showInputMessage="false" sqref="C5" type="list">
      <formula1>"A,B,A and B"</formula1>
      <formula2>0</formula2>
    </dataValidation>
  </dataValidation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3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3" min="3" style="0" width="14"/>
    <col collapsed="false" customWidth="true" hidden="false" outlineLevel="0" max="4" min="4" style="0" width="52"/>
    <col collapsed="false" customWidth="true" hidden="false" outlineLevel="0" max="5" min="5" style="0" width="13"/>
    <col collapsed="false" customWidth="true" hidden="false" outlineLevel="0" max="6" min="6" style="0" width="14"/>
    <col collapsed="false" customWidth="true" hidden="false" outlineLevel="0" max="7" min="7" style="0" width="18"/>
    <col collapsed="false" customWidth="true" hidden="false" outlineLevel="0" max="8" min="8" style="0" width="13"/>
    <col collapsed="false" customWidth="true" hidden="false" outlineLevel="0" max="9" min="9" style="0" width="18"/>
    <col collapsed="false" customWidth="true" hidden="false" outlineLevel="0" max="10" min="10" style="0" width="9"/>
    <col collapsed="false" customWidth="true" hidden="false" outlineLevel="0" max="11" min="11" style="0" width="8"/>
    <col collapsed="false" customWidth="true" hidden="false" outlineLevel="0" max="12" min="12" style="0" width="12"/>
  </cols>
  <sheetData>
    <row r="1" customFormat="false" ht="17.35" hidden="false" customHeight="false" outlineLevel="0" collapsed="false">
      <c r="A1" s="4" t="s">
        <v>2306</v>
      </c>
    </row>
    <row r="2" customFormat="false" ht="15" hidden="false" customHeight="false" outlineLevel="0" collapsed="false">
      <c r="A2" s="5" t="s">
        <v>2307</v>
      </c>
    </row>
    <row r="4" customFormat="false" ht="35.05" hidden="false" customHeight="false" outlineLevel="0" collapsed="false">
      <c r="A4" s="10" t="s">
        <v>21</v>
      </c>
      <c r="B4" s="10" t="s">
        <v>2308</v>
      </c>
      <c r="C4" s="10" t="s">
        <v>2309</v>
      </c>
      <c r="D4" s="10" t="s">
        <v>2310</v>
      </c>
      <c r="E4" s="10" t="s">
        <v>2311</v>
      </c>
      <c r="F4" s="10" t="s">
        <v>2312</v>
      </c>
      <c r="G4" s="10" t="s">
        <v>2313</v>
      </c>
      <c r="H4" s="10" t="s">
        <v>2314</v>
      </c>
      <c r="I4" s="10" t="s">
        <v>2315</v>
      </c>
    </row>
    <row r="5" customFormat="false" ht="15" hidden="false" customHeight="false" outlineLevel="0" collapsed="false">
      <c r="A5" s="14" t="n">
        <v>1</v>
      </c>
      <c r="B5" s="16" t="n">
        <f aca="false">SUMIFS($L$19:$L$380,$A$19:$A$380,$A5,$B$19:$B$380,"Year 7",$J$19:$J$380,"No",$C$19:$C$380,"&lt;&gt;After the lesson")</f>
        <v>187</v>
      </c>
      <c r="C5" s="16" t="n">
        <f aca="false">SUMIFS($L$19:$L$380,$A$19:$A$380,$A5,$B$19:$B$380,"Year 7",$J$19:$J$380,"No",$C$19:$C$380,"After the lesson")</f>
        <v>108</v>
      </c>
      <c r="D5" s="14" t="n">
        <f aca="false">SUMIFS($L$19:$L$380,$A$19:$A$380,$A5,$B$19:$B$380,"Year 7",$J$19:$J$380,"No",$G$19:$G$380,"&lt;&gt;Teacher")</f>
        <v>182</v>
      </c>
      <c r="E5" s="16" t="n">
        <f aca="false">SUMIFS($L$19:$L$380,$A$19:$A$380,$A5,$B$19:$B$380,"Year 8",$J$19:$J$380,"No",$C$19:$C$380,"&lt;&gt;After the lesson")</f>
        <v>220</v>
      </c>
      <c r="F5" s="16" t="n">
        <f aca="false">SUMIFS($L$19:$L$380,$A$19:$A$380,$A5,$B$19:$B$380,"Year 8",$J$19:$J$380,"No",$C$19:$C$380,"After the lesson")</f>
        <v>105</v>
      </c>
      <c r="G5" s="14" t="n">
        <f aca="false">SUMIFS($L$19:$L$380,$A$19:$A$380,$A5,$B$19:$B$380,"Year 8",$J$19:$J$380,"No",$G$19:$G$380,"&lt;&gt;Teacher")</f>
        <v>155</v>
      </c>
      <c r="H5" s="16" t="n">
        <f aca="false">ROUND((B5+C5+E5+F5)/60,1)</f>
        <v>10.3</v>
      </c>
      <c r="I5" s="14" t="n">
        <f aca="false">SUMIFS($L$19:$L$380,$A$19:$A$380,$A5,$J$19:$J$380,"Optional")</f>
        <v>60</v>
      </c>
    </row>
    <row r="6" customFormat="false" ht="15" hidden="false" customHeight="false" outlineLevel="0" collapsed="false">
      <c r="A6" s="14" t="n">
        <v>2</v>
      </c>
      <c r="B6" s="16" t="n">
        <f aca="false">SUMIFS($L$19:$L$380,$A$19:$A$380,$A6,$B$19:$B$380,"Year 7",$J$19:$J$380,"No",$C$19:$C$380,"&lt;&gt;After the lesson")</f>
        <v>67</v>
      </c>
      <c r="C6" s="16" t="n">
        <f aca="false">SUMIFS($L$19:$L$380,$A$19:$A$380,$A6,$B$19:$B$380,"Year 7",$J$19:$J$380,"No",$C$19:$C$380,"After the lesson")</f>
        <v>26</v>
      </c>
      <c r="D6" s="14" t="n">
        <f aca="false">SUMIFS($L$19:$L$380,$A$19:$A$380,$A6,$B$19:$B$380,"Year 7",$J$19:$J$380,"No",$G$19:$G$380,"&lt;&gt;Teacher")</f>
        <v>63</v>
      </c>
      <c r="E6" s="16" t="n">
        <f aca="false">SUMIFS($L$19:$L$380,$A$19:$A$380,$A6,$B$19:$B$380,"Year 8",$J$19:$J$380,"No",$C$19:$C$380,"&lt;&gt;After the lesson")</f>
        <v>50</v>
      </c>
      <c r="F6" s="16" t="n">
        <f aca="false">SUMIFS($L$19:$L$380,$A$19:$A$380,$A6,$B$19:$B$380,"Year 8",$J$19:$J$380,"No",$C$19:$C$380,"After the lesson")</f>
        <v>21</v>
      </c>
      <c r="G6" s="14" t="n">
        <f aca="false">SUMIFS($L$19:$L$380,$A$19:$A$380,$A6,$B$19:$B$380,"Year 8",$J$19:$J$380,"No",$G$19:$G$380,"&lt;&gt;Teacher")</f>
        <v>46</v>
      </c>
      <c r="H6" s="16" t="n">
        <f aca="false">ROUND((B6+C6+E6+F6)/60,1)</f>
        <v>2.7</v>
      </c>
      <c r="I6" s="14" t="n">
        <f aca="false">SUMIFS($L$19:$L$380,$A$19:$A$380,$A6,$J$19:$J$380,"Optional")</f>
        <v>7</v>
      </c>
    </row>
    <row r="7" customFormat="false" ht="15" hidden="false" customHeight="false" outlineLevel="0" collapsed="false">
      <c r="A7" s="14" t="n">
        <v>3</v>
      </c>
      <c r="B7" s="16" t="n">
        <f aca="false">SUMIFS($L$19:$L$380,$A$19:$A$380,$A7,$B$19:$B$380,"Year 7",$J$19:$J$380,"No",$C$19:$C$380,"&lt;&gt;After the lesson")</f>
        <v>57</v>
      </c>
      <c r="C7" s="16" t="n">
        <f aca="false">SUMIFS($L$19:$L$380,$A$19:$A$380,$A7,$B$19:$B$380,"Year 7",$J$19:$J$380,"No",$C$19:$C$380,"After the lesson")</f>
        <v>20</v>
      </c>
      <c r="D7" s="14" t="n">
        <f aca="false">SUMIFS($L$19:$L$380,$A$19:$A$380,$A7,$B$19:$B$380,"Year 7",$J$19:$J$380,"No",$G$19:$G$380,"&lt;&gt;Teacher")</f>
        <v>50</v>
      </c>
      <c r="E7" s="16" t="n">
        <f aca="false">SUMIFS($L$19:$L$380,$A$19:$A$380,$A7,$B$19:$B$380,"Year 8",$J$19:$J$380,"No",$C$19:$C$380,"&lt;&gt;After the lesson")</f>
        <v>82</v>
      </c>
      <c r="F7" s="16" t="n">
        <f aca="false">SUMIFS($L$19:$L$380,$A$19:$A$380,$A7,$B$19:$B$380,"Year 8",$J$19:$J$380,"No",$C$19:$C$380,"After the lesson")</f>
        <v>23</v>
      </c>
      <c r="G7" s="14" t="n">
        <f aca="false">SUMIFS($L$19:$L$380,$A$19:$A$380,$A7,$B$19:$B$380,"Year 8",$J$19:$J$380,"No",$G$19:$G$380,"&lt;&gt;Teacher")</f>
        <v>73</v>
      </c>
      <c r="H7" s="16" t="n">
        <f aca="false">ROUND((B7+C7+E7+F7)/60,1)</f>
        <v>3</v>
      </c>
      <c r="I7" s="14" t="n">
        <f aca="false">SUMIFS($L$19:$L$380,$A$19:$A$380,$A7,$J$19:$J$380,"Optional")</f>
        <v>10</v>
      </c>
    </row>
    <row r="8" customFormat="false" ht="15" hidden="false" customHeight="false" outlineLevel="0" collapsed="false">
      <c r="A8" s="14" t="n">
        <v>4</v>
      </c>
      <c r="B8" s="16" t="n">
        <f aca="false">SUMIFS($L$19:$L$380,$A$19:$A$380,$A8,$B$19:$B$380,"Year 7",$J$19:$J$380,"No",$C$19:$C$380,"&lt;&gt;After the lesson")</f>
        <v>40</v>
      </c>
      <c r="C8" s="16" t="n">
        <f aca="false">SUMIFS($L$19:$L$380,$A$19:$A$380,$A8,$B$19:$B$380,"Year 7",$J$19:$J$380,"No",$C$19:$C$380,"After the lesson")</f>
        <v>18</v>
      </c>
      <c r="D8" s="14" t="n">
        <f aca="false">SUMIFS($L$19:$L$380,$A$19:$A$380,$A8,$B$19:$B$380,"Year 7",$J$19:$J$380,"No",$G$19:$G$380,"&lt;&gt;Teacher")</f>
        <v>31</v>
      </c>
      <c r="E8" s="16" t="n">
        <f aca="false">SUMIFS($L$19:$L$380,$A$19:$A$380,$A8,$B$19:$B$380,"Year 8",$J$19:$J$380,"No",$C$19:$C$380,"&lt;&gt;After the lesson")</f>
        <v>70</v>
      </c>
      <c r="F8" s="16" t="n">
        <f aca="false">SUMIFS($L$19:$L$380,$A$19:$A$380,$A8,$B$19:$B$380,"Year 8",$J$19:$J$380,"No",$C$19:$C$380,"After the lesson")</f>
        <v>34</v>
      </c>
      <c r="G8" s="14" t="n">
        <f aca="false">SUMIFS($L$19:$L$380,$A$19:$A$380,$A8,$B$19:$B$380,"Year 8",$J$19:$J$380,"No",$G$19:$G$380,"&lt;&gt;Teacher")</f>
        <v>54</v>
      </c>
      <c r="H8" s="16" t="n">
        <f aca="false">ROUND((B8+C8+E8+F8)/60,1)</f>
        <v>2.7</v>
      </c>
      <c r="I8" s="14" t="n">
        <f aca="false">SUMIFS($L$19:$L$380,$A$19:$A$380,$A8,$J$19:$J$380,"Optional")</f>
        <v>7</v>
      </c>
    </row>
    <row r="9" customFormat="false" ht="15" hidden="false" customHeight="false" outlineLevel="0" collapsed="false">
      <c r="A9" s="14" t="n">
        <v>5</v>
      </c>
      <c r="B9" s="16" t="n">
        <f aca="false">SUMIFS($L$19:$L$380,$A$19:$A$380,$A9,$B$19:$B$380,"Year 7",$J$19:$J$380,"No",$C$19:$C$380,"&lt;&gt;After the lesson")</f>
        <v>40</v>
      </c>
      <c r="C9" s="16" t="n">
        <f aca="false">SUMIFS($L$19:$L$380,$A$19:$A$380,$A9,$B$19:$B$380,"Year 7",$J$19:$J$380,"No",$C$19:$C$380,"After the lesson")</f>
        <v>144</v>
      </c>
      <c r="D9" s="14" t="n">
        <f aca="false">SUMIFS($L$19:$L$380,$A$19:$A$380,$A9,$B$19:$B$380,"Year 7",$J$19:$J$380,"No",$G$19:$G$380,"&lt;&gt;Teacher")</f>
        <v>60</v>
      </c>
      <c r="E9" s="16" t="n">
        <f aca="false">SUMIFS($L$19:$L$380,$A$19:$A$380,$A9,$B$19:$B$380,"Year 8",$J$19:$J$380,"No",$C$19:$C$380,"&lt;&gt;After the lesson")</f>
        <v>84</v>
      </c>
      <c r="F9" s="16" t="n">
        <f aca="false">SUMIFS($L$19:$L$380,$A$19:$A$380,$A9,$B$19:$B$380,"Year 8",$J$19:$J$380,"No",$C$19:$C$380,"After the lesson")</f>
        <v>75</v>
      </c>
      <c r="G9" s="14" t="n">
        <f aca="false">SUMIFS($L$19:$L$380,$A$19:$A$380,$A9,$B$19:$B$380,"Year 8",$J$19:$J$380,"No",$G$19:$G$380,"&lt;&gt;Teacher")</f>
        <v>43</v>
      </c>
      <c r="H9" s="16" t="n">
        <f aca="false">ROUND((B9+C9+E9+F9)/60,1)</f>
        <v>5.7</v>
      </c>
      <c r="I9" s="14" t="n">
        <f aca="false">SUMIFS($L$19:$L$380,$A$19:$A$380,$A9,$J$19:$J$380,"Optional")</f>
        <v>15</v>
      </c>
    </row>
    <row r="10" customFormat="false" ht="15" hidden="false" customHeight="false" outlineLevel="0" collapsed="false">
      <c r="A10" s="14" t="n">
        <v>6</v>
      </c>
      <c r="B10" s="16" t="n">
        <f aca="false">SUMIFS($L$19:$L$380,$A$19:$A$380,$A10,$B$19:$B$380,"Year 7",$J$19:$J$380,"No",$C$19:$C$380,"&lt;&gt;After the lesson")</f>
        <v>110</v>
      </c>
      <c r="C10" s="16" t="n">
        <f aca="false">SUMIFS($L$19:$L$380,$A$19:$A$380,$A10,$B$19:$B$380,"Year 7",$J$19:$J$380,"No",$C$19:$C$380,"After the lesson")</f>
        <v>33</v>
      </c>
      <c r="D10" s="14" t="n">
        <f aca="false">SUMIFS($L$19:$L$380,$A$19:$A$380,$A10,$B$19:$B$380,"Year 7",$J$19:$J$380,"No",$G$19:$G$380,"&lt;&gt;Teacher")</f>
        <v>101</v>
      </c>
      <c r="E10" s="16" t="n">
        <f aca="false">SUMIFS($L$19:$L$380,$A$19:$A$380,$A10,$B$19:$B$380,"Year 8",$J$19:$J$380,"No",$C$19:$C$380,"&lt;&gt;After the lesson")</f>
        <v>103</v>
      </c>
      <c r="F10" s="16" t="n">
        <f aca="false">SUMIFS($L$19:$L$380,$A$19:$A$380,$A10,$B$19:$B$380,"Year 8",$J$19:$J$380,"No",$C$19:$C$380,"After the lesson")</f>
        <v>28</v>
      </c>
      <c r="G10" s="14" t="n">
        <f aca="false">SUMIFS($L$19:$L$380,$A$19:$A$380,$A10,$B$19:$B$380,"Year 8",$J$19:$J$380,"No",$G$19:$G$380,"&lt;&gt;Teacher")</f>
        <v>56</v>
      </c>
      <c r="H10" s="16" t="n">
        <f aca="false">ROUND((B10+C10+E10+F10)/60,1)</f>
        <v>4.6</v>
      </c>
      <c r="I10" s="14" t="n">
        <f aca="false">SUMIFS($L$19:$L$380,$A$19:$A$380,$A10,$J$19:$J$380,"Optional")</f>
        <v>10</v>
      </c>
    </row>
    <row r="11" customFormat="false" ht="15" hidden="false" customHeight="false" outlineLevel="0" collapsed="false">
      <c r="A11" s="14" t="n">
        <v>7</v>
      </c>
      <c r="B11" s="16" t="n">
        <f aca="false">SUMIFS($L$19:$L$380,$A$19:$A$380,$A11,$B$19:$B$380,"Year 7",$J$19:$J$380,"No",$C$19:$C$380,"&lt;&gt;After the lesson")</f>
        <v>170</v>
      </c>
      <c r="C11" s="16" t="n">
        <f aca="false">SUMIFS($L$19:$L$380,$A$19:$A$380,$A11,$B$19:$B$380,"Year 7",$J$19:$J$380,"No",$C$19:$C$380,"After the lesson")</f>
        <v>40</v>
      </c>
      <c r="D11" s="14" t="n">
        <f aca="false">SUMIFS($L$19:$L$380,$A$19:$A$380,$A11,$B$19:$B$380,"Year 7",$J$19:$J$380,"No",$G$19:$G$380,"&lt;&gt;Teacher")</f>
        <v>147</v>
      </c>
      <c r="E11" s="16" t="n">
        <f aca="false">SUMIFS($L$19:$L$380,$A$19:$A$380,$A11,$B$19:$B$380,"Year 8",$J$19:$J$380,"No",$C$19:$C$380,"&lt;&gt;After the lesson")</f>
        <v>50</v>
      </c>
      <c r="F11" s="16" t="n">
        <f aca="false">SUMIFS($L$19:$L$380,$A$19:$A$380,$A11,$B$19:$B$380,"Year 8",$J$19:$J$380,"No",$C$19:$C$380,"After the lesson")</f>
        <v>43</v>
      </c>
      <c r="G11" s="14" t="n">
        <f aca="false">SUMIFS($L$19:$L$380,$A$19:$A$380,$A11,$B$19:$B$380,"Year 8",$J$19:$J$380,"No",$G$19:$G$380,"&lt;&gt;Teacher")</f>
        <v>13</v>
      </c>
      <c r="H11" s="16" t="n">
        <f aca="false">ROUND((B11+C11+E11+F11)/60,1)</f>
        <v>5.1</v>
      </c>
      <c r="I11" s="14" t="n">
        <f aca="false">SUMIFS($L$19:$L$380,$A$19:$A$380,$A11,$J$19:$J$380,"Optional")</f>
        <v>60</v>
      </c>
    </row>
    <row r="12" customFormat="false" ht="15" hidden="false" customHeight="false" outlineLevel="0" collapsed="false">
      <c r="A12" s="14" t="n">
        <v>8</v>
      </c>
      <c r="B12" s="16" t="n">
        <f aca="false">SUMIFS($L$19:$L$380,$A$19:$A$380,$A12,$B$19:$B$380,"Year 7",$J$19:$J$380,"No",$C$19:$C$380,"&lt;&gt;After the lesson")</f>
        <v>146</v>
      </c>
      <c r="C12" s="16" t="n">
        <f aca="false">SUMIFS($L$19:$L$380,$A$19:$A$380,$A12,$B$19:$B$380,"Year 7",$J$19:$J$380,"No",$C$19:$C$380,"After the lesson")</f>
        <v>27</v>
      </c>
      <c r="D12" s="14" t="n">
        <f aca="false">SUMIFS($L$19:$L$380,$A$19:$A$380,$A12,$B$19:$B$380,"Year 7",$J$19:$J$380,"No",$G$19:$G$380,"&lt;&gt;Teacher")</f>
        <v>130</v>
      </c>
      <c r="E12" s="16" t="n">
        <f aca="false">SUMIFS($L$19:$L$380,$A$19:$A$380,$A12,$B$19:$B$380,"Year 8",$J$19:$J$380,"No",$C$19:$C$380,"&lt;&gt;After the lesson")</f>
        <v>205</v>
      </c>
      <c r="F12" s="16" t="n">
        <f aca="false">SUMIFS($L$19:$L$380,$A$19:$A$380,$A12,$B$19:$B$380,"Year 8",$J$19:$J$380,"No",$C$19:$C$380,"After the lesson")</f>
        <v>78</v>
      </c>
      <c r="G12" s="14" t="n">
        <f aca="false">SUMIFS($L$19:$L$380,$A$19:$A$380,$A12,$B$19:$B$380,"Year 8",$J$19:$J$380,"No",$G$19:$G$380,"&lt;&gt;Teacher")</f>
        <v>148</v>
      </c>
      <c r="H12" s="16" t="n">
        <f aca="false">ROUND((B12+C12+E12+F12)/60,1)</f>
        <v>7.6</v>
      </c>
      <c r="I12" s="14" t="n">
        <f aca="false">SUMIFS($L$19:$L$380,$A$19:$A$380,$A12,$J$19:$J$380,"Optional")</f>
        <v>30</v>
      </c>
    </row>
    <row r="13" customFormat="false" ht="15" hidden="false" customHeight="false" outlineLevel="0" collapsed="false">
      <c r="A13" s="14" t="n">
        <v>9</v>
      </c>
      <c r="B13" s="16" t="n">
        <f aca="false">SUMIFS($L$19:$L$380,$A$19:$A$380,$A13,$B$19:$B$380,"Year 7",$J$19:$J$380,"No",$C$19:$C$380,"&lt;&gt;After the lesson")</f>
        <v>75</v>
      </c>
      <c r="C13" s="16" t="n">
        <f aca="false">SUMIFS($L$19:$L$380,$A$19:$A$380,$A13,$B$19:$B$380,"Year 7",$J$19:$J$380,"No",$C$19:$C$380,"After the lesson")</f>
        <v>51</v>
      </c>
      <c r="D13" s="14" t="n">
        <f aca="false">SUMIFS($L$19:$L$380,$A$19:$A$380,$A13,$B$19:$B$380,"Year 7",$J$19:$J$380,"No",$G$19:$G$380,"&lt;&gt;Teacher")</f>
        <v>48</v>
      </c>
      <c r="E13" s="16" t="n">
        <f aca="false">SUMIFS($L$19:$L$380,$A$19:$A$380,$A13,$B$19:$B$380,"Year 8",$J$19:$J$380,"No",$C$19:$C$380,"&lt;&gt;After the lesson")</f>
        <v>68</v>
      </c>
      <c r="F13" s="16" t="n">
        <f aca="false">SUMIFS($L$19:$L$380,$A$19:$A$380,$A13,$B$19:$B$380,"Year 8",$J$19:$J$380,"No",$C$19:$C$380,"After the lesson")</f>
        <v>108</v>
      </c>
      <c r="G13" s="14" t="n">
        <f aca="false">SUMIFS($L$19:$L$380,$A$19:$A$380,$A13,$B$19:$B$380,"Year 8",$J$19:$J$380,"No",$G$19:$G$380,"&lt;&gt;Teacher")</f>
        <v>36</v>
      </c>
      <c r="H13" s="16" t="n">
        <f aca="false">ROUND((B13+C13+E13+F13)/60,1)</f>
        <v>5</v>
      </c>
      <c r="I13" s="14" t="n">
        <f aca="false">SUMIFS($L$19:$L$380,$A$19:$A$380,$A13,$J$19:$J$380,"Optional")</f>
        <v>18</v>
      </c>
    </row>
    <row r="14" customFormat="false" ht="15" hidden="false" customHeight="false" outlineLevel="0" collapsed="false">
      <c r="A14" s="14" t="n">
        <v>10</v>
      </c>
      <c r="B14" s="16" t="n">
        <f aca="false">SUMIFS($L$19:$L$380,$A$19:$A$380,$A14,$B$19:$B$380,"Year 7",$J$19:$J$380,"No",$C$19:$C$380,"&lt;&gt;After the lesson")</f>
        <v>66</v>
      </c>
      <c r="C14" s="16" t="n">
        <f aca="false">SUMIFS($L$19:$L$380,$A$19:$A$380,$A14,$B$19:$B$380,"Year 7",$J$19:$J$380,"No",$C$19:$C$380,"After the lesson")</f>
        <v>315</v>
      </c>
      <c r="D14" s="14" t="n">
        <f aca="false">SUMIFS($L$19:$L$380,$A$19:$A$380,$A14,$B$19:$B$380,"Year 7",$J$19:$J$380,"No",$G$19:$G$380,"&lt;&gt;Teacher")</f>
        <v>81</v>
      </c>
      <c r="E14" s="16" t="n">
        <f aca="false">SUMIFS($L$19:$L$380,$A$19:$A$380,$A14,$B$19:$B$380,"Year 8",$J$19:$J$380,"No",$C$19:$C$380,"&lt;&gt;After the lesson")</f>
        <v>62</v>
      </c>
      <c r="F14" s="16" t="n">
        <f aca="false">SUMIFS($L$19:$L$380,$A$19:$A$380,$A14,$B$19:$B$380,"Year 8",$J$19:$J$380,"No",$C$19:$C$380,"After the lesson")</f>
        <v>333</v>
      </c>
      <c r="G14" s="14" t="n">
        <f aca="false">SUMIFS($L$19:$L$380,$A$19:$A$380,$A14,$B$19:$B$380,"Year 8",$J$19:$J$380,"No",$G$19:$G$380,"&lt;&gt;Teacher")</f>
        <v>41</v>
      </c>
      <c r="H14" s="16" t="n">
        <f aca="false">ROUND((B14+C14+E14+F14)/60,1)</f>
        <v>12.9</v>
      </c>
      <c r="I14" s="14" t="n">
        <f aca="false">SUMIFS($L$19:$L$380,$A$19:$A$380,$A14,$J$19:$J$380,"Optional")</f>
        <v>63</v>
      </c>
    </row>
    <row r="15" customFormat="false" ht="15" hidden="false" customHeight="false" outlineLevel="0" collapsed="false">
      <c r="A15" s="17" t="s">
        <v>2316</v>
      </c>
      <c r="B15" s="17" t="n">
        <f aca="false">SUM(B5:B14)</f>
        <v>958</v>
      </c>
      <c r="C15" s="17" t="n">
        <f aca="false">SUM(C5:C14)</f>
        <v>782</v>
      </c>
      <c r="D15" s="17" t="n">
        <f aca="false">SUM(D5:D14)</f>
        <v>893</v>
      </c>
      <c r="E15" s="17" t="n">
        <f aca="false">SUM(E5:E14)</f>
        <v>994</v>
      </c>
      <c r="F15" s="17" t="n">
        <f aca="false">SUM(F5:F14)</f>
        <v>848</v>
      </c>
      <c r="G15" s="17" t="n">
        <f aca="false">SUM(G5:G14)</f>
        <v>665</v>
      </c>
      <c r="H15" s="17" t="n">
        <f aca="false">SUM(H5:H14)</f>
        <v>59.6</v>
      </c>
      <c r="I15" s="17" t="n">
        <f aca="false">SUM(I5:I14)</f>
        <v>280</v>
      </c>
    </row>
    <row r="17" customFormat="false" ht="15" hidden="false" customHeight="false" outlineLevel="0" collapsed="false">
      <c r="A17" s="18" t="s">
        <v>2317</v>
      </c>
    </row>
    <row r="18" customFormat="false" ht="23.85" hidden="false" customHeight="false" outlineLevel="0" collapsed="false">
      <c r="A18" s="10" t="s">
        <v>21</v>
      </c>
      <c r="B18" s="10" t="s">
        <v>22</v>
      </c>
      <c r="C18" s="10" t="s">
        <v>2318</v>
      </c>
      <c r="D18" s="10" t="s">
        <v>2319</v>
      </c>
      <c r="E18" s="10" t="s">
        <v>2320</v>
      </c>
      <c r="F18" s="10" t="s">
        <v>2321</v>
      </c>
      <c r="G18" s="10" t="s">
        <v>2322</v>
      </c>
      <c r="H18" s="10" t="s">
        <v>2323</v>
      </c>
      <c r="I18" s="10" t="s">
        <v>2324</v>
      </c>
      <c r="J18" s="10" t="s">
        <v>34</v>
      </c>
      <c r="K18" s="10" t="s">
        <v>28</v>
      </c>
      <c r="L18" s="10" t="s">
        <v>2325</v>
      </c>
    </row>
    <row r="19" customFormat="false" ht="23.85" hidden="false" customHeight="false" outlineLevel="0" collapsed="false">
      <c r="A19" s="11" t="n">
        <v>1</v>
      </c>
      <c r="B19" s="12" t="s">
        <v>39</v>
      </c>
      <c r="C19" s="12" t="s">
        <v>2326</v>
      </c>
      <c r="D19" s="12" t="s">
        <v>2327</v>
      </c>
      <c r="E19" s="11" t="n">
        <v>15</v>
      </c>
      <c r="F19" s="19" t="s">
        <v>2328</v>
      </c>
      <c r="G19" s="12" t="s">
        <v>2329</v>
      </c>
      <c r="H19" s="11" t="s">
        <v>77</v>
      </c>
      <c r="I19" s="12"/>
      <c r="J19" s="11" t="s">
        <v>2330</v>
      </c>
      <c r="K19" s="11"/>
      <c r="L19" s="11" t="n">
        <f aca="false">IF(E19="","",IF(OR(AND(K19="Plan A",'All weeks'!$C$5="B"),AND(K19="Plan B",'All weeks'!$C$5="A")),0,IF(H19="Yes",E19,E19*IF(B19="Year 7",'All weeks'!$C$3,'All weeks'!$C$4))))</f>
        <v>15</v>
      </c>
    </row>
    <row r="20" customFormat="false" ht="35.05" hidden="false" customHeight="false" outlineLevel="0" collapsed="false">
      <c r="A20" s="11" t="n">
        <v>1</v>
      </c>
      <c r="B20" s="12" t="s">
        <v>39</v>
      </c>
      <c r="C20" s="12" t="s">
        <v>2326</v>
      </c>
      <c r="D20" s="12" t="s">
        <v>2331</v>
      </c>
      <c r="E20" s="11" t="n">
        <v>10</v>
      </c>
      <c r="F20" s="19" t="s">
        <v>2328</v>
      </c>
      <c r="G20" s="12" t="s">
        <v>2332</v>
      </c>
      <c r="H20" s="11" t="s">
        <v>77</v>
      </c>
      <c r="I20" s="12" t="s">
        <v>2333</v>
      </c>
      <c r="J20" s="11" t="s">
        <v>2330</v>
      </c>
      <c r="K20" s="11"/>
      <c r="L20" s="11" t="n">
        <f aca="false">IF(E20="","",IF(OR(AND(K20="Plan A",'All weeks'!$C$5="B"),AND(K20="Plan B",'All weeks'!$C$5="A")),0,IF(H20="Yes",E20,E20*IF(B20="Year 7",'All weeks'!$C$3,'All weeks'!$C$4))))</f>
        <v>10</v>
      </c>
    </row>
    <row r="21" customFormat="false" ht="23.85" hidden="false" customHeight="false" outlineLevel="0" collapsed="false">
      <c r="A21" s="11" t="n">
        <v>1</v>
      </c>
      <c r="B21" s="12" t="s">
        <v>39</v>
      </c>
      <c r="C21" s="12" t="s">
        <v>2334</v>
      </c>
      <c r="D21" s="12" t="s">
        <v>2335</v>
      </c>
      <c r="E21" s="11" t="n">
        <v>25</v>
      </c>
      <c r="F21" s="19" t="s">
        <v>2328</v>
      </c>
      <c r="G21" s="12" t="s">
        <v>2329</v>
      </c>
      <c r="H21" s="11" t="s">
        <v>2330</v>
      </c>
      <c r="I21" s="12" t="s">
        <v>2333</v>
      </c>
      <c r="J21" s="11" t="s">
        <v>2330</v>
      </c>
      <c r="K21" s="11"/>
      <c r="L21" s="11" t="n">
        <f aca="false">IF(E21="","",IF(OR(AND(K21="Plan A",'All weeks'!$C$5="B"),AND(K21="Plan B",'All weeks'!$C$5="A")),0,IF(H21="Yes",E21,E21*IF(B21="Year 7",'All weeks'!$C$3,'All weeks'!$C$4))))</f>
        <v>25</v>
      </c>
    </row>
    <row r="22" customFormat="false" ht="23.85" hidden="false" customHeight="false" outlineLevel="0" collapsed="false">
      <c r="A22" s="11" t="n">
        <v>1</v>
      </c>
      <c r="B22" s="12" t="s">
        <v>39</v>
      </c>
      <c r="C22" s="12" t="s">
        <v>2334</v>
      </c>
      <c r="D22" s="12" t="s">
        <v>2336</v>
      </c>
      <c r="E22" s="11" t="n">
        <v>30</v>
      </c>
      <c r="F22" s="19" t="s">
        <v>2328</v>
      </c>
      <c r="G22" s="12" t="s">
        <v>2329</v>
      </c>
      <c r="H22" s="11" t="s">
        <v>2330</v>
      </c>
      <c r="I22" s="12" t="s">
        <v>2333</v>
      </c>
      <c r="J22" s="11" t="s">
        <v>2330</v>
      </c>
      <c r="K22" s="11"/>
      <c r="L22" s="11" t="n">
        <f aca="false">IF(E22="","",IF(OR(AND(K22="Plan A",'All weeks'!$C$5="B"),AND(K22="Plan B",'All weeks'!$C$5="A")),0,IF(H22="Yes",E22,E22*IF(B22="Year 7",'All weeks'!$C$3,'All weeks'!$C$4))))</f>
        <v>30</v>
      </c>
    </row>
    <row r="23" customFormat="false" ht="23.85" hidden="false" customHeight="false" outlineLevel="0" collapsed="false">
      <c r="A23" s="11" t="n">
        <v>1</v>
      </c>
      <c r="B23" s="12" t="s">
        <v>39</v>
      </c>
      <c r="C23" s="12" t="s">
        <v>2334</v>
      </c>
      <c r="D23" s="12" t="s">
        <v>2337</v>
      </c>
      <c r="E23" s="11" t="n">
        <v>10</v>
      </c>
      <c r="F23" s="19" t="s">
        <v>2328</v>
      </c>
      <c r="G23" s="12" t="s">
        <v>2329</v>
      </c>
      <c r="H23" s="11" t="s">
        <v>2330</v>
      </c>
      <c r="I23" s="12"/>
      <c r="J23" s="11" t="s">
        <v>2330</v>
      </c>
      <c r="K23" s="11"/>
      <c r="L23" s="11" t="n">
        <f aca="false">IF(E23="","",IF(OR(AND(K23="Plan A",'All weeks'!$C$5="B"),AND(K23="Plan B",'All weeks'!$C$5="A")),0,IF(H23="Yes",E23,E23*IF(B23="Year 7",'All weeks'!$C$3,'All weeks'!$C$4))))</f>
        <v>10</v>
      </c>
    </row>
    <row r="24" customFormat="false" ht="23.85" hidden="false" customHeight="false" outlineLevel="0" collapsed="false">
      <c r="A24" s="11" t="n">
        <v>1</v>
      </c>
      <c r="B24" s="12" t="s">
        <v>39</v>
      </c>
      <c r="C24" s="12" t="s">
        <v>2334</v>
      </c>
      <c r="D24" s="12" t="s">
        <v>2338</v>
      </c>
      <c r="E24" s="11" t="n">
        <v>20</v>
      </c>
      <c r="F24" s="19" t="s">
        <v>2328</v>
      </c>
      <c r="G24" s="12" t="s">
        <v>2329</v>
      </c>
      <c r="H24" s="11" t="s">
        <v>2330</v>
      </c>
      <c r="I24" s="12"/>
      <c r="J24" s="11" t="s">
        <v>105</v>
      </c>
      <c r="K24" s="11"/>
      <c r="L24" s="11" t="n">
        <f aca="false">IF(E24="","",IF(OR(AND(K24="Plan A",'All weeks'!$C$5="B"),AND(K24="Plan B",'All weeks'!$C$5="A")),0,IF(H24="Yes",E24,E24*IF(B24="Year 7",'All weeks'!$C$3,'All weeks'!$C$4))))</f>
        <v>20</v>
      </c>
    </row>
    <row r="25" customFormat="false" ht="35.05" hidden="false" customHeight="false" outlineLevel="0" collapsed="false">
      <c r="A25" s="11" t="n">
        <v>1</v>
      </c>
      <c r="B25" s="12" t="s">
        <v>39</v>
      </c>
      <c r="C25" s="12" t="s">
        <v>2334</v>
      </c>
      <c r="D25" s="12" t="s">
        <v>2339</v>
      </c>
      <c r="E25" s="11" t="n">
        <v>5</v>
      </c>
      <c r="F25" s="19" t="s">
        <v>2328</v>
      </c>
      <c r="G25" s="12" t="s">
        <v>2340</v>
      </c>
      <c r="H25" s="11" t="s">
        <v>2330</v>
      </c>
      <c r="I25" s="12"/>
      <c r="J25" s="11" t="s">
        <v>2330</v>
      </c>
      <c r="K25" s="11"/>
      <c r="L25" s="11" t="n">
        <f aca="false">IF(E25="","",IF(OR(AND(K25="Plan A",'All weeks'!$C$5="B"),AND(K25="Plan B",'All weeks'!$C$5="A")),0,IF(H25="Yes",E25,E25*IF(B25="Year 7",'All weeks'!$C$3,'All weeks'!$C$4))))</f>
        <v>5</v>
      </c>
    </row>
    <row r="26" customFormat="false" ht="23.85" hidden="false" customHeight="false" outlineLevel="0" collapsed="false">
      <c r="A26" s="11" t="n">
        <v>1</v>
      </c>
      <c r="B26" s="12" t="s">
        <v>39</v>
      </c>
      <c r="C26" s="12" t="s">
        <v>2334</v>
      </c>
      <c r="D26" s="12" t="s">
        <v>2341</v>
      </c>
      <c r="E26" s="11" t="n">
        <v>10</v>
      </c>
      <c r="F26" s="12" t="s">
        <v>2342</v>
      </c>
      <c r="G26" s="12" t="s">
        <v>2329</v>
      </c>
      <c r="H26" s="11" t="s">
        <v>2330</v>
      </c>
      <c r="I26" s="12"/>
      <c r="J26" s="11" t="s">
        <v>2330</v>
      </c>
      <c r="K26" s="11"/>
      <c r="L26" s="11" t="n">
        <f aca="false">IF(E26="","",IF(OR(AND(K26="Plan A",'All weeks'!$C$5="B"),AND(K26="Plan B",'All weeks'!$C$5="A")),0,IF(H26="Yes",E26,E26*IF(B26="Year 7",'All weeks'!$C$3,'All weeks'!$C$4))))</f>
        <v>10</v>
      </c>
    </row>
    <row r="27" customFormat="false" ht="23.85" hidden="false" customHeight="false" outlineLevel="0" collapsed="false">
      <c r="A27" s="11" t="n">
        <v>1</v>
      </c>
      <c r="B27" s="12" t="s">
        <v>39</v>
      </c>
      <c r="C27" s="12" t="s">
        <v>2334</v>
      </c>
      <c r="D27" s="12" t="s">
        <v>2343</v>
      </c>
      <c r="E27" s="11" t="n">
        <v>3</v>
      </c>
      <c r="F27" s="19" t="s">
        <v>2328</v>
      </c>
      <c r="G27" s="12" t="s">
        <v>2332</v>
      </c>
      <c r="H27" s="11" t="s">
        <v>77</v>
      </c>
      <c r="I27" s="12"/>
      <c r="J27" s="11" t="s">
        <v>2330</v>
      </c>
      <c r="K27" s="11"/>
      <c r="L27" s="11" t="n">
        <f aca="false">IF(E27="","",IF(OR(AND(K27="Plan A",'All weeks'!$C$5="B"),AND(K27="Plan B",'All weeks'!$C$5="A")),0,IF(H27="Yes",E27,E27*IF(B27="Year 7",'All weeks'!$C$3,'All weeks'!$C$4))))</f>
        <v>3</v>
      </c>
    </row>
    <row r="28" customFormat="false" ht="23.85" hidden="false" customHeight="false" outlineLevel="0" collapsed="false">
      <c r="A28" s="11" t="n">
        <v>1</v>
      </c>
      <c r="B28" s="12" t="s">
        <v>39</v>
      </c>
      <c r="C28" s="12" t="s">
        <v>2334</v>
      </c>
      <c r="D28" s="12" t="s">
        <v>2344</v>
      </c>
      <c r="E28" s="11" t="n">
        <v>15</v>
      </c>
      <c r="F28" s="19" t="s">
        <v>2328</v>
      </c>
      <c r="G28" s="12" t="s">
        <v>2329</v>
      </c>
      <c r="H28" s="11" t="s">
        <v>77</v>
      </c>
      <c r="I28" s="12" t="s">
        <v>2333</v>
      </c>
      <c r="J28" s="11" t="s">
        <v>2330</v>
      </c>
      <c r="K28" s="11"/>
      <c r="L28" s="11" t="n">
        <f aca="false">IF(E28="","",IF(OR(AND(K28="Plan A",'All weeks'!$C$5="B"),AND(K28="Plan B",'All weeks'!$C$5="A")),0,IF(H28="Yes",E28,E28*IF(B28="Year 7",'All weeks'!$C$3,'All weeks'!$C$4))))</f>
        <v>15</v>
      </c>
    </row>
    <row r="29" customFormat="false" ht="23.85" hidden="false" customHeight="false" outlineLevel="0" collapsed="false">
      <c r="A29" s="11" t="n">
        <v>1</v>
      </c>
      <c r="B29" s="12" t="s">
        <v>39</v>
      </c>
      <c r="C29" s="12" t="s">
        <v>2334</v>
      </c>
      <c r="D29" s="12" t="s">
        <v>2345</v>
      </c>
      <c r="E29" s="11" t="n">
        <v>20</v>
      </c>
      <c r="F29" s="19" t="s">
        <v>2328</v>
      </c>
      <c r="G29" s="12" t="s">
        <v>2329</v>
      </c>
      <c r="H29" s="11" t="s">
        <v>2330</v>
      </c>
      <c r="I29" s="12" t="s">
        <v>2333</v>
      </c>
      <c r="J29" s="11" t="s">
        <v>2330</v>
      </c>
      <c r="K29" s="11"/>
      <c r="L29" s="11" t="n">
        <f aca="false">IF(E29="","",IF(OR(AND(K29="Plan A",'All weeks'!$C$5="B"),AND(K29="Plan B",'All weeks'!$C$5="A")),0,IF(H29="Yes",E29,E29*IF(B29="Year 7",'All weeks'!$C$3,'All weeks'!$C$4))))</f>
        <v>20</v>
      </c>
    </row>
    <row r="30" customFormat="false" ht="23.85" hidden="false" customHeight="false" outlineLevel="0" collapsed="false">
      <c r="A30" s="11" t="n">
        <v>1</v>
      </c>
      <c r="B30" s="12" t="s">
        <v>39</v>
      </c>
      <c r="C30" s="12" t="s">
        <v>2334</v>
      </c>
      <c r="D30" s="12" t="s">
        <v>2346</v>
      </c>
      <c r="E30" s="11" t="n">
        <v>10</v>
      </c>
      <c r="F30" s="19" t="s">
        <v>2328</v>
      </c>
      <c r="G30" s="12" t="s">
        <v>2332</v>
      </c>
      <c r="H30" s="11" t="s">
        <v>2330</v>
      </c>
      <c r="I30" s="12" t="s">
        <v>2347</v>
      </c>
      <c r="J30" s="11" t="s">
        <v>2330</v>
      </c>
      <c r="K30" s="11"/>
      <c r="L30" s="11" t="n">
        <f aca="false">IF(E30="","",IF(OR(AND(K30="Plan A",'All weeks'!$C$5="B"),AND(K30="Plan B",'All weeks'!$C$5="A")),0,IF(H30="Yes",E30,E30*IF(B30="Year 7",'All weeks'!$C$3,'All weeks'!$C$4))))</f>
        <v>10</v>
      </c>
    </row>
    <row r="31" customFormat="false" ht="23.85" hidden="false" customHeight="false" outlineLevel="0" collapsed="false">
      <c r="A31" s="11" t="n">
        <v>1</v>
      </c>
      <c r="B31" s="12" t="s">
        <v>39</v>
      </c>
      <c r="C31" s="12" t="s">
        <v>2334</v>
      </c>
      <c r="D31" s="12" t="s">
        <v>2348</v>
      </c>
      <c r="E31" s="11" t="n">
        <v>10</v>
      </c>
      <c r="F31" s="19" t="s">
        <v>2328</v>
      </c>
      <c r="G31" s="12" t="s">
        <v>2332</v>
      </c>
      <c r="H31" s="11" t="s">
        <v>2330</v>
      </c>
      <c r="I31" s="12"/>
      <c r="J31" s="11" t="s">
        <v>2330</v>
      </c>
      <c r="K31" s="11"/>
      <c r="L31" s="11" t="n">
        <f aca="false">IF(E31="","",IF(OR(AND(K31="Plan A",'All weeks'!$C$5="B"),AND(K31="Plan B",'All weeks'!$C$5="A")),0,IF(H31="Yes",E31,E31*IF(B31="Year 7",'All weeks'!$C$3,'All weeks'!$C$4))))</f>
        <v>10</v>
      </c>
    </row>
    <row r="32" customFormat="false" ht="15" hidden="false" customHeight="false" outlineLevel="0" collapsed="false">
      <c r="A32" s="11" t="n">
        <v>1</v>
      </c>
      <c r="B32" s="12" t="s">
        <v>39</v>
      </c>
      <c r="C32" s="12" t="s">
        <v>2334</v>
      </c>
      <c r="D32" s="12" t="s">
        <v>2349</v>
      </c>
      <c r="E32" s="11" t="n">
        <v>10</v>
      </c>
      <c r="F32" s="19" t="s">
        <v>2328</v>
      </c>
      <c r="G32" s="12" t="s">
        <v>2329</v>
      </c>
      <c r="H32" s="11" t="s">
        <v>2330</v>
      </c>
      <c r="I32" s="12"/>
      <c r="J32" s="11" t="s">
        <v>2330</v>
      </c>
      <c r="K32" s="11"/>
      <c r="L32" s="11" t="n">
        <f aca="false">IF(E32="","",IF(OR(AND(K32="Plan A",'All weeks'!$C$5="B"),AND(K32="Plan B",'All weeks'!$C$5="A")),0,IF(H32="Yes",E32,E32*IF(B32="Year 7",'All weeks'!$C$3,'All weeks'!$C$4))))</f>
        <v>10</v>
      </c>
    </row>
    <row r="33" customFormat="false" ht="23.85" hidden="false" customHeight="false" outlineLevel="0" collapsed="false">
      <c r="A33" s="11" t="n">
        <v>1</v>
      </c>
      <c r="B33" s="12" t="s">
        <v>39</v>
      </c>
      <c r="C33" s="12" t="s">
        <v>2350</v>
      </c>
      <c r="D33" s="12" t="s">
        <v>2351</v>
      </c>
      <c r="E33" s="11" t="n">
        <v>5</v>
      </c>
      <c r="F33" s="12" t="s">
        <v>2342</v>
      </c>
      <c r="G33" s="12" t="s">
        <v>2329</v>
      </c>
      <c r="H33" s="11" t="s">
        <v>2330</v>
      </c>
      <c r="I33" s="12"/>
      <c r="J33" s="11" t="s">
        <v>2330</v>
      </c>
      <c r="K33" s="11"/>
      <c r="L33" s="11" t="n">
        <f aca="false">IF(E33="","",IF(OR(AND(K33="Plan A",'All weeks'!$C$5="B"),AND(K33="Plan B",'All weeks'!$C$5="A")),0,IF(H33="Yes",E33,E33*IF(B33="Year 7",'All weeks'!$C$3,'All weeks'!$C$4))))</f>
        <v>5</v>
      </c>
    </row>
    <row r="34" customFormat="false" ht="23.85" hidden="false" customHeight="false" outlineLevel="0" collapsed="false">
      <c r="A34" s="11" t="n">
        <v>1</v>
      </c>
      <c r="B34" s="12" t="s">
        <v>39</v>
      </c>
      <c r="C34" s="12" t="s">
        <v>2352</v>
      </c>
      <c r="D34" s="12" t="s">
        <v>2353</v>
      </c>
      <c r="E34" s="11" t="n">
        <v>5</v>
      </c>
      <c r="F34" s="12" t="s">
        <v>2342</v>
      </c>
      <c r="G34" s="12" t="s">
        <v>2329</v>
      </c>
      <c r="H34" s="11" t="s">
        <v>2330</v>
      </c>
      <c r="I34" s="12"/>
      <c r="J34" s="11" t="s">
        <v>2330</v>
      </c>
      <c r="K34" s="11"/>
      <c r="L34" s="11" t="n">
        <f aca="false">IF(E34="","",IF(OR(AND(K34="Plan A",'All weeks'!$C$5="B"),AND(K34="Plan B",'All weeks'!$C$5="A")),0,IF(H34="Yes",E34,E34*IF(B34="Year 7",'All weeks'!$C$3,'All weeks'!$C$4))))</f>
        <v>5</v>
      </c>
    </row>
    <row r="35" customFormat="false" ht="35.05" hidden="false" customHeight="false" outlineLevel="0" collapsed="false">
      <c r="A35" s="11" t="n">
        <v>1</v>
      </c>
      <c r="B35" s="12" t="s">
        <v>39</v>
      </c>
      <c r="C35" s="12" t="s">
        <v>2352</v>
      </c>
      <c r="D35" s="12" t="s">
        <v>2354</v>
      </c>
      <c r="E35" s="11" t="n">
        <v>3</v>
      </c>
      <c r="F35" s="19" t="s">
        <v>2328</v>
      </c>
      <c r="G35" s="12" t="s">
        <v>2329</v>
      </c>
      <c r="H35" s="11" t="s">
        <v>2330</v>
      </c>
      <c r="I35" s="12"/>
      <c r="J35" s="11" t="s">
        <v>2330</v>
      </c>
      <c r="K35" s="11"/>
      <c r="L35" s="11" t="n">
        <f aca="false">IF(E35="","",IF(OR(AND(K35="Plan A",'All weeks'!$C$5="B"),AND(K35="Plan B",'All weeks'!$C$5="A")),0,IF(H35="Yes",E35,E35*IF(B35="Year 7",'All weeks'!$C$3,'All weeks'!$C$4))))</f>
        <v>3</v>
      </c>
    </row>
    <row r="36" customFormat="false" ht="23.85" hidden="false" customHeight="false" outlineLevel="0" collapsed="false">
      <c r="A36" s="11" t="n">
        <v>1</v>
      </c>
      <c r="B36" s="12" t="s">
        <v>39</v>
      </c>
      <c r="C36" s="12" t="s">
        <v>2355</v>
      </c>
      <c r="D36" s="12" t="s">
        <v>2356</v>
      </c>
      <c r="E36" s="11" t="n">
        <v>1</v>
      </c>
      <c r="F36" s="19" t="s">
        <v>2328</v>
      </c>
      <c r="G36" s="12" t="s">
        <v>2357</v>
      </c>
      <c r="H36" s="11" t="s">
        <v>2330</v>
      </c>
      <c r="I36" s="12"/>
      <c r="J36" s="11" t="s">
        <v>2330</v>
      </c>
      <c r="K36" s="11"/>
      <c r="L36" s="11" t="n">
        <f aca="false">IF(E36="","",IF(OR(AND(K36="Plan A",'All weeks'!$C$5="B"),AND(K36="Plan B",'All weeks'!$C$5="A")),0,IF(H36="Yes",E36,E36*IF(B36="Year 7",'All weeks'!$C$3,'All weeks'!$C$4))))</f>
        <v>1</v>
      </c>
    </row>
    <row r="37" customFormat="false" ht="23.85" hidden="false" customHeight="false" outlineLevel="0" collapsed="false">
      <c r="A37" s="11" t="n">
        <v>1</v>
      </c>
      <c r="B37" s="12" t="s">
        <v>39</v>
      </c>
      <c r="C37" s="12" t="s">
        <v>2358</v>
      </c>
      <c r="D37" s="12" t="s">
        <v>2359</v>
      </c>
      <c r="E37" s="11" t="n">
        <v>3</v>
      </c>
      <c r="F37" s="19" t="s">
        <v>2328</v>
      </c>
      <c r="G37" s="12" t="s">
        <v>2329</v>
      </c>
      <c r="H37" s="11" t="s">
        <v>2330</v>
      </c>
      <c r="I37" s="12"/>
      <c r="J37" s="11" t="s">
        <v>2330</v>
      </c>
      <c r="K37" s="11"/>
      <c r="L37" s="11" t="n">
        <f aca="false">IF(E37="","",IF(OR(AND(K37="Plan A",'All weeks'!$C$5="B"),AND(K37="Plan B",'All weeks'!$C$5="A")),0,IF(H37="Yes",E37,E37*IF(B37="Year 7",'All weeks'!$C$3,'All weeks'!$C$4))))</f>
        <v>3</v>
      </c>
    </row>
    <row r="38" customFormat="false" ht="23.85" hidden="false" customHeight="false" outlineLevel="0" collapsed="false">
      <c r="A38" s="11" t="n">
        <v>1</v>
      </c>
      <c r="B38" s="12" t="s">
        <v>39</v>
      </c>
      <c r="C38" s="12" t="s">
        <v>2358</v>
      </c>
      <c r="D38" s="12" t="s">
        <v>2360</v>
      </c>
      <c r="E38" s="11" t="n">
        <v>10</v>
      </c>
      <c r="F38" s="19" t="s">
        <v>2328</v>
      </c>
      <c r="G38" s="12" t="s">
        <v>2332</v>
      </c>
      <c r="H38" s="11" t="s">
        <v>2330</v>
      </c>
      <c r="I38" s="12"/>
      <c r="J38" s="11" t="s">
        <v>2330</v>
      </c>
      <c r="K38" s="11"/>
      <c r="L38" s="11" t="n">
        <f aca="false">IF(E38="","",IF(OR(AND(K38="Plan A",'All weeks'!$C$5="B"),AND(K38="Plan B",'All weeks'!$C$5="A")),0,IF(H38="Yes",E38,E38*IF(B38="Year 7",'All weeks'!$C$3,'All weeks'!$C$4))))</f>
        <v>10</v>
      </c>
    </row>
    <row r="39" customFormat="false" ht="23.85" hidden="false" customHeight="false" outlineLevel="0" collapsed="false">
      <c r="A39" s="11" t="n">
        <v>1</v>
      </c>
      <c r="B39" s="12" t="s">
        <v>39</v>
      </c>
      <c r="C39" s="12" t="s">
        <v>2358</v>
      </c>
      <c r="D39" s="12" t="s">
        <v>2361</v>
      </c>
      <c r="E39" s="11" t="n">
        <v>70</v>
      </c>
      <c r="F39" s="19" t="s">
        <v>2328</v>
      </c>
      <c r="G39" s="12" t="s">
        <v>2332</v>
      </c>
      <c r="H39" s="11" t="s">
        <v>2330</v>
      </c>
      <c r="I39" s="12"/>
      <c r="J39" s="11" t="s">
        <v>2330</v>
      </c>
      <c r="K39" s="11"/>
      <c r="L39" s="11" t="n">
        <f aca="false">IF(E39="","",IF(OR(AND(K39="Plan A",'All weeks'!$C$5="B"),AND(K39="Plan B",'All weeks'!$C$5="A")),0,IF(H39="Yes",E39,E39*IF(B39="Year 7",'All weeks'!$C$3,'All weeks'!$C$4))))</f>
        <v>70</v>
      </c>
    </row>
    <row r="40" customFormat="false" ht="35.05" hidden="false" customHeight="false" outlineLevel="0" collapsed="false">
      <c r="A40" s="11" t="n">
        <v>1</v>
      </c>
      <c r="B40" s="12" t="s">
        <v>39</v>
      </c>
      <c r="C40" s="12" t="s">
        <v>2358</v>
      </c>
      <c r="D40" s="12" t="s">
        <v>2362</v>
      </c>
      <c r="E40" s="11" t="n">
        <v>25</v>
      </c>
      <c r="F40" s="19" t="s">
        <v>2328</v>
      </c>
      <c r="G40" s="12" t="s">
        <v>2329</v>
      </c>
      <c r="H40" s="11" t="s">
        <v>2330</v>
      </c>
      <c r="I40" s="12"/>
      <c r="J40" s="11" t="s">
        <v>2330</v>
      </c>
      <c r="K40" s="11"/>
      <c r="L40" s="11" t="n">
        <f aca="false">IF(E40="","",IF(OR(AND(K40="Plan A",'All weeks'!$C$5="B"),AND(K40="Plan B",'All weeks'!$C$5="A")),0,IF(H40="Yes",E40,E40*IF(B40="Year 7",'All weeks'!$C$3,'All weeks'!$C$4))))</f>
        <v>25</v>
      </c>
    </row>
    <row r="41" customFormat="false" ht="23.85" hidden="false" customHeight="false" outlineLevel="0" collapsed="false">
      <c r="A41" s="11" t="n">
        <v>1</v>
      </c>
      <c r="B41" s="12" t="s">
        <v>39</v>
      </c>
      <c r="C41" s="12" t="s">
        <v>2358</v>
      </c>
      <c r="D41" s="12" t="s">
        <v>2363</v>
      </c>
      <c r="E41" s="11" t="n">
        <v>15</v>
      </c>
      <c r="F41" s="19" t="s">
        <v>2328</v>
      </c>
      <c r="G41" s="12" t="s">
        <v>2329</v>
      </c>
      <c r="H41" s="11" t="s">
        <v>2330</v>
      </c>
      <c r="I41" s="12"/>
      <c r="J41" s="11" t="s">
        <v>105</v>
      </c>
      <c r="K41" s="11"/>
      <c r="L41" s="11" t="n">
        <f aca="false">IF(E41="","",IF(OR(AND(K41="Plan A",'All weeks'!$C$5="B"),AND(K41="Plan B",'All weeks'!$C$5="A")),0,IF(H41="Yes",E41,E41*IF(B41="Year 7",'All weeks'!$C$3,'All weeks'!$C$4))))</f>
        <v>15</v>
      </c>
    </row>
    <row r="42" customFormat="false" ht="46.25" hidden="false" customHeight="false" outlineLevel="0" collapsed="false">
      <c r="A42" s="11" t="n">
        <v>1</v>
      </c>
      <c r="B42" s="12" t="s">
        <v>153</v>
      </c>
      <c r="C42" s="12" t="s">
        <v>2326</v>
      </c>
      <c r="D42" s="12" t="s">
        <v>2364</v>
      </c>
      <c r="E42" s="11" t="n">
        <v>15</v>
      </c>
      <c r="F42" s="19" t="s">
        <v>2328</v>
      </c>
      <c r="G42" s="12" t="s">
        <v>2329</v>
      </c>
      <c r="H42" s="11" t="s">
        <v>77</v>
      </c>
      <c r="I42" s="12" t="s">
        <v>2365</v>
      </c>
      <c r="J42" s="11" t="s">
        <v>2330</v>
      </c>
      <c r="K42" s="11"/>
      <c r="L42" s="11" t="n">
        <f aca="false">IF(E42="","",IF(OR(AND(K42="Plan A",'All weeks'!$C$5="B"),AND(K42="Plan B",'All weeks'!$C$5="A")),0,IF(H42="Yes",E42,E42*IF(B42="Year 7",'All weeks'!$C$3,'All weeks'!$C$4))))</f>
        <v>15</v>
      </c>
    </row>
    <row r="43" customFormat="false" ht="23.85" hidden="false" customHeight="false" outlineLevel="0" collapsed="false">
      <c r="A43" s="11" t="n">
        <v>1</v>
      </c>
      <c r="B43" s="12" t="s">
        <v>153</v>
      </c>
      <c r="C43" s="12" t="s">
        <v>2326</v>
      </c>
      <c r="D43" s="12" t="s">
        <v>2366</v>
      </c>
      <c r="E43" s="11" t="n">
        <v>10</v>
      </c>
      <c r="F43" s="19" t="s">
        <v>2328</v>
      </c>
      <c r="G43" s="12" t="s">
        <v>2332</v>
      </c>
      <c r="H43" s="11" t="s">
        <v>77</v>
      </c>
      <c r="I43" s="12"/>
      <c r="J43" s="11" t="s">
        <v>2330</v>
      </c>
      <c r="K43" s="11"/>
      <c r="L43" s="11" t="n">
        <f aca="false">IF(E43="","",IF(OR(AND(K43="Plan A",'All weeks'!$C$5="B"),AND(K43="Plan B",'All weeks'!$C$5="A")),0,IF(H43="Yes",E43,E43*IF(B43="Year 7",'All weeks'!$C$3,'All weeks'!$C$4))))</f>
        <v>10</v>
      </c>
    </row>
    <row r="44" customFormat="false" ht="23.85" hidden="false" customHeight="false" outlineLevel="0" collapsed="false">
      <c r="A44" s="11" t="n">
        <v>1</v>
      </c>
      <c r="B44" s="12" t="s">
        <v>153</v>
      </c>
      <c r="C44" s="12" t="s">
        <v>2326</v>
      </c>
      <c r="D44" s="12" t="s">
        <v>2367</v>
      </c>
      <c r="E44" s="11" t="n">
        <v>5</v>
      </c>
      <c r="F44" s="19" t="s">
        <v>2328</v>
      </c>
      <c r="G44" s="12" t="s">
        <v>2332</v>
      </c>
      <c r="H44" s="11" t="s">
        <v>77</v>
      </c>
      <c r="I44" s="12" t="s">
        <v>2368</v>
      </c>
      <c r="J44" s="11" t="s">
        <v>2330</v>
      </c>
      <c r="K44" s="11"/>
      <c r="L44" s="11" t="n">
        <f aca="false">IF(E44="","",IF(OR(AND(K44="Plan A",'All weeks'!$C$5="B"),AND(K44="Plan B",'All weeks'!$C$5="A")),0,IF(H44="Yes",E44,E44*IF(B44="Year 7",'All weeks'!$C$3,'All weeks'!$C$4))))</f>
        <v>5</v>
      </c>
    </row>
    <row r="45" customFormat="false" ht="35.05" hidden="false" customHeight="false" outlineLevel="0" collapsed="false">
      <c r="A45" s="11" t="n">
        <v>1</v>
      </c>
      <c r="B45" s="12" t="s">
        <v>153</v>
      </c>
      <c r="C45" s="12" t="s">
        <v>2326</v>
      </c>
      <c r="D45" s="12" t="s">
        <v>2369</v>
      </c>
      <c r="E45" s="11" t="n">
        <v>30</v>
      </c>
      <c r="F45" s="19" t="s">
        <v>2328</v>
      </c>
      <c r="G45" s="12" t="s">
        <v>2340</v>
      </c>
      <c r="H45" s="11" t="s">
        <v>2330</v>
      </c>
      <c r="I45" s="12" t="s">
        <v>2333</v>
      </c>
      <c r="J45" s="11" t="s">
        <v>2330</v>
      </c>
      <c r="K45" s="11"/>
      <c r="L45" s="11" t="n">
        <f aca="false">IF(E45="","",IF(OR(AND(K45="Plan A",'All weeks'!$C$5="B"),AND(K45="Plan B",'All weeks'!$C$5="A")),0,IF(H45="Yes",E45,E45*IF(B45="Year 7",'All weeks'!$C$3,'All weeks'!$C$4))))</f>
        <v>30</v>
      </c>
    </row>
    <row r="46" customFormat="false" ht="23.85" hidden="false" customHeight="false" outlineLevel="0" collapsed="false">
      <c r="A46" s="11" t="n">
        <v>1</v>
      </c>
      <c r="B46" s="12" t="s">
        <v>153</v>
      </c>
      <c r="C46" s="12" t="s">
        <v>2334</v>
      </c>
      <c r="D46" s="12" t="s">
        <v>2370</v>
      </c>
      <c r="E46" s="11" t="n">
        <v>5</v>
      </c>
      <c r="F46" s="19" t="s">
        <v>2328</v>
      </c>
      <c r="G46" s="12" t="s">
        <v>2332</v>
      </c>
      <c r="H46" s="11" t="s">
        <v>77</v>
      </c>
      <c r="I46" s="12" t="s">
        <v>2371</v>
      </c>
      <c r="J46" s="11" t="s">
        <v>2330</v>
      </c>
      <c r="K46" s="11"/>
      <c r="L46" s="11" t="n">
        <f aca="false">IF(E46="","",IF(OR(AND(K46="Plan A",'All weeks'!$C$5="B"),AND(K46="Plan B",'All weeks'!$C$5="A")),0,IF(H46="Yes",E46,E46*IF(B46="Year 7",'All weeks'!$C$3,'All weeks'!$C$4))))</f>
        <v>5</v>
      </c>
    </row>
    <row r="47" customFormat="false" ht="46.25" hidden="false" customHeight="false" outlineLevel="0" collapsed="false">
      <c r="A47" s="11" t="n">
        <v>1</v>
      </c>
      <c r="B47" s="12" t="s">
        <v>153</v>
      </c>
      <c r="C47" s="12" t="s">
        <v>2334</v>
      </c>
      <c r="D47" s="12" t="s">
        <v>2372</v>
      </c>
      <c r="E47" s="11" t="n">
        <v>15</v>
      </c>
      <c r="F47" s="19" t="s">
        <v>2328</v>
      </c>
      <c r="G47" s="12" t="s">
        <v>2340</v>
      </c>
      <c r="H47" s="11" t="s">
        <v>2330</v>
      </c>
      <c r="I47" s="12" t="s">
        <v>2373</v>
      </c>
      <c r="J47" s="11" t="s">
        <v>2330</v>
      </c>
      <c r="K47" s="11"/>
      <c r="L47" s="11" t="n">
        <f aca="false">IF(E47="","",IF(OR(AND(K47="Plan A",'All weeks'!$C$5="B"),AND(K47="Plan B",'All weeks'!$C$5="A")),0,IF(H47="Yes",E47,E47*IF(B47="Year 7",'All weeks'!$C$3,'All weeks'!$C$4))))</f>
        <v>15</v>
      </c>
    </row>
    <row r="48" customFormat="false" ht="23.85" hidden="false" customHeight="false" outlineLevel="0" collapsed="false">
      <c r="A48" s="11" t="n">
        <v>1</v>
      </c>
      <c r="B48" s="12" t="s">
        <v>153</v>
      </c>
      <c r="C48" s="12" t="s">
        <v>2334</v>
      </c>
      <c r="D48" s="12" t="s">
        <v>2374</v>
      </c>
      <c r="E48" s="11" t="n">
        <v>50</v>
      </c>
      <c r="F48" s="19" t="s">
        <v>2328</v>
      </c>
      <c r="G48" s="12" t="s">
        <v>2329</v>
      </c>
      <c r="H48" s="11" t="s">
        <v>2330</v>
      </c>
      <c r="I48" s="12" t="s">
        <v>2373</v>
      </c>
      <c r="J48" s="11" t="s">
        <v>2330</v>
      </c>
      <c r="K48" s="11"/>
      <c r="L48" s="11" t="n">
        <f aca="false">IF(E48="","",IF(OR(AND(K48="Plan A",'All weeks'!$C$5="B"),AND(K48="Plan B",'All weeks'!$C$5="A")),0,IF(H48="Yes",E48,E48*IF(B48="Year 7",'All weeks'!$C$3,'All weeks'!$C$4))))</f>
        <v>50</v>
      </c>
    </row>
    <row r="49" customFormat="false" ht="23.85" hidden="false" customHeight="false" outlineLevel="0" collapsed="false">
      <c r="A49" s="11" t="n">
        <v>1</v>
      </c>
      <c r="B49" s="12" t="s">
        <v>153</v>
      </c>
      <c r="C49" s="12" t="s">
        <v>2334</v>
      </c>
      <c r="D49" s="12" t="s">
        <v>2375</v>
      </c>
      <c r="E49" s="11" t="n">
        <v>5</v>
      </c>
      <c r="F49" s="19" t="s">
        <v>2328</v>
      </c>
      <c r="G49" s="12" t="s">
        <v>2340</v>
      </c>
      <c r="H49" s="11" t="s">
        <v>2330</v>
      </c>
      <c r="I49" s="12"/>
      <c r="J49" s="11" t="s">
        <v>2330</v>
      </c>
      <c r="K49" s="11"/>
      <c r="L49" s="11" t="n">
        <f aca="false">IF(E49="","",IF(OR(AND(K49="Plan A",'All weeks'!$C$5="B"),AND(K49="Plan B",'All weeks'!$C$5="A")),0,IF(H49="Yes",E49,E49*IF(B49="Year 7",'All weeks'!$C$3,'All weeks'!$C$4))))</f>
        <v>5</v>
      </c>
    </row>
    <row r="50" customFormat="false" ht="79.85" hidden="false" customHeight="false" outlineLevel="0" collapsed="false">
      <c r="A50" s="11" t="n">
        <v>1</v>
      </c>
      <c r="B50" s="12" t="s">
        <v>153</v>
      </c>
      <c r="C50" s="12" t="s">
        <v>2334</v>
      </c>
      <c r="D50" s="12" t="s">
        <v>2376</v>
      </c>
      <c r="E50" s="11" t="n">
        <v>20</v>
      </c>
      <c r="F50" s="12" t="s">
        <v>2377</v>
      </c>
      <c r="G50" s="12" t="s">
        <v>2332</v>
      </c>
      <c r="H50" s="11" t="s">
        <v>77</v>
      </c>
      <c r="I50" s="12" t="s">
        <v>2378</v>
      </c>
      <c r="J50" s="11" t="s">
        <v>2330</v>
      </c>
      <c r="K50" s="11"/>
      <c r="L50" s="11" t="n">
        <f aca="false">IF(E50="","",IF(OR(AND(K50="Plan A",'All weeks'!$C$5="B"),AND(K50="Plan B",'All weeks'!$C$5="A")),0,IF(H50="Yes",E50,E50*IF(B50="Year 7",'All weeks'!$C$3,'All weeks'!$C$4))))</f>
        <v>20</v>
      </c>
    </row>
    <row r="51" customFormat="false" ht="23.85" hidden="false" customHeight="false" outlineLevel="0" collapsed="false">
      <c r="A51" s="11" t="n">
        <v>1</v>
      </c>
      <c r="B51" s="12" t="s">
        <v>153</v>
      </c>
      <c r="C51" s="12" t="s">
        <v>2334</v>
      </c>
      <c r="D51" s="12" t="s">
        <v>2379</v>
      </c>
      <c r="E51" s="11" t="n">
        <v>5</v>
      </c>
      <c r="F51" s="19" t="s">
        <v>2328</v>
      </c>
      <c r="G51" s="12" t="s">
        <v>2332</v>
      </c>
      <c r="H51" s="11" t="s">
        <v>77</v>
      </c>
      <c r="I51" s="12" t="s">
        <v>2380</v>
      </c>
      <c r="J51" s="11" t="s">
        <v>2330</v>
      </c>
      <c r="K51" s="11"/>
      <c r="L51" s="11" t="n">
        <f aca="false">IF(E51="","",IF(OR(AND(K51="Plan A",'All weeks'!$C$5="B"),AND(K51="Plan B",'All weeks'!$C$5="A")),0,IF(H51="Yes",E51,E51*IF(B51="Year 7",'All weeks'!$C$3,'All weeks'!$C$4))))</f>
        <v>5</v>
      </c>
    </row>
    <row r="52" customFormat="false" ht="23.85" hidden="false" customHeight="false" outlineLevel="0" collapsed="false">
      <c r="A52" s="11" t="n">
        <v>1</v>
      </c>
      <c r="B52" s="12" t="s">
        <v>153</v>
      </c>
      <c r="C52" s="12" t="s">
        <v>2334</v>
      </c>
      <c r="D52" s="12" t="s">
        <v>2381</v>
      </c>
      <c r="E52" s="11" t="n">
        <v>5</v>
      </c>
      <c r="F52" s="19" t="s">
        <v>2328</v>
      </c>
      <c r="G52" s="12" t="s">
        <v>2332</v>
      </c>
      <c r="H52" s="11" t="s">
        <v>77</v>
      </c>
      <c r="I52" s="12"/>
      <c r="J52" s="11" t="s">
        <v>2330</v>
      </c>
      <c r="K52" s="11"/>
      <c r="L52" s="11" t="n">
        <f aca="false">IF(E52="","",IF(OR(AND(K52="Plan A",'All weeks'!$C$5="B"),AND(K52="Plan B",'All weeks'!$C$5="A")),0,IF(H52="Yes",E52,E52*IF(B52="Year 7",'All weeks'!$C$3,'All weeks'!$C$4))))</f>
        <v>5</v>
      </c>
    </row>
    <row r="53" customFormat="false" ht="23.85" hidden="false" customHeight="false" outlineLevel="0" collapsed="false">
      <c r="A53" s="11" t="n">
        <v>1</v>
      </c>
      <c r="B53" s="12" t="s">
        <v>153</v>
      </c>
      <c r="C53" s="12" t="s">
        <v>2334</v>
      </c>
      <c r="D53" s="12" t="s">
        <v>2382</v>
      </c>
      <c r="E53" s="11" t="n">
        <v>15</v>
      </c>
      <c r="F53" s="19" t="s">
        <v>2328</v>
      </c>
      <c r="G53" s="12" t="s">
        <v>2332</v>
      </c>
      <c r="H53" s="11" t="s">
        <v>2330</v>
      </c>
      <c r="I53" s="12" t="s">
        <v>2383</v>
      </c>
      <c r="J53" s="11" t="s">
        <v>2330</v>
      </c>
      <c r="K53" s="11"/>
      <c r="L53" s="11" t="n">
        <f aca="false">IF(E53="","",IF(OR(AND(K53="Plan A",'All weeks'!$C$5="B"),AND(K53="Plan B",'All weeks'!$C$5="A")),0,IF(H53="Yes",E53,E53*IF(B53="Year 7",'All weeks'!$C$3,'All weeks'!$C$4))))</f>
        <v>15</v>
      </c>
    </row>
    <row r="54" customFormat="false" ht="15" hidden="false" customHeight="false" outlineLevel="0" collapsed="false">
      <c r="A54" s="11" t="n">
        <v>1</v>
      </c>
      <c r="B54" s="12" t="s">
        <v>153</v>
      </c>
      <c r="C54" s="12" t="s">
        <v>2334</v>
      </c>
      <c r="D54" s="12" t="s">
        <v>2384</v>
      </c>
      <c r="E54" s="11" t="n">
        <v>5</v>
      </c>
      <c r="F54" s="19" t="s">
        <v>2328</v>
      </c>
      <c r="G54" s="12" t="s">
        <v>2329</v>
      </c>
      <c r="H54" s="11" t="s">
        <v>2330</v>
      </c>
      <c r="I54" s="12" t="s">
        <v>2333</v>
      </c>
      <c r="J54" s="11" t="s">
        <v>2330</v>
      </c>
      <c r="K54" s="11"/>
      <c r="L54" s="11" t="n">
        <f aca="false">IF(E54="","",IF(OR(AND(K54="Plan A",'All weeks'!$C$5="B"),AND(K54="Plan B",'All weeks'!$C$5="A")),0,IF(H54="Yes",E54,E54*IF(B54="Year 7",'All weeks'!$C$3,'All weeks'!$C$4))))</f>
        <v>5</v>
      </c>
    </row>
    <row r="55" customFormat="false" ht="23.85" hidden="false" customHeight="false" outlineLevel="0" collapsed="false">
      <c r="A55" s="11" t="n">
        <v>1</v>
      </c>
      <c r="B55" s="12" t="s">
        <v>153</v>
      </c>
      <c r="C55" s="12" t="s">
        <v>2334</v>
      </c>
      <c r="D55" s="12" t="s">
        <v>2385</v>
      </c>
      <c r="E55" s="11" t="n">
        <v>5</v>
      </c>
      <c r="F55" s="19" t="s">
        <v>2328</v>
      </c>
      <c r="G55" s="12" t="s">
        <v>2329</v>
      </c>
      <c r="H55" s="11" t="s">
        <v>77</v>
      </c>
      <c r="I55" s="12"/>
      <c r="J55" s="11" t="s">
        <v>105</v>
      </c>
      <c r="K55" s="11"/>
      <c r="L55" s="11" t="n">
        <f aca="false">IF(E55="","",IF(OR(AND(K55="Plan A",'All weeks'!$C$5="B"),AND(K55="Plan B",'All weeks'!$C$5="A")),0,IF(H55="Yes",E55,E55*IF(B55="Year 7",'All weeks'!$C$3,'All weeks'!$C$4))))</f>
        <v>5</v>
      </c>
    </row>
    <row r="56" customFormat="false" ht="46.25" hidden="false" customHeight="false" outlineLevel="0" collapsed="false">
      <c r="A56" s="11" t="n">
        <v>1</v>
      </c>
      <c r="B56" s="12" t="s">
        <v>153</v>
      </c>
      <c r="C56" s="12" t="s">
        <v>2350</v>
      </c>
      <c r="D56" s="12" t="s">
        <v>2386</v>
      </c>
      <c r="E56" s="11" t="n">
        <v>25</v>
      </c>
      <c r="F56" s="12" t="s">
        <v>2342</v>
      </c>
      <c r="G56" s="12" t="s">
        <v>2329</v>
      </c>
      <c r="H56" s="11" t="s">
        <v>2330</v>
      </c>
      <c r="I56" s="12" t="s">
        <v>2387</v>
      </c>
      <c r="J56" s="11" t="s">
        <v>2330</v>
      </c>
      <c r="K56" s="11"/>
      <c r="L56" s="11" t="n">
        <f aca="false">IF(E56="","",IF(OR(AND(K56="Plan A",'All weeks'!$C$5="B"),AND(K56="Plan B",'All weeks'!$C$5="A")),0,IF(H56="Yes",E56,E56*IF(B56="Year 7",'All weeks'!$C$3,'All weeks'!$C$4))))</f>
        <v>25</v>
      </c>
    </row>
    <row r="57" customFormat="false" ht="23.85" hidden="false" customHeight="false" outlineLevel="0" collapsed="false">
      <c r="A57" s="11" t="n">
        <v>1</v>
      </c>
      <c r="B57" s="12" t="s">
        <v>153</v>
      </c>
      <c r="C57" s="12" t="s">
        <v>2350</v>
      </c>
      <c r="D57" s="12" t="s">
        <v>2388</v>
      </c>
      <c r="E57" s="11" t="n">
        <v>10</v>
      </c>
      <c r="F57" s="19" t="s">
        <v>2328</v>
      </c>
      <c r="G57" s="12" t="s">
        <v>2329</v>
      </c>
      <c r="H57" s="11" t="s">
        <v>77</v>
      </c>
      <c r="I57" s="12" t="s">
        <v>2373</v>
      </c>
      <c r="J57" s="11" t="s">
        <v>2330</v>
      </c>
      <c r="K57" s="11"/>
      <c r="L57" s="11" t="n">
        <f aca="false">IF(E57="","",IF(OR(AND(K57="Plan A",'All weeks'!$C$5="B"),AND(K57="Plan B",'All weeks'!$C$5="A")),0,IF(H57="Yes",E57,E57*IF(B57="Year 7",'All weeks'!$C$3,'All weeks'!$C$4))))</f>
        <v>10</v>
      </c>
    </row>
    <row r="58" customFormat="false" ht="35.05" hidden="false" customHeight="false" outlineLevel="0" collapsed="false">
      <c r="A58" s="11" t="n">
        <v>1</v>
      </c>
      <c r="B58" s="12" t="s">
        <v>153</v>
      </c>
      <c r="C58" s="12" t="s">
        <v>2352</v>
      </c>
      <c r="D58" s="12" t="s">
        <v>2389</v>
      </c>
      <c r="E58" s="11" t="n">
        <v>10</v>
      </c>
      <c r="F58" s="19" t="s">
        <v>2328</v>
      </c>
      <c r="G58" s="12" t="s">
        <v>2332</v>
      </c>
      <c r="H58" s="11" t="s">
        <v>77</v>
      </c>
      <c r="I58" s="12"/>
      <c r="J58" s="11" t="s">
        <v>105</v>
      </c>
      <c r="K58" s="11"/>
      <c r="L58" s="11" t="n">
        <f aca="false">IF(E58="","",IF(OR(AND(K58="Plan A",'All weeks'!$C$5="B"),AND(K58="Plan B",'All weeks'!$C$5="A")),0,IF(H58="Yes",E58,E58*IF(B58="Year 7",'All weeks'!$C$3,'All weeks'!$C$4))))</f>
        <v>10</v>
      </c>
    </row>
    <row r="59" customFormat="false" ht="35.05" hidden="false" customHeight="false" outlineLevel="0" collapsed="false">
      <c r="A59" s="11" t="n">
        <v>1</v>
      </c>
      <c r="B59" s="12" t="s">
        <v>153</v>
      </c>
      <c r="C59" s="12" t="s">
        <v>2352</v>
      </c>
      <c r="D59" s="12" t="s">
        <v>2390</v>
      </c>
      <c r="E59" s="11" t="n">
        <v>5</v>
      </c>
      <c r="F59" s="12" t="s">
        <v>2342</v>
      </c>
      <c r="G59" s="12" t="s">
        <v>2332</v>
      </c>
      <c r="H59" s="11" t="s">
        <v>2330</v>
      </c>
      <c r="I59" s="12"/>
      <c r="J59" s="11" t="s">
        <v>105</v>
      </c>
      <c r="K59" s="11"/>
      <c r="L59" s="11" t="n">
        <f aca="false">IF(E59="","",IF(OR(AND(K59="Plan A",'All weeks'!$C$5="B"),AND(K59="Plan B",'All weeks'!$C$5="A")),0,IF(H59="Yes",E59,E59*IF(B59="Year 7",'All weeks'!$C$3,'All weeks'!$C$4))))</f>
        <v>5</v>
      </c>
    </row>
    <row r="60" customFormat="false" ht="35.05" hidden="false" customHeight="false" outlineLevel="0" collapsed="false">
      <c r="A60" s="11" t="n">
        <v>1</v>
      </c>
      <c r="B60" s="12" t="s">
        <v>153</v>
      </c>
      <c r="C60" s="12" t="s">
        <v>2358</v>
      </c>
      <c r="D60" s="12" t="s">
        <v>2391</v>
      </c>
      <c r="E60" s="11" t="n">
        <v>5</v>
      </c>
      <c r="F60" s="19" t="s">
        <v>2328</v>
      </c>
      <c r="G60" s="12" t="s">
        <v>2329</v>
      </c>
      <c r="H60" s="11" t="s">
        <v>2330</v>
      </c>
      <c r="I60" s="12" t="s">
        <v>2392</v>
      </c>
      <c r="J60" s="11" t="s">
        <v>105</v>
      </c>
      <c r="K60" s="11"/>
      <c r="L60" s="11" t="n">
        <f aca="false">IF(E60="","",IF(OR(AND(K60="Plan A",'All weeks'!$C$5="B"),AND(K60="Plan B",'All weeks'!$C$5="A")),0,IF(H60="Yes",E60,E60*IF(B60="Year 7",'All weeks'!$C$3,'All weeks'!$C$4))))</f>
        <v>5</v>
      </c>
    </row>
    <row r="61" customFormat="false" ht="23.85" hidden="false" customHeight="false" outlineLevel="0" collapsed="false">
      <c r="A61" s="11" t="n">
        <v>1</v>
      </c>
      <c r="B61" s="12" t="s">
        <v>153</v>
      </c>
      <c r="C61" s="12" t="s">
        <v>2358</v>
      </c>
      <c r="D61" s="12" t="s">
        <v>2393</v>
      </c>
      <c r="E61" s="11" t="n">
        <v>5</v>
      </c>
      <c r="F61" s="19" t="s">
        <v>2328</v>
      </c>
      <c r="G61" s="12" t="s">
        <v>2332</v>
      </c>
      <c r="H61" s="11" t="s">
        <v>2330</v>
      </c>
      <c r="I61" s="12" t="s">
        <v>2333</v>
      </c>
      <c r="J61" s="11" t="s">
        <v>2330</v>
      </c>
      <c r="K61" s="11"/>
      <c r="L61" s="11" t="n">
        <f aca="false">IF(E61="","",IF(OR(AND(K61="Plan A",'All weeks'!$C$5="B"),AND(K61="Plan B",'All weeks'!$C$5="A")),0,IF(H61="Yes",E61,E61*IF(B61="Year 7",'All weeks'!$C$3,'All weeks'!$C$4))))</f>
        <v>5</v>
      </c>
    </row>
    <row r="62" customFormat="false" ht="23.85" hidden="false" customHeight="false" outlineLevel="0" collapsed="false">
      <c r="A62" s="11" t="n">
        <v>1</v>
      </c>
      <c r="B62" s="12" t="s">
        <v>153</v>
      </c>
      <c r="C62" s="12" t="s">
        <v>2358</v>
      </c>
      <c r="D62" s="12" t="s">
        <v>2394</v>
      </c>
      <c r="E62" s="11" t="n">
        <v>70</v>
      </c>
      <c r="F62" s="19" t="s">
        <v>2328</v>
      </c>
      <c r="G62" s="12" t="s">
        <v>2332</v>
      </c>
      <c r="H62" s="11" t="s">
        <v>2330</v>
      </c>
      <c r="I62" s="12"/>
      <c r="J62" s="11" t="s">
        <v>2330</v>
      </c>
      <c r="K62" s="11"/>
      <c r="L62" s="11" t="n">
        <f aca="false">IF(E62="","",IF(OR(AND(K62="Plan A",'All weeks'!$C$5="B"),AND(K62="Plan B",'All weeks'!$C$5="A")),0,IF(H62="Yes",E62,E62*IF(B62="Year 7",'All weeks'!$C$3,'All weeks'!$C$4))))</f>
        <v>70</v>
      </c>
    </row>
    <row r="63" customFormat="false" ht="35.05" hidden="false" customHeight="false" outlineLevel="0" collapsed="false">
      <c r="A63" s="11" t="n">
        <v>1</v>
      </c>
      <c r="B63" s="12" t="s">
        <v>153</v>
      </c>
      <c r="C63" s="12" t="s">
        <v>2358</v>
      </c>
      <c r="D63" s="12" t="s">
        <v>2395</v>
      </c>
      <c r="E63" s="11" t="n">
        <v>20</v>
      </c>
      <c r="F63" s="19" t="s">
        <v>2328</v>
      </c>
      <c r="G63" s="12" t="s">
        <v>2332</v>
      </c>
      <c r="H63" s="11" t="s">
        <v>2330</v>
      </c>
      <c r="I63" s="12" t="s">
        <v>2396</v>
      </c>
      <c r="J63" s="11" t="s">
        <v>2330</v>
      </c>
      <c r="K63" s="11"/>
      <c r="L63" s="11" t="n">
        <f aca="false">IF(E63="","",IF(OR(AND(K63="Plan A",'All weeks'!$C$5="B"),AND(K63="Plan B",'All weeks'!$C$5="A")),0,IF(H63="Yes",E63,E63*IF(B63="Year 7",'All weeks'!$C$3,'All weeks'!$C$4))))</f>
        <v>20</v>
      </c>
    </row>
    <row r="64" customFormat="false" ht="23.85" hidden="false" customHeight="false" outlineLevel="0" collapsed="false">
      <c r="A64" s="11" t="n">
        <v>1</v>
      </c>
      <c r="B64" s="12" t="s">
        <v>153</v>
      </c>
      <c r="C64" s="12" t="s">
        <v>2358</v>
      </c>
      <c r="D64" s="12" t="s">
        <v>2397</v>
      </c>
      <c r="E64" s="11" t="n">
        <v>10</v>
      </c>
      <c r="F64" s="19" t="s">
        <v>2328</v>
      </c>
      <c r="G64" s="12" t="s">
        <v>2332</v>
      </c>
      <c r="H64" s="11" t="s">
        <v>2330</v>
      </c>
      <c r="I64" s="12"/>
      <c r="J64" s="11" t="s">
        <v>2330</v>
      </c>
      <c r="K64" s="11"/>
      <c r="L64" s="11" t="n">
        <f aca="false">IF(E64="","",IF(OR(AND(K64="Plan A",'All weeks'!$C$5="B"),AND(K64="Plan B",'All weeks'!$C$5="A")),0,IF(H64="Yes",E64,E64*IF(B64="Year 7",'All weeks'!$C$3,'All weeks'!$C$4))))</f>
        <v>10</v>
      </c>
    </row>
    <row r="65" customFormat="false" ht="35.05" hidden="false" customHeight="false" outlineLevel="0" collapsed="false">
      <c r="A65" s="14" t="n">
        <v>2</v>
      </c>
      <c r="B65" s="15" t="s">
        <v>39</v>
      </c>
      <c r="C65" s="15" t="s">
        <v>2326</v>
      </c>
      <c r="D65" s="15" t="s">
        <v>2398</v>
      </c>
      <c r="E65" s="14" t="n">
        <v>10</v>
      </c>
      <c r="F65" s="20" t="s">
        <v>2328</v>
      </c>
      <c r="G65" s="15" t="s">
        <v>2329</v>
      </c>
      <c r="H65" s="14" t="s">
        <v>77</v>
      </c>
      <c r="I65" s="15"/>
      <c r="J65" s="14" t="s">
        <v>2330</v>
      </c>
      <c r="K65" s="14"/>
      <c r="L65" s="14" t="n">
        <f aca="false">IF(E65="","",IF(OR(AND(K65="Plan A",'All weeks'!$C$5="B"),AND(K65="Plan B",'All weeks'!$C$5="A")),0,IF(H65="Yes",E65,E65*IF(B65="Year 7",'All weeks'!$C$3,'All weeks'!$C$4))))</f>
        <v>10</v>
      </c>
    </row>
    <row r="66" customFormat="false" ht="46.25" hidden="false" customHeight="false" outlineLevel="0" collapsed="false">
      <c r="A66" s="14" t="n">
        <v>2</v>
      </c>
      <c r="B66" s="15" t="s">
        <v>39</v>
      </c>
      <c r="C66" s="15" t="s">
        <v>2326</v>
      </c>
      <c r="D66" s="15" t="s">
        <v>2399</v>
      </c>
      <c r="E66" s="14" t="n">
        <v>5</v>
      </c>
      <c r="F66" s="20" t="s">
        <v>2328</v>
      </c>
      <c r="G66" s="15" t="s">
        <v>2340</v>
      </c>
      <c r="H66" s="14" t="s">
        <v>77</v>
      </c>
      <c r="I66" s="15"/>
      <c r="J66" s="14" t="s">
        <v>2330</v>
      </c>
      <c r="K66" s="14"/>
      <c r="L66" s="14" t="n">
        <f aca="false">IF(E66="","",IF(OR(AND(K66="Plan A",'All weeks'!$C$5="B"),AND(K66="Plan B",'All weeks'!$C$5="A")),0,IF(H66="Yes",E66,E66*IF(B66="Year 7",'All weeks'!$C$3,'All weeks'!$C$4))))</f>
        <v>5</v>
      </c>
    </row>
    <row r="67" customFormat="false" ht="35.05" hidden="false" customHeight="false" outlineLevel="0" collapsed="false">
      <c r="A67" s="14" t="n">
        <v>2</v>
      </c>
      <c r="B67" s="15" t="s">
        <v>39</v>
      </c>
      <c r="C67" s="15" t="s">
        <v>2334</v>
      </c>
      <c r="D67" s="15" t="s">
        <v>2400</v>
      </c>
      <c r="E67" s="14" t="n">
        <v>15</v>
      </c>
      <c r="F67" s="15" t="s">
        <v>2342</v>
      </c>
      <c r="G67" s="15" t="s">
        <v>2329</v>
      </c>
      <c r="H67" s="14" t="s">
        <v>77</v>
      </c>
      <c r="I67" s="15" t="s">
        <v>2401</v>
      </c>
      <c r="J67" s="14" t="s">
        <v>2330</v>
      </c>
      <c r="K67" s="14"/>
      <c r="L67" s="14" t="n">
        <f aca="false">IF(E67="","",IF(OR(AND(K67="Plan A",'All weeks'!$C$5="B"),AND(K67="Plan B",'All weeks'!$C$5="A")),0,IF(H67="Yes",E67,E67*IF(B67="Year 7",'All weeks'!$C$3,'All weeks'!$C$4))))</f>
        <v>15</v>
      </c>
    </row>
    <row r="68" customFormat="false" ht="23.85" hidden="false" customHeight="false" outlineLevel="0" collapsed="false">
      <c r="A68" s="14" t="n">
        <v>2</v>
      </c>
      <c r="B68" s="15" t="s">
        <v>39</v>
      </c>
      <c r="C68" s="15" t="s">
        <v>2334</v>
      </c>
      <c r="D68" s="15" t="s">
        <v>2402</v>
      </c>
      <c r="E68" s="14" t="n">
        <v>5</v>
      </c>
      <c r="F68" s="20" t="s">
        <v>2328</v>
      </c>
      <c r="G68" s="15" t="s">
        <v>2340</v>
      </c>
      <c r="H68" s="14" t="s">
        <v>77</v>
      </c>
      <c r="I68" s="15"/>
      <c r="J68" s="14" t="s">
        <v>2330</v>
      </c>
      <c r="K68" s="14"/>
      <c r="L68" s="14" t="n">
        <f aca="false">IF(E68="","",IF(OR(AND(K68="Plan A",'All weeks'!$C$5="B"),AND(K68="Plan B",'All weeks'!$C$5="A")),0,IF(H68="Yes",E68,E68*IF(B68="Year 7",'All weeks'!$C$3,'All weeks'!$C$4))))</f>
        <v>5</v>
      </c>
    </row>
    <row r="69" customFormat="false" ht="23.85" hidden="false" customHeight="false" outlineLevel="0" collapsed="false">
      <c r="A69" s="14" t="n">
        <v>2</v>
      </c>
      <c r="B69" s="15" t="s">
        <v>39</v>
      </c>
      <c r="C69" s="15" t="s">
        <v>2334</v>
      </c>
      <c r="D69" s="15" t="s">
        <v>2403</v>
      </c>
      <c r="E69" s="14" t="n">
        <v>15</v>
      </c>
      <c r="F69" s="20" t="s">
        <v>2328</v>
      </c>
      <c r="G69" s="15" t="s">
        <v>2329</v>
      </c>
      <c r="H69" s="14" t="s">
        <v>77</v>
      </c>
      <c r="I69" s="15"/>
      <c r="J69" s="14" t="s">
        <v>2330</v>
      </c>
      <c r="K69" s="14"/>
      <c r="L69" s="14" t="n">
        <f aca="false">IF(E69="","",IF(OR(AND(K69="Plan A",'All weeks'!$C$5="B"),AND(K69="Plan B",'All weeks'!$C$5="A")),0,IF(H69="Yes",E69,E69*IF(B69="Year 7",'All weeks'!$C$3,'All weeks'!$C$4))))</f>
        <v>15</v>
      </c>
    </row>
    <row r="70" customFormat="false" ht="15" hidden="false" customHeight="false" outlineLevel="0" collapsed="false">
      <c r="A70" s="14" t="n">
        <v>2</v>
      </c>
      <c r="B70" s="15" t="s">
        <v>39</v>
      </c>
      <c r="C70" s="15" t="s">
        <v>2334</v>
      </c>
      <c r="D70" s="15" t="s">
        <v>2404</v>
      </c>
      <c r="E70" s="14" t="n">
        <v>5</v>
      </c>
      <c r="F70" s="15" t="s">
        <v>2342</v>
      </c>
      <c r="G70" s="15" t="s">
        <v>2329</v>
      </c>
      <c r="H70" s="14" t="s">
        <v>77</v>
      </c>
      <c r="I70" s="15"/>
      <c r="J70" s="14" t="s">
        <v>2330</v>
      </c>
      <c r="K70" s="14"/>
      <c r="L70" s="14" t="n">
        <f aca="false">IF(E70="","",IF(OR(AND(K70="Plan A",'All weeks'!$C$5="B"),AND(K70="Plan B",'All weeks'!$C$5="A")),0,IF(H70="Yes",E70,E70*IF(B70="Year 7",'All weeks'!$C$3,'All weeks'!$C$4))))</f>
        <v>5</v>
      </c>
    </row>
    <row r="71" customFormat="false" ht="23.85" hidden="false" customHeight="false" outlineLevel="0" collapsed="false">
      <c r="A71" s="14" t="n">
        <v>2</v>
      </c>
      <c r="B71" s="15" t="s">
        <v>39</v>
      </c>
      <c r="C71" s="15" t="s">
        <v>2334</v>
      </c>
      <c r="D71" s="15" t="s">
        <v>2405</v>
      </c>
      <c r="E71" s="14" t="n">
        <v>5</v>
      </c>
      <c r="F71" s="20" t="s">
        <v>2328</v>
      </c>
      <c r="G71" s="15" t="s">
        <v>2332</v>
      </c>
      <c r="H71" s="14" t="s">
        <v>77</v>
      </c>
      <c r="I71" s="15"/>
      <c r="J71" s="14" t="s">
        <v>2330</v>
      </c>
      <c r="K71" s="14"/>
      <c r="L71" s="14" t="n">
        <f aca="false">IF(E71="","",IF(OR(AND(K71="Plan A",'All weeks'!$C$5="B"),AND(K71="Plan B",'All weeks'!$C$5="A")),0,IF(H71="Yes",E71,E71*IF(B71="Year 7",'All weeks'!$C$3,'All weeks'!$C$4))))</f>
        <v>5</v>
      </c>
    </row>
    <row r="72" customFormat="false" ht="15" hidden="false" customHeight="false" outlineLevel="0" collapsed="false">
      <c r="A72" s="14" t="n">
        <v>2</v>
      </c>
      <c r="B72" s="15" t="s">
        <v>39</v>
      </c>
      <c r="C72" s="15" t="s">
        <v>2350</v>
      </c>
      <c r="D72" s="15" t="s">
        <v>2406</v>
      </c>
      <c r="E72" s="14" t="n">
        <v>2</v>
      </c>
      <c r="F72" s="20" t="s">
        <v>2328</v>
      </c>
      <c r="G72" s="15" t="s">
        <v>2329</v>
      </c>
      <c r="H72" s="14" t="s">
        <v>77</v>
      </c>
      <c r="I72" s="15"/>
      <c r="J72" s="14" t="s">
        <v>2330</v>
      </c>
      <c r="K72" s="14"/>
      <c r="L72" s="14" t="n">
        <f aca="false">IF(E72="","",IF(OR(AND(K72="Plan A",'All weeks'!$C$5="B"),AND(K72="Plan B",'All weeks'!$C$5="A")),0,IF(H72="Yes",E72,E72*IF(B72="Year 7",'All weeks'!$C$3,'All weeks'!$C$4))))</f>
        <v>2</v>
      </c>
    </row>
    <row r="73" customFormat="false" ht="46.25" hidden="false" customHeight="false" outlineLevel="0" collapsed="false">
      <c r="A73" s="14" t="n">
        <v>2</v>
      </c>
      <c r="B73" s="15" t="s">
        <v>39</v>
      </c>
      <c r="C73" s="15" t="s">
        <v>2352</v>
      </c>
      <c r="D73" s="15" t="s">
        <v>2407</v>
      </c>
      <c r="E73" s="14" t="n">
        <v>5</v>
      </c>
      <c r="F73" s="20" t="s">
        <v>2328</v>
      </c>
      <c r="G73" s="15" t="s">
        <v>2332</v>
      </c>
      <c r="H73" s="14" t="s">
        <v>2330</v>
      </c>
      <c r="I73" s="15"/>
      <c r="J73" s="14" t="s">
        <v>2330</v>
      </c>
      <c r="K73" s="14"/>
      <c r="L73" s="14" t="n">
        <f aca="false">IF(E73="","",IF(OR(AND(K73="Plan A",'All weeks'!$C$5="B"),AND(K73="Plan B",'All weeks'!$C$5="A")),0,IF(H73="Yes",E73,E73*IF(B73="Year 7",'All weeks'!$C$3,'All weeks'!$C$4))))</f>
        <v>5</v>
      </c>
    </row>
    <row r="74" customFormat="false" ht="35.05" hidden="false" customHeight="false" outlineLevel="0" collapsed="false">
      <c r="A74" s="14" t="n">
        <v>2</v>
      </c>
      <c r="B74" s="15" t="s">
        <v>39</v>
      </c>
      <c r="C74" s="15" t="s">
        <v>2358</v>
      </c>
      <c r="D74" s="15" t="s">
        <v>2408</v>
      </c>
      <c r="E74" s="14" t="n">
        <v>3</v>
      </c>
      <c r="F74" s="20" t="s">
        <v>2328</v>
      </c>
      <c r="G74" s="15" t="s">
        <v>2357</v>
      </c>
      <c r="H74" s="14" t="s">
        <v>2330</v>
      </c>
      <c r="I74" s="15"/>
      <c r="J74" s="14" t="s">
        <v>2330</v>
      </c>
      <c r="K74" s="14"/>
      <c r="L74" s="14" t="n">
        <f aca="false">IF(E74="","",IF(OR(AND(K74="Plan A",'All weeks'!$C$5="B"),AND(K74="Plan B",'All weeks'!$C$5="A")),0,IF(H74="Yes",E74,E74*IF(B74="Year 7",'All weeks'!$C$3,'All weeks'!$C$4))))</f>
        <v>3</v>
      </c>
    </row>
    <row r="75" customFormat="false" ht="23.85" hidden="false" customHeight="false" outlineLevel="0" collapsed="false">
      <c r="A75" s="14" t="n">
        <v>2</v>
      </c>
      <c r="B75" s="15" t="s">
        <v>39</v>
      </c>
      <c r="C75" s="15" t="s">
        <v>2358</v>
      </c>
      <c r="D75" s="15" t="s">
        <v>2409</v>
      </c>
      <c r="E75" s="14" t="n">
        <v>3</v>
      </c>
      <c r="F75" s="20" t="s">
        <v>2328</v>
      </c>
      <c r="G75" s="15" t="s">
        <v>2329</v>
      </c>
      <c r="H75" s="14" t="s">
        <v>2330</v>
      </c>
      <c r="I75" s="15"/>
      <c r="J75" s="14" t="s">
        <v>2330</v>
      </c>
      <c r="K75" s="14"/>
      <c r="L75" s="14" t="n">
        <f aca="false">IF(E75="","",IF(OR(AND(K75="Plan A",'All weeks'!$C$5="B"),AND(K75="Plan B",'All weeks'!$C$5="A")),0,IF(H75="Yes",E75,E75*IF(B75="Year 7",'All weeks'!$C$3,'All weeks'!$C$4))))</f>
        <v>3</v>
      </c>
    </row>
    <row r="76" customFormat="false" ht="35.05" hidden="false" customHeight="false" outlineLevel="0" collapsed="false">
      <c r="A76" s="14" t="n">
        <v>2</v>
      </c>
      <c r="B76" s="15" t="s">
        <v>39</v>
      </c>
      <c r="C76" s="15" t="s">
        <v>2358</v>
      </c>
      <c r="D76" s="15" t="s">
        <v>2410</v>
      </c>
      <c r="E76" s="14" t="n">
        <v>10</v>
      </c>
      <c r="F76" s="20" t="s">
        <v>2328</v>
      </c>
      <c r="G76" s="15" t="s">
        <v>2332</v>
      </c>
      <c r="H76" s="14" t="s">
        <v>2330</v>
      </c>
      <c r="I76" s="15"/>
      <c r="J76" s="14" t="s">
        <v>2330</v>
      </c>
      <c r="K76" s="14"/>
      <c r="L76" s="14" t="n">
        <f aca="false">IF(E76="","",IF(OR(AND(K76="Plan A",'All weeks'!$C$5="B"),AND(K76="Plan B",'All weeks'!$C$5="A")),0,IF(H76="Yes",E76,E76*IF(B76="Year 7",'All weeks'!$C$3,'All weeks'!$C$4))))</f>
        <v>10</v>
      </c>
    </row>
    <row r="77" customFormat="false" ht="23.85" hidden="false" customHeight="false" outlineLevel="0" collapsed="false">
      <c r="A77" s="14" t="n">
        <v>2</v>
      </c>
      <c r="B77" s="15" t="s">
        <v>39</v>
      </c>
      <c r="C77" s="15" t="s">
        <v>2358</v>
      </c>
      <c r="D77" s="15" t="s">
        <v>2411</v>
      </c>
      <c r="E77" s="14" t="n">
        <v>10</v>
      </c>
      <c r="F77" s="20" t="s">
        <v>2328</v>
      </c>
      <c r="G77" s="15" t="s">
        <v>2332</v>
      </c>
      <c r="H77" s="14" t="s">
        <v>2330</v>
      </c>
      <c r="I77" s="15"/>
      <c r="J77" s="14" t="s">
        <v>2330</v>
      </c>
      <c r="K77" s="14"/>
      <c r="L77" s="14" t="n">
        <f aca="false">IF(E77="","",IF(OR(AND(K77="Plan A",'All weeks'!$C$5="B"),AND(K77="Plan B",'All weeks'!$C$5="A")),0,IF(H77="Yes",E77,E77*IF(B77="Year 7",'All weeks'!$C$3,'All weeks'!$C$4))))</f>
        <v>10</v>
      </c>
    </row>
    <row r="78" customFormat="false" ht="35.05" hidden="false" customHeight="false" outlineLevel="0" collapsed="false">
      <c r="A78" s="14" t="n">
        <v>2</v>
      </c>
      <c r="B78" s="15" t="s">
        <v>153</v>
      </c>
      <c r="C78" s="15" t="s">
        <v>2326</v>
      </c>
      <c r="D78" s="15" t="s">
        <v>2412</v>
      </c>
      <c r="E78" s="14" t="n">
        <v>10</v>
      </c>
      <c r="F78" s="20" t="s">
        <v>2328</v>
      </c>
      <c r="G78" s="15" t="s">
        <v>2329</v>
      </c>
      <c r="H78" s="14" t="s">
        <v>77</v>
      </c>
      <c r="I78" s="15" t="s">
        <v>2413</v>
      </c>
      <c r="J78" s="14" t="s">
        <v>2330</v>
      </c>
      <c r="K78" s="14"/>
      <c r="L78" s="14" t="n">
        <f aca="false">IF(E78="","",IF(OR(AND(K78="Plan A",'All weeks'!$C$5="B"),AND(K78="Plan B",'All weeks'!$C$5="A")),0,IF(H78="Yes",E78,E78*IF(B78="Year 7",'All weeks'!$C$3,'All weeks'!$C$4))))</f>
        <v>10</v>
      </c>
    </row>
    <row r="79" customFormat="false" ht="46.25" hidden="false" customHeight="false" outlineLevel="0" collapsed="false">
      <c r="A79" s="14" t="n">
        <v>2</v>
      </c>
      <c r="B79" s="15" t="s">
        <v>153</v>
      </c>
      <c r="C79" s="15" t="s">
        <v>2326</v>
      </c>
      <c r="D79" s="15" t="s">
        <v>2414</v>
      </c>
      <c r="E79" s="14" t="n">
        <v>5</v>
      </c>
      <c r="F79" s="20" t="s">
        <v>2328</v>
      </c>
      <c r="G79" s="15" t="s">
        <v>2340</v>
      </c>
      <c r="H79" s="14" t="s">
        <v>77</v>
      </c>
      <c r="I79" s="15"/>
      <c r="J79" s="14" t="s">
        <v>2330</v>
      </c>
      <c r="K79" s="14"/>
      <c r="L79" s="14" t="n">
        <f aca="false">IF(E79="","",IF(OR(AND(K79="Plan A",'All weeks'!$C$5="B"),AND(K79="Plan B",'All weeks'!$C$5="A")),0,IF(H79="Yes",E79,E79*IF(B79="Year 7",'All weeks'!$C$3,'All weeks'!$C$4))))</f>
        <v>5</v>
      </c>
    </row>
    <row r="80" customFormat="false" ht="46.25" hidden="false" customHeight="false" outlineLevel="0" collapsed="false">
      <c r="A80" s="14" t="n">
        <v>2</v>
      </c>
      <c r="B80" s="15" t="s">
        <v>153</v>
      </c>
      <c r="C80" s="15" t="s">
        <v>2334</v>
      </c>
      <c r="D80" s="15" t="s">
        <v>2415</v>
      </c>
      <c r="E80" s="14" t="n">
        <v>10</v>
      </c>
      <c r="F80" s="20" t="s">
        <v>2328</v>
      </c>
      <c r="G80" s="15" t="s">
        <v>2329</v>
      </c>
      <c r="H80" s="14" t="s">
        <v>77</v>
      </c>
      <c r="I80" s="15"/>
      <c r="J80" s="14" t="s">
        <v>2330</v>
      </c>
      <c r="K80" s="14"/>
      <c r="L80" s="14" t="n">
        <f aca="false">IF(E80="","",IF(OR(AND(K80="Plan A",'All weeks'!$C$5="B"),AND(K80="Plan B",'All weeks'!$C$5="A")),0,IF(H80="Yes",E80,E80*IF(B80="Year 7",'All weeks'!$C$3,'All weeks'!$C$4))))</f>
        <v>10</v>
      </c>
    </row>
    <row r="81" customFormat="false" ht="68.65" hidden="false" customHeight="false" outlineLevel="0" collapsed="false">
      <c r="A81" s="14" t="n">
        <v>2</v>
      </c>
      <c r="B81" s="15" t="s">
        <v>153</v>
      </c>
      <c r="C81" s="15" t="s">
        <v>2334</v>
      </c>
      <c r="D81" s="15" t="s">
        <v>2416</v>
      </c>
      <c r="E81" s="14" t="n">
        <v>10</v>
      </c>
      <c r="F81" s="15" t="s">
        <v>2417</v>
      </c>
      <c r="G81" s="15" t="s">
        <v>2329</v>
      </c>
      <c r="H81" s="14" t="s">
        <v>77</v>
      </c>
      <c r="I81" s="15" t="s">
        <v>2418</v>
      </c>
      <c r="J81" s="14" t="s">
        <v>2330</v>
      </c>
      <c r="K81" s="14"/>
      <c r="L81" s="14" t="n">
        <f aca="false">IF(E81="","",IF(OR(AND(K81="Plan A",'All weeks'!$C$5="B"),AND(K81="Plan B",'All weeks'!$C$5="A")),0,IF(H81="Yes",E81,E81*IF(B81="Year 7",'All weeks'!$C$3,'All weeks'!$C$4))))</f>
        <v>10</v>
      </c>
    </row>
    <row r="82" customFormat="false" ht="23.85" hidden="false" customHeight="false" outlineLevel="0" collapsed="false">
      <c r="A82" s="14" t="n">
        <v>2</v>
      </c>
      <c r="B82" s="15" t="s">
        <v>153</v>
      </c>
      <c r="C82" s="15" t="s">
        <v>2334</v>
      </c>
      <c r="D82" s="15" t="s">
        <v>2419</v>
      </c>
      <c r="E82" s="14" t="n">
        <v>5</v>
      </c>
      <c r="F82" s="20" t="s">
        <v>2328</v>
      </c>
      <c r="G82" s="15" t="s">
        <v>2332</v>
      </c>
      <c r="H82" s="14" t="s">
        <v>2330</v>
      </c>
      <c r="I82" s="15"/>
      <c r="J82" s="14" t="s">
        <v>2330</v>
      </c>
      <c r="K82" s="14"/>
      <c r="L82" s="14" t="n">
        <f aca="false">IF(E82="","",IF(OR(AND(K82="Plan A",'All weeks'!$C$5="B"),AND(K82="Plan B",'All weeks'!$C$5="A")),0,IF(H82="Yes",E82,E82*IF(B82="Year 7",'All weeks'!$C$3,'All weeks'!$C$4))))</f>
        <v>5</v>
      </c>
    </row>
    <row r="83" customFormat="false" ht="23.85" hidden="false" customHeight="false" outlineLevel="0" collapsed="false">
      <c r="A83" s="14" t="n">
        <v>2</v>
      </c>
      <c r="B83" s="15" t="s">
        <v>153</v>
      </c>
      <c r="C83" s="15" t="s">
        <v>2334</v>
      </c>
      <c r="D83" s="15" t="s">
        <v>2420</v>
      </c>
      <c r="E83" s="14" t="n">
        <v>5</v>
      </c>
      <c r="F83" s="20" t="s">
        <v>2328</v>
      </c>
      <c r="G83" s="15" t="s">
        <v>2332</v>
      </c>
      <c r="H83" s="14" t="s">
        <v>77</v>
      </c>
      <c r="I83" s="15"/>
      <c r="J83" s="14" t="s">
        <v>105</v>
      </c>
      <c r="K83" s="14"/>
      <c r="L83" s="14" t="n">
        <f aca="false">IF(E83="","",IF(OR(AND(K83="Plan A",'All weeks'!$C$5="B"),AND(K83="Plan B",'All weeks'!$C$5="A")),0,IF(H83="Yes",E83,E83*IF(B83="Year 7",'All weeks'!$C$3,'All weeks'!$C$4))))</f>
        <v>5</v>
      </c>
    </row>
    <row r="84" customFormat="false" ht="23.85" hidden="false" customHeight="false" outlineLevel="0" collapsed="false">
      <c r="A84" s="14" t="n">
        <v>2</v>
      </c>
      <c r="B84" s="15" t="s">
        <v>153</v>
      </c>
      <c r="C84" s="15" t="s">
        <v>2350</v>
      </c>
      <c r="D84" s="15" t="s">
        <v>2421</v>
      </c>
      <c r="E84" s="14" t="n">
        <v>5</v>
      </c>
      <c r="F84" s="20" t="s">
        <v>2328</v>
      </c>
      <c r="G84" s="15" t="s">
        <v>2332</v>
      </c>
      <c r="H84" s="14" t="s">
        <v>2330</v>
      </c>
      <c r="I84" s="15"/>
      <c r="J84" s="14" t="s">
        <v>2330</v>
      </c>
      <c r="K84" s="14"/>
      <c r="L84" s="14" t="n">
        <f aca="false">IF(E84="","",IF(OR(AND(K84="Plan A",'All weeks'!$C$5="B"),AND(K84="Plan B",'All weeks'!$C$5="A")),0,IF(H84="Yes",E84,E84*IF(B84="Year 7",'All weeks'!$C$3,'All weeks'!$C$4))))</f>
        <v>5</v>
      </c>
    </row>
    <row r="85" customFormat="false" ht="23.85" hidden="false" customHeight="false" outlineLevel="0" collapsed="false">
      <c r="A85" s="14" t="n">
        <v>2</v>
      </c>
      <c r="B85" s="15" t="s">
        <v>153</v>
      </c>
      <c r="C85" s="15" t="s">
        <v>2350</v>
      </c>
      <c r="D85" s="15" t="s">
        <v>2422</v>
      </c>
      <c r="E85" s="14" t="n">
        <v>2</v>
      </c>
      <c r="F85" s="20" t="s">
        <v>2328</v>
      </c>
      <c r="G85" s="15" t="s">
        <v>2329</v>
      </c>
      <c r="H85" s="14" t="s">
        <v>77</v>
      </c>
      <c r="I85" s="15"/>
      <c r="J85" s="14" t="s">
        <v>105</v>
      </c>
      <c r="K85" s="14"/>
      <c r="L85" s="14" t="n">
        <f aca="false">IF(E85="","",IF(OR(AND(K85="Plan A",'All weeks'!$C$5="B"),AND(K85="Plan B",'All weeks'!$C$5="A")),0,IF(H85="Yes",E85,E85*IF(B85="Year 7",'All weeks'!$C$3,'All weeks'!$C$4))))</f>
        <v>2</v>
      </c>
    </row>
    <row r="86" customFormat="false" ht="94" hidden="false" customHeight="false" outlineLevel="0" collapsed="false">
      <c r="A86" s="14" t="n">
        <v>2</v>
      </c>
      <c r="B86" s="15" t="s">
        <v>153</v>
      </c>
      <c r="C86" s="15" t="s">
        <v>2352</v>
      </c>
      <c r="D86" s="15" t="s">
        <v>2423</v>
      </c>
      <c r="E86" s="14" t="n">
        <v>5</v>
      </c>
      <c r="F86" s="15" t="s">
        <v>2342</v>
      </c>
      <c r="G86" s="15" t="s">
        <v>2332</v>
      </c>
      <c r="H86" s="14" t="s">
        <v>2330</v>
      </c>
      <c r="I86" s="15"/>
      <c r="J86" s="14" t="s">
        <v>2330</v>
      </c>
      <c r="K86" s="14"/>
      <c r="L86" s="14" t="n">
        <f aca="false">IF(E86="","",IF(OR(AND(K86="Plan A",'All weeks'!$C$5="B"),AND(K86="Plan B",'All weeks'!$C$5="A")),0,IF(H86="Yes",E86,E86*IF(B86="Year 7",'All weeks'!$C$3,'All weeks'!$C$4))))</f>
        <v>5</v>
      </c>
    </row>
    <row r="87" customFormat="false" ht="35.05" hidden="false" customHeight="false" outlineLevel="0" collapsed="false">
      <c r="A87" s="14" t="n">
        <v>2</v>
      </c>
      <c r="B87" s="15" t="s">
        <v>153</v>
      </c>
      <c r="C87" s="15" t="s">
        <v>2358</v>
      </c>
      <c r="D87" s="15" t="s">
        <v>2424</v>
      </c>
      <c r="E87" s="14" t="n">
        <v>3</v>
      </c>
      <c r="F87" s="20" t="s">
        <v>2328</v>
      </c>
      <c r="G87" s="15" t="s">
        <v>2357</v>
      </c>
      <c r="H87" s="14" t="s">
        <v>2330</v>
      </c>
      <c r="I87" s="15"/>
      <c r="J87" s="14" t="s">
        <v>2330</v>
      </c>
      <c r="K87" s="14"/>
      <c r="L87" s="14" t="n">
        <f aca="false">IF(E87="","",IF(OR(AND(K87="Plan A",'All weeks'!$C$5="B"),AND(K87="Plan B",'All weeks'!$C$5="A")),0,IF(H87="Yes",E87,E87*IF(B87="Year 7",'All weeks'!$C$3,'All weeks'!$C$4))))</f>
        <v>3</v>
      </c>
    </row>
    <row r="88" customFormat="false" ht="35.05" hidden="false" customHeight="false" outlineLevel="0" collapsed="false">
      <c r="A88" s="14" t="n">
        <v>2</v>
      </c>
      <c r="B88" s="15" t="s">
        <v>153</v>
      </c>
      <c r="C88" s="15" t="s">
        <v>2358</v>
      </c>
      <c r="D88" s="15" t="s">
        <v>2425</v>
      </c>
      <c r="E88" s="14" t="n">
        <v>5</v>
      </c>
      <c r="F88" s="20" t="s">
        <v>2328</v>
      </c>
      <c r="G88" s="15" t="s">
        <v>2329</v>
      </c>
      <c r="H88" s="14" t="s">
        <v>2330</v>
      </c>
      <c r="I88" s="15"/>
      <c r="J88" s="14" t="s">
        <v>2330</v>
      </c>
      <c r="K88" s="14"/>
      <c r="L88" s="14" t="n">
        <f aca="false">IF(E88="","",IF(OR(AND(K88="Plan A",'All weeks'!$C$5="B"),AND(K88="Plan B",'All weeks'!$C$5="A")),0,IF(H88="Yes",E88,E88*IF(B88="Year 7",'All weeks'!$C$3,'All weeks'!$C$4))))</f>
        <v>5</v>
      </c>
    </row>
    <row r="89" customFormat="false" ht="35.05" hidden="false" customHeight="false" outlineLevel="0" collapsed="false">
      <c r="A89" s="14" t="n">
        <v>2</v>
      </c>
      <c r="B89" s="15" t="s">
        <v>153</v>
      </c>
      <c r="C89" s="15" t="s">
        <v>2358</v>
      </c>
      <c r="D89" s="15" t="s">
        <v>2426</v>
      </c>
      <c r="E89" s="14" t="n">
        <v>10</v>
      </c>
      <c r="F89" s="20" t="s">
        <v>2328</v>
      </c>
      <c r="G89" s="15" t="s">
        <v>2332</v>
      </c>
      <c r="H89" s="14" t="s">
        <v>2330</v>
      </c>
      <c r="I89" s="15"/>
      <c r="J89" s="14" t="s">
        <v>2330</v>
      </c>
      <c r="K89" s="14"/>
      <c r="L89" s="14" t="n">
        <f aca="false">IF(E89="","",IF(OR(AND(K89="Plan A",'All weeks'!$C$5="B"),AND(K89="Plan B",'All weeks'!$C$5="A")),0,IF(H89="Yes",E89,E89*IF(B89="Year 7",'All weeks'!$C$3,'All weeks'!$C$4))))</f>
        <v>10</v>
      </c>
    </row>
    <row r="90" customFormat="false" ht="23.85" hidden="false" customHeight="false" outlineLevel="0" collapsed="false">
      <c r="A90" s="14" t="n">
        <v>2</v>
      </c>
      <c r="B90" s="15" t="s">
        <v>153</v>
      </c>
      <c r="C90" s="15" t="s">
        <v>2358</v>
      </c>
      <c r="D90" s="15" t="s">
        <v>2427</v>
      </c>
      <c r="E90" s="14" t="n">
        <v>3</v>
      </c>
      <c r="F90" s="20" t="s">
        <v>2328</v>
      </c>
      <c r="G90" s="15" t="s">
        <v>2329</v>
      </c>
      <c r="H90" s="14" t="s">
        <v>77</v>
      </c>
      <c r="I90" s="15" t="s">
        <v>2413</v>
      </c>
      <c r="J90" s="14" t="s">
        <v>2330</v>
      </c>
      <c r="K90" s="14"/>
      <c r="L90" s="14" t="n">
        <f aca="false">IF(E90="","",IF(OR(AND(K90="Plan A",'All weeks'!$C$5="B"),AND(K90="Plan B",'All weeks'!$C$5="A")),0,IF(H90="Yes",E90,E90*IF(B90="Year 7",'All weeks'!$C$3,'All weeks'!$C$4))))</f>
        <v>3</v>
      </c>
    </row>
    <row r="91" customFormat="false" ht="35.05" hidden="false" customHeight="false" outlineLevel="0" collapsed="false">
      <c r="A91" s="11" t="n">
        <v>3</v>
      </c>
      <c r="B91" s="12" t="s">
        <v>39</v>
      </c>
      <c r="C91" s="12" t="s">
        <v>2334</v>
      </c>
      <c r="D91" s="12" t="s">
        <v>2428</v>
      </c>
      <c r="E91" s="11" t="n">
        <v>5</v>
      </c>
      <c r="F91" s="12" t="s">
        <v>2342</v>
      </c>
      <c r="G91" s="12" t="s">
        <v>2329</v>
      </c>
      <c r="H91" s="11" t="s">
        <v>77</v>
      </c>
      <c r="I91" s="12" t="s">
        <v>2429</v>
      </c>
      <c r="J91" s="11" t="s">
        <v>2330</v>
      </c>
      <c r="K91" s="11"/>
      <c r="L91" s="11" t="n">
        <f aca="false">IF(E91="","",IF(OR(AND(K91="Plan A",'All weeks'!$C$5="B"),AND(K91="Plan B",'All weeks'!$C$5="A")),0,IF(H91="Yes",E91,E91*IF(B91="Year 7",'All weeks'!$C$3,'All weeks'!$C$4))))</f>
        <v>5</v>
      </c>
    </row>
    <row r="92" customFormat="false" ht="35.05" hidden="false" customHeight="false" outlineLevel="0" collapsed="false">
      <c r="A92" s="11" t="n">
        <v>3</v>
      </c>
      <c r="B92" s="12" t="s">
        <v>39</v>
      </c>
      <c r="C92" s="12" t="s">
        <v>2334</v>
      </c>
      <c r="D92" s="12" t="s">
        <v>2430</v>
      </c>
      <c r="E92" s="11" t="n">
        <v>5</v>
      </c>
      <c r="F92" s="19" t="s">
        <v>2328</v>
      </c>
      <c r="G92" s="12" t="s">
        <v>2340</v>
      </c>
      <c r="H92" s="11" t="s">
        <v>77</v>
      </c>
      <c r="I92" s="12"/>
      <c r="J92" s="11" t="s">
        <v>2330</v>
      </c>
      <c r="K92" s="11"/>
      <c r="L92" s="11" t="n">
        <f aca="false">IF(E92="","",IF(OR(AND(K92="Plan A",'All weeks'!$C$5="B"),AND(K92="Plan B",'All weeks'!$C$5="A")),0,IF(H92="Yes",E92,E92*IF(B92="Year 7",'All weeks'!$C$3,'All weeks'!$C$4))))</f>
        <v>5</v>
      </c>
    </row>
    <row r="93" customFormat="false" ht="23.85" hidden="false" customHeight="false" outlineLevel="0" collapsed="false">
      <c r="A93" s="11" t="n">
        <v>3</v>
      </c>
      <c r="B93" s="12" t="s">
        <v>39</v>
      </c>
      <c r="C93" s="12" t="s">
        <v>2334</v>
      </c>
      <c r="D93" s="12" t="s">
        <v>2431</v>
      </c>
      <c r="E93" s="11" t="n">
        <v>10</v>
      </c>
      <c r="F93" s="19" t="s">
        <v>2328</v>
      </c>
      <c r="G93" s="12" t="s">
        <v>2329</v>
      </c>
      <c r="H93" s="11" t="s">
        <v>77</v>
      </c>
      <c r="I93" s="12"/>
      <c r="J93" s="11" t="s">
        <v>2330</v>
      </c>
      <c r="K93" s="11"/>
      <c r="L93" s="11" t="n">
        <f aca="false">IF(E93="","",IF(OR(AND(K93="Plan A",'All weeks'!$C$5="B"),AND(K93="Plan B",'All weeks'!$C$5="A")),0,IF(H93="Yes",E93,E93*IF(B93="Year 7",'All weeks'!$C$3,'All weeks'!$C$4))))</f>
        <v>10</v>
      </c>
    </row>
    <row r="94" customFormat="false" ht="15" hidden="false" customHeight="false" outlineLevel="0" collapsed="false">
      <c r="A94" s="11" t="n">
        <v>3</v>
      </c>
      <c r="B94" s="12" t="s">
        <v>39</v>
      </c>
      <c r="C94" s="12" t="s">
        <v>2334</v>
      </c>
      <c r="D94" s="12" t="s">
        <v>2432</v>
      </c>
      <c r="E94" s="11" t="n">
        <v>2</v>
      </c>
      <c r="F94" s="19" t="s">
        <v>2328</v>
      </c>
      <c r="G94" s="12" t="s">
        <v>2332</v>
      </c>
      <c r="H94" s="11" t="s">
        <v>77</v>
      </c>
      <c r="I94" s="12"/>
      <c r="J94" s="11" t="s">
        <v>2330</v>
      </c>
      <c r="K94" s="11"/>
      <c r="L94" s="11" t="n">
        <f aca="false">IF(E94="","",IF(OR(AND(K94="Plan A",'All weeks'!$C$5="B"),AND(K94="Plan B",'All weeks'!$C$5="A")),0,IF(H94="Yes",E94,E94*IF(B94="Year 7",'All weeks'!$C$3,'All weeks'!$C$4))))</f>
        <v>2</v>
      </c>
    </row>
    <row r="95" customFormat="false" ht="35.05" hidden="false" customHeight="false" outlineLevel="0" collapsed="false">
      <c r="A95" s="11" t="n">
        <v>3</v>
      </c>
      <c r="B95" s="12" t="s">
        <v>39</v>
      </c>
      <c r="C95" s="12" t="s">
        <v>2334</v>
      </c>
      <c r="D95" s="12" t="s">
        <v>2433</v>
      </c>
      <c r="E95" s="11" t="n">
        <v>10</v>
      </c>
      <c r="F95" s="12" t="s">
        <v>2342</v>
      </c>
      <c r="G95" s="12" t="s">
        <v>2329</v>
      </c>
      <c r="H95" s="11" t="s">
        <v>77</v>
      </c>
      <c r="I95" s="12" t="s">
        <v>2429</v>
      </c>
      <c r="J95" s="11" t="s">
        <v>2330</v>
      </c>
      <c r="K95" s="11"/>
      <c r="L95" s="11" t="n">
        <f aca="false">IF(E95="","",IF(OR(AND(K95="Plan A",'All weeks'!$C$5="B"),AND(K95="Plan B",'All weeks'!$C$5="A")),0,IF(H95="Yes",E95,E95*IF(B95="Year 7",'All weeks'!$C$3,'All weeks'!$C$4))))</f>
        <v>10</v>
      </c>
    </row>
    <row r="96" customFormat="false" ht="23.85" hidden="false" customHeight="false" outlineLevel="0" collapsed="false">
      <c r="A96" s="11" t="n">
        <v>3</v>
      </c>
      <c r="B96" s="12" t="s">
        <v>39</v>
      </c>
      <c r="C96" s="12" t="s">
        <v>2334</v>
      </c>
      <c r="D96" s="12" t="s">
        <v>2434</v>
      </c>
      <c r="E96" s="11" t="n">
        <v>10</v>
      </c>
      <c r="F96" s="12" t="s">
        <v>2342</v>
      </c>
      <c r="G96" s="12" t="s">
        <v>2332</v>
      </c>
      <c r="H96" s="11" t="s">
        <v>77</v>
      </c>
      <c r="I96" s="12"/>
      <c r="J96" s="11" t="s">
        <v>2330</v>
      </c>
      <c r="K96" s="11"/>
      <c r="L96" s="11" t="n">
        <f aca="false">IF(E96="","",IF(OR(AND(K96="Plan A",'All weeks'!$C$5="B"),AND(K96="Plan B",'All weeks'!$C$5="A")),0,IF(H96="Yes",E96,E96*IF(B96="Year 7",'All weeks'!$C$3,'All weeks'!$C$4))))</f>
        <v>10</v>
      </c>
    </row>
    <row r="97" customFormat="false" ht="15" hidden="false" customHeight="false" outlineLevel="0" collapsed="false">
      <c r="A97" s="11" t="n">
        <v>3</v>
      </c>
      <c r="B97" s="12" t="s">
        <v>39</v>
      </c>
      <c r="C97" s="12" t="s">
        <v>2350</v>
      </c>
      <c r="D97" s="12" t="s">
        <v>2435</v>
      </c>
      <c r="E97" s="11" t="n">
        <v>5</v>
      </c>
      <c r="F97" s="19" t="s">
        <v>2328</v>
      </c>
      <c r="G97" s="12" t="s">
        <v>2329</v>
      </c>
      <c r="H97" s="11" t="s">
        <v>2330</v>
      </c>
      <c r="I97" s="12" t="s">
        <v>2429</v>
      </c>
      <c r="J97" s="11" t="s">
        <v>2330</v>
      </c>
      <c r="K97" s="11"/>
      <c r="L97" s="11" t="n">
        <f aca="false">IF(E97="","",IF(OR(AND(K97="Plan A",'All weeks'!$C$5="B"),AND(K97="Plan B",'All weeks'!$C$5="A")),0,IF(H97="Yes",E97,E97*IF(B97="Year 7",'All weeks'!$C$3,'All weeks'!$C$4))))</f>
        <v>5</v>
      </c>
    </row>
    <row r="98" customFormat="false" ht="46.25" hidden="false" customHeight="false" outlineLevel="0" collapsed="false">
      <c r="A98" s="11" t="n">
        <v>3</v>
      </c>
      <c r="B98" s="12" t="s">
        <v>39</v>
      </c>
      <c r="C98" s="12" t="s">
        <v>2352</v>
      </c>
      <c r="D98" s="12" t="s">
        <v>2436</v>
      </c>
      <c r="E98" s="11" t="n">
        <v>10</v>
      </c>
      <c r="F98" s="19" t="s">
        <v>2328</v>
      </c>
      <c r="G98" s="12" t="s">
        <v>2329</v>
      </c>
      <c r="H98" s="11" t="s">
        <v>2330</v>
      </c>
      <c r="I98" s="12"/>
      <c r="J98" s="11" t="s">
        <v>2330</v>
      </c>
      <c r="K98" s="11"/>
      <c r="L98" s="11" t="n">
        <f aca="false">IF(E98="","",IF(OR(AND(K98="Plan A",'All weeks'!$C$5="B"),AND(K98="Plan B",'All weeks'!$C$5="A")),0,IF(H98="Yes",E98,E98*IF(B98="Year 7",'All weeks'!$C$3,'All weeks'!$C$4))))</f>
        <v>10</v>
      </c>
    </row>
    <row r="99" customFormat="false" ht="23.85" hidden="false" customHeight="false" outlineLevel="0" collapsed="false">
      <c r="A99" s="11" t="n">
        <v>3</v>
      </c>
      <c r="B99" s="12" t="s">
        <v>39</v>
      </c>
      <c r="C99" s="12" t="s">
        <v>2358</v>
      </c>
      <c r="D99" s="12" t="s">
        <v>2437</v>
      </c>
      <c r="E99" s="11" t="n">
        <v>5</v>
      </c>
      <c r="F99" s="19" t="s">
        <v>2328</v>
      </c>
      <c r="G99" s="12" t="s">
        <v>2332</v>
      </c>
      <c r="H99" s="11" t="s">
        <v>2330</v>
      </c>
      <c r="I99" s="12" t="s">
        <v>2429</v>
      </c>
      <c r="J99" s="11" t="s">
        <v>2330</v>
      </c>
      <c r="K99" s="11"/>
      <c r="L99" s="11" t="n">
        <f aca="false">IF(E99="","",IF(OR(AND(K99="Plan A",'All weeks'!$C$5="B"),AND(K99="Plan B",'All weeks'!$C$5="A")),0,IF(H99="Yes",E99,E99*IF(B99="Year 7",'All weeks'!$C$3,'All weeks'!$C$4))))</f>
        <v>5</v>
      </c>
    </row>
    <row r="100" customFormat="false" ht="35.05" hidden="false" customHeight="false" outlineLevel="0" collapsed="false">
      <c r="A100" s="11" t="n">
        <v>3</v>
      </c>
      <c r="B100" s="12" t="s">
        <v>39</v>
      </c>
      <c r="C100" s="12" t="s">
        <v>2358</v>
      </c>
      <c r="D100" s="12" t="s">
        <v>2438</v>
      </c>
      <c r="E100" s="11" t="n">
        <v>5</v>
      </c>
      <c r="F100" s="19" t="s">
        <v>2328</v>
      </c>
      <c r="G100" s="12" t="s">
        <v>2329</v>
      </c>
      <c r="H100" s="11" t="s">
        <v>2330</v>
      </c>
      <c r="I100" s="12"/>
      <c r="J100" s="11" t="s">
        <v>2330</v>
      </c>
      <c r="K100" s="11"/>
      <c r="L100" s="11" t="n">
        <f aca="false">IF(E100="","",IF(OR(AND(K100="Plan A",'All weeks'!$C$5="B"),AND(K100="Plan B",'All weeks'!$C$5="A")),0,IF(H100="Yes",E100,E100*IF(B100="Year 7",'All weeks'!$C$3,'All weeks'!$C$4))))</f>
        <v>5</v>
      </c>
    </row>
    <row r="101" customFormat="false" ht="23.85" hidden="false" customHeight="false" outlineLevel="0" collapsed="false">
      <c r="A101" s="11" t="n">
        <v>3</v>
      </c>
      <c r="B101" s="12" t="s">
        <v>39</v>
      </c>
      <c r="C101" s="12" t="s">
        <v>2358</v>
      </c>
      <c r="D101" s="12" t="s">
        <v>2439</v>
      </c>
      <c r="E101" s="11" t="n">
        <v>10</v>
      </c>
      <c r="F101" s="19" t="s">
        <v>2328</v>
      </c>
      <c r="G101" s="12" t="s">
        <v>2332</v>
      </c>
      <c r="H101" s="11" t="s">
        <v>2330</v>
      </c>
      <c r="I101" s="12"/>
      <c r="J101" s="11" t="s">
        <v>2330</v>
      </c>
      <c r="K101" s="11"/>
      <c r="L101" s="11" t="n">
        <f aca="false">IF(E101="","",IF(OR(AND(K101="Plan A",'All weeks'!$C$5="B"),AND(K101="Plan B",'All weeks'!$C$5="A")),0,IF(H101="Yes",E101,E101*IF(B101="Year 7",'All weeks'!$C$3,'All weeks'!$C$4))))</f>
        <v>10</v>
      </c>
    </row>
    <row r="102" customFormat="false" ht="35.05" hidden="false" customHeight="false" outlineLevel="0" collapsed="false">
      <c r="A102" s="11" t="n">
        <v>3</v>
      </c>
      <c r="B102" s="12" t="s">
        <v>153</v>
      </c>
      <c r="C102" s="12" t="s">
        <v>2326</v>
      </c>
      <c r="D102" s="12" t="s">
        <v>2440</v>
      </c>
      <c r="E102" s="11" t="n">
        <v>10</v>
      </c>
      <c r="F102" s="19" t="s">
        <v>2328</v>
      </c>
      <c r="G102" s="12" t="s">
        <v>2329</v>
      </c>
      <c r="H102" s="11" t="s">
        <v>77</v>
      </c>
      <c r="I102" s="12" t="s">
        <v>2441</v>
      </c>
      <c r="J102" s="11" t="s">
        <v>2330</v>
      </c>
      <c r="K102" s="11"/>
      <c r="L102" s="11" t="n">
        <f aca="false">IF(E102="","",IF(OR(AND(K102="Plan A",'All weeks'!$C$5="B"),AND(K102="Plan B",'All weeks'!$C$5="A")),0,IF(H102="Yes",E102,E102*IF(B102="Year 7",'All weeks'!$C$3,'All weeks'!$C$4))))</f>
        <v>10</v>
      </c>
    </row>
    <row r="103" customFormat="false" ht="23.85" hidden="false" customHeight="false" outlineLevel="0" collapsed="false">
      <c r="A103" s="11" t="n">
        <v>3</v>
      </c>
      <c r="B103" s="12" t="s">
        <v>153</v>
      </c>
      <c r="C103" s="12" t="s">
        <v>2326</v>
      </c>
      <c r="D103" s="12" t="s">
        <v>2442</v>
      </c>
      <c r="E103" s="11" t="n">
        <v>2</v>
      </c>
      <c r="F103" s="19" t="s">
        <v>2328</v>
      </c>
      <c r="G103" s="12" t="s">
        <v>2332</v>
      </c>
      <c r="H103" s="11" t="s">
        <v>77</v>
      </c>
      <c r="I103" s="12"/>
      <c r="J103" s="11" t="s">
        <v>2330</v>
      </c>
      <c r="K103" s="11"/>
      <c r="L103" s="11" t="n">
        <f aca="false">IF(E103="","",IF(OR(AND(K103="Plan A",'All weeks'!$C$5="B"),AND(K103="Plan B",'All weeks'!$C$5="A")),0,IF(H103="Yes",E103,E103*IF(B103="Year 7",'All weeks'!$C$3,'All weeks'!$C$4))))</f>
        <v>2</v>
      </c>
    </row>
    <row r="104" customFormat="false" ht="68.65" hidden="false" customHeight="false" outlineLevel="0" collapsed="false">
      <c r="A104" s="11" t="n">
        <v>3</v>
      </c>
      <c r="B104" s="12" t="s">
        <v>153</v>
      </c>
      <c r="C104" s="12" t="s">
        <v>2326</v>
      </c>
      <c r="D104" s="12" t="s">
        <v>2443</v>
      </c>
      <c r="E104" s="11" t="n">
        <v>20</v>
      </c>
      <c r="F104" s="12" t="s">
        <v>2342</v>
      </c>
      <c r="G104" s="12" t="s">
        <v>2332</v>
      </c>
      <c r="H104" s="11" t="s">
        <v>77</v>
      </c>
      <c r="I104" s="12" t="s">
        <v>2444</v>
      </c>
      <c r="J104" s="11" t="s">
        <v>2330</v>
      </c>
      <c r="K104" s="11"/>
      <c r="L104" s="11" t="n">
        <f aca="false">IF(E104="","",IF(OR(AND(K104="Plan A",'All weeks'!$C$5="B"),AND(K104="Plan B",'All weeks'!$C$5="A")),0,IF(H104="Yes",E104,E104*IF(B104="Year 7",'All weeks'!$C$3,'All weeks'!$C$4))))</f>
        <v>20</v>
      </c>
    </row>
    <row r="105" customFormat="false" ht="23.85" hidden="false" customHeight="false" outlineLevel="0" collapsed="false">
      <c r="A105" s="11" t="n">
        <v>3</v>
      </c>
      <c r="B105" s="12" t="s">
        <v>153</v>
      </c>
      <c r="C105" s="12" t="s">
        <v>2334</v>
      </c>
      <c r="D105" s="12" t="s">
        <v>2445</v>
      </c>
      <c r="E105" s="11" t="n">
        <v>10</v>
      </c>
      <c r="F105" s="19" t="s">
        <v>2328</v>
      </c>
      <c r="G105" s="12" t="s">
        <v>2329</v>
      </c>
      <c r="H105" s="11" t="s">
        <v>77</v>
      </c>
      <c r="I105" s="12" t="s">
        <v>2441</v>
      </c>
      <c r="J105" s="11" t="s">
        <v>2330</v>
      </c>
      <c r="K105" s="11"/>
      <c r="L105" s="11" t="n">
        <f aca="false">IF(E105="","",IF(OR(AND(K105="Plan A",'All weeks'!$C$5="B"),AND(K105="Plan B",'All weeks'!$C$5="A")),0,IF(H105="Yes",E105,E105*IF(B105="Year 7",'All weeks'!$C$3,'All weeks'!$C$4))))</f>
        <v>10</v>
      </c>
    </row>
    <row r="106" customFormat="false" ht="35.05" hidden="false" customHeight="false" outlineLevel="0" collapsed="false">
      <c r="A106" s="11" t="n">
        <v>3</v>
      </c>
      <c r="B106" s="12" t="s">
        <v>153</v>
      </c>
      <c r="C106" s="12" t="s">
        <v>2334</v>
      </c>
      <c r="D106" s="12" t="s">
        <v>2446</v>
      </c>
      <c r="E106" s="11" t="n">
        <v>5</v>
      </c>
      <c r="F106" s="19" t="s">
        <v>2328</v>
      </c>
      <c r="G106" s="12" t="s">
        <v>2340</v>
      </c>
      <c r="H106" s="11" t="s">
        <v>77</v>
      </c>
      <c r="I106" s="12"/>
      <c r="J106" s="11" t="s">
        <v>2330</v>
      </c>
      <c r="K106" s="11"/>
      <c r="L106" s="11" t="n">
        <f aca="false">IF(E106="","",IF(OR(AND(K106="Plan A",'All weeks'!$C$5="B"),AND(K106="Plan B",'All weeks'!$C$5="A")),0,IF(H106="Yes",E106,E106*IF(B106="Year 7",'All weeks'!$C$3,'All weeks'!$C$4))))</f>
        <v>5</v>
      </c>
    </row>
    <row r="107" customFormat="false" ht="23.85" hidden="false" customHeight="false" outlineLevel="0" collapsed="false">
      <c r="A107" s="11" t="n">
        <v>3</v>
      </c>
      <c r="B107" s="12" t="s">
        <v>153</v>
      </c>
      <c r="C107" s="12" t="s">
        <v>2334</v>
      </c>
      <c r="D107" s="12" t="s">
        <v>2447</v>
      </c>
      <c r="E107" s="11" t="n">
        <v>10</v>
      </c>
      <c r="F107" s="19" t="s">
        <v>2328</v>
      </c>
      <c r="G107" s="12" t="s">
        <v>2329</v>
      </c>
      <c r="H107" s="11" t="s">
        <v>77</v>
      </c>
      <c r="I107" s="12"/>
      <c r="J107" s="11" t="s">
        <v>2330</v>
      </c>
      <c r="K107" s="11"/>
      <c r="L107" s="11" t="n">
        <f aca="false">IF(E107="","",IF(OR(AND(K107="Plan A",'All weeks'!$C$5="B"),AND(K107="Plan B",'All weeks'!$C$5="A")),0,IF(H107="Yes",E107,E107*IF(B107="Year 7",'All weeks'!$C$3,'All weeks'!$C$4))))</f>
        <v>10</v>
      </c>
    </row>
    <row r="108" customFormat="false" ht="35.05" hidden="false" customHeight="false" outlineLevel="0" collapsed="false">
      <c r="A108" s="11" t="n">
        <v>3</v>
      </c>
      <c r="B108" s="12" t="s">
        <v>153</v>
      </c>
      <c r="C108" s="12" t="s">
        <v>2334</v>
      </c>
      <c r="D108" s="12" t="s">
        <v>2448</v>
      </c>
      <c r="E108" s="11" t="n">
        <v>10</v>
      </c>
      <c r="F108" s="12" t="s">
        <v>2342</v>
      </c>
      <c r="G108" s="12" t="s">
        <v>2329</v>
      </c>
      <c r="H108" s="11" t="s">
        <v>2330</v>
      </c>
      <c r="I108" s="12" t="s">
        <v>2449</v>
      </c>
      <c r="J108" s="11" t="s">
        <v>2330</v>
      </c>
      <c r="K108" s="11"/>
      <c r="L108" s="11" t="n">
        <f aca="false">IF(E108="","",IF(OR(AND(K108="Plan A",'All weeks'!$C$5="B"),AND(K108="Plan B",'All weeks'!$C$5="A")),0,IF(H108="Yes",E108,E108*IF(B108="Year 7",'All weeks'!$C$3,'All weeks'!$C$4))))</f>
        <v>10</v>
      </c>
    </row>
    <row r="109" customFormat="false" ht="23.85" hidden="false" customHeight="false" outlineLevel="0" collapsed="false">
      <c r="A109" s="11" t="n">
        <v>3</v>
      </c>
      <c r="B109" s="12" t="s">
        <v>153</v>
      </c>
      <c r="C109" s="12" t="s">
        <v>2350</v>
      </c>
      <c r="D109" s="12" t="s">
        <v>2450</v>
      </c>
      <c r="E109" s="11" t="n">
        <v>10</v>
      </c>
      <c r="F109" s="12" t="s">
        <v>2342</v>
      </c>
      <c r="G109" s="12" t="s">
        <v>2332</v>
      </c>
      <c r="H109" s="11" t="s">
        <v>2330</v>
      </c>
      <c r="I109" s="12"/>
      <c r="J109" s="11" t="s">
        <v>105</v>
      </c>
      <c r="K109" s="11"/>
      <c r="L109" s="11" t="n">
        <f aca="false">IF(E109="","",IF(OR(AND(K109="Plan A",'All weeks'!$C$5="B"),AND(K109="Plan B",'All weeks'!$C$5="A")),0,IF(H109="Yes",E109,E109*IF(B109="Year 7",'All weeks'!$C$3,'All weeks'!$C$4))))</f>
        <v>10</v>
      </c>
    </row>
    <row r="110" customFormat="false" ht="46.25" hidden="false" customHeight="false" outlineLevel="0" collapsed="false">
      <c r="A110" s="11" t="n">
        <v>3</v>
      </c>
      <c r="B110" s="12" t="s">
        <v>153</v>
      </c>
      <c r="C110" s="12" t="s">
        <v>2352</v>
      </c>
      <c r="D110" s="12" t="s">
        <v>2451</v>
      </c>
      <c r="E110" s="11" t="n">
        <v>10</v>
      </c>
      <c r="F110" s="19" t="s">
        <v>2328</v>
      </c>
      <c r="G110" s="12" t="s">
        <v>2329</v>
      </c>
      <c r="H110" s="11" t="s">
        <v>2330</v>
      </c>
      <c r="I110" s="12"/>
      <c r="J110" s="11" t="s">
        <v>2330</v>
      </c>
      <c r="K110" s="11"/>
      <c r="L110" s="11" t="n">
        <f aca="false">IF(E110="","",IF(OR(AND(K110="Plan A",'All weeks'!$C$5="B"),AND(K110="Plan B",'All weeks'!$C$5="A")),0,IF(H110="Yes",E110,E110*IF(B110="Year 7",'All weeks'!$C$3,'All weeks'!$C$4))))</f>
        <v>10</v>
      </c>
    </row>
    <row r="111" customFormat="false" ht="35.05" hidden="false" customHeight="false" outlineLevel="0" collapsed="false">
      <c r="A111" s="11" t="n">
        <v>3</v>
      </c>
      <c r="B111" s="12" t="s">
        <v>153</v>
      </c>
      <c r="C111" s="12" t="s">
        <v>2355</v>
      </c>
      <c r="D111" s="12" t="s">
        <v>2452</v>
      </c>
      <c r="E111" s="11" t="n">
        <v>5</v>
      </c>
      <c r="F111" s="12" t="s">
        <v>2417</v>
      </c>
      <c r="G111" s="12" t="s">
        <v>2357</v>
      </c>
      <c r="H111" s="11" t="s">
        <v>2330</v>
      </c>
      <c r="I111" s="12"/>
      <c r="J111" s="11" t="s">
        <v>2330</v>
      </c>
      <c r="K111" s="11"/>
      <c r="L111" s="11" t="n">
        <f aca="false">IF(E111="","",IF(OR(AND(K111="Plan A",'All weeks'!$C$5="B"),AND(K111="Plan B",'All weeks'!$C$5="A")),0,IF(H111="Yes",E111,E111*IF(B111="Year 7",'All weeks'!$C$3,'All weeks'!$C$4))))</f>
        <v>5</v>
      </c>
    </row>
    <row r="112" customFormat="false" ht="35.05" hidden="false" customHeight="false" outlineLevel="0" collapsed="false">
      <c r="A112" s="11" t="n">
        <v>3</v>
      </c>
      <c r="B112" s="12" t="s">
        <v>153</v>
      </c>
      <c r="C112" s="12" t="s">
        <v>2358</v>
      </c>
      <c r="D112" s="12" t="s">
        <v>2453</v>
      </c>
      <c r="E112" s="11" t="n">
        <v>3</v>
      </c>
      <c r="F112" s="19" t="s">
        <v>2328</v>
      </c>
      <c r="G112" s="12" t="s">
        <v>2357</v>
      </c>
      <c r="H112" s="11" t="s">
        <v>2330</v>
      </c>
      <c r="I112" s="12"/>
      <c r="J112" s="11" t="s">
        <v>2330</v>
      </c>
      <c r="K112" s="11"/>
      <c r="L112" s="11" t="n">
        <f aca="false">IF(E112="","",IF(OR(AND(K112="Plan A",'All weeks'!$C$5="B"),AND(K112="Plan B",'All weeks'!$C$5="A")),0,IF(H112="Yes",E112,E112*IF(B112="Year 7",'All weeks'!$C$3,'All weeks'!$C$4))))</f>
        <v>3</v>
      </c>
    </row>
    <row r="113" customFormat="false" ht="35.05" hidden="false" customHeight="false" outlineLevel="0" collapsed="false">
      <c r="A113" s="11" t="n">
        <v>3</v>
      </c>
      <c r="B113" s="12" t="s">
        <v>153</v>
      </c>
      <c r="C113" s="12" t="s">
        <v>2358</v>
      </c>
      <c r="D113" s="12" t="s">
        <v>2454</v>
      </c>
      <c r="E113" s="11" t="n">
        <v>10</v>
      </c>
      <c r="F113" s="19" t="s">
        <v>2328</v>
      </c>
      <c r="G113" s="12" t="s">
        <v>2329</v>
      </c>
      <c r="H113" s="11" t="s">
        <v>2330</v>
      </c>
      <c r="I113" s="12" t="s">
        <v>2455</v>
      </c>
      <c r="J113" s="11" t="s">
        <v>2330</v>
      </c>
      <c r="K113" s="11"/>
      <c r="L113" s="11" t="n">
        <f aca="false">IF(E113="","",IF(OR(AND(K113="Plan A",'All weeks'!$C$5="B"),AND(K113="Plan B",'All weeks'!$C$5="A")),0,IF(H113="Yes",E113,E113*IF(B113="Year 7",'All weeks'!$C$3,'All weeks'!$C$4))))</f>
        <v>10</v>
      </c>
    </row>
    <row r="114" customFormat="false" ht="23.85" hidden="false" customHeight="false" outlineLevel="0" collapsed="false">
      <c r="A114" s="11" t="n">
        <v>3</v>
      </c>
      <c r="B114" s="12" t="s">
        <v>153</v>
      </c>
      <c r="C114" s="12" t="s">
        <v>2358</v>
      </c>
      <c r="D114" s="12" t="s">
        <v>2456</v>
      </c>
      <c r="E114" s="11" t="n">
        <v>10</v>
      </c>
      <c r="F114" s="19" t="s">
        <v>2328</v>
      </c>
      <c r="G114" s="12" t="s">
        <v>2332</v>
      </c>
      <c r="H114" s="11" t="s">
        <v>2330</v>
      </c>
      <c r="I114" s="12"/>
      <c r="J114" s="11" t="s">
        <v>2330</v>
      </c>
      <c r="K114" s="11"/>
      <c r="L114" s="11" t="n">
        <f aca="false">IF(E114="","",IF(OR(AND(K114="Plan A",'All weeks'!$C$5="B"),AND(K114="Plan B",'All weeks'!$C$5="A")),0,IF(H114="Yes",E114,E114*IF(B114="Year 7",'All weeks'!$C$3,'All weeks'!$C$4))))</f>
        <v>10</v>
      </c>
    </row>
    <row r="115" customFormat="false" ht="35.05" hidden="false" customHeight="false" outlineLevel="0" collapsed="false">
      <c r="A115" s="14" t="n">
        <v>4</v>
      </c>
      <c r="B115" s="15" t="s">
        <v>39</v>
      </c>
      <c r="C115" s="15" t="s">
        <v>2326</v>
      </c>
      <c r="D115" s="15" t="s">
        <v>2457</v>
      </c>
      <c r="E115" s="14" t="n">
        <v>5</v>
      </c>
      <c r="F115" s="20" t="s">
        <v>2328</v>
      </c>
      <c r="G115" s="15" t="s">
        <v>2340</v>
      </c>
      <c r="H115" s="14" t="s">
        <v>77</v>
      </c>
      <c r="I115" s="15"/>
      <c r="J115" s="14" t="s">
        <v>2330</v>
      </c>
      <c r="K115" s="14"/>
      <c r="L115" s="14" t="n">
        <f aca="false">IF(E115="","",IF(OR(AND(K115="Plan A",'All weeks'!$C$5="B"),AND(K115="Plan B",'All weeks'!$C$5="A")),0,IF(H115="Yes",E115,E115*IF(B115="Year 7",'All weeks'!$C$3,'All weeks'!$C$4))))</f>
        <v>5</v>
      </c>
    </row>
    <row r="116" customFormat="false" ht="35.05" hidden="false" customHeight="false" outlineLevel="0" collapsed="false">
      <c r="A116" s="14" t="n">
        <v>4</v>
      </c>
      <c r="B116" s="15" t="s">
        <v>39</v>
      </c>
      <c r="C116" s="15" t="s">
        <v>2334</v>
      </c>
      <c r="D116" s="15" t="s">
        <v>2458</v>
      </c>
      <c r="E116" s="14" t="n">
        <v>3</v>
      </c>
      <c r="F116" s="20" t="s">
        <v>2328</v>
      </c>
      <c r="G116" s="15" t="s">
        <v>2340</v>
      </c>
      <c r="H116" s="14" t="s">
        <v>2330</v>
      </c>
      <c r="I116" s="15"/>
      <c r="J116" s="14" t="s">
        <v>2330</v>
      </c>
      <c r="K116" s="14"/>
      <c r="L116" s="14" t="n">
        <f aca="false">IF(E116="","",IF(OR(AND(K116="Plan A",'All weeks'!$C$5="B"),AND(K116="Plan B",'All weeks'!$C$5="A")),0,IF(H116="Yes",E116,E116*IF(B116="Year 7",'All weeks'!$C$3,'All weeks'!$C$4))))</f>
        <v>3</v>
      </c>
    </row>
    <row r="117" customFormat="false" ht="15" hidden="false" customHeight="false" outlineLevel="0" collapsed="false">
      <c r="A117" s="14" t="n">
        <v>4</v>
      </c>
      <c r="B117" s="15" t="s">
        <v>39</v>
      </c>
      <c r="C117" s="15" t="s">
        <v>2334</v>
      </c>
      <c r="D117" s="15" t="s">
        <v>2459</v>
      </c>
      <c r="E117" s="14" t="n">
        <v>2</v>
      </c>
      <c r="F117" s="15" t="s">
        <v>2342</v>
      </c>
      <c r="G117" s="15" t="s">
        <v>2329</v>
      </c>
      <c r="H117" s="14" t="s">
        <v>2330</v>
      </c>
      <c r="I117" s="15" t="s">
        <v>2460</v>
      </c>
      <c r="J117" s="14" t="s">
        <v>2330</v>
      </c>
      <c r="K117" s="14"/>
      <c r="L117" s="14" t="n">
        <f aca="false">IF(E117="","",IF(OR(AND(K117="Plan A",'All weeks'!$C$5="B"),AND(K117="Plan B",'All weeks'!$C$5="A")),0,IF(H117="Yes",E117,E117*IF(B117="Year 7",'All weeks'!$C$3,'All weeks'!$C$4))))</f>
        <v>2</v>
      </c>
    </row>
    <row r="118" customFormat="false" ht="15" hidden="false" customHeight="false" outlineLevel="0" collapsed="false">
      <c r="A118" s="14" t="n">
        <v>4</v>
      </c>
      <c r="B118" s="15" t="s">
        <v>39</v>
      </c>
      <c r="C118" s="15" t="s">
        <v>2334</v>
      </c>
      <c r="D118" s="15" t="s">
        <v>2461</v>
      </c>
      <c r="E118" s="14" t="n">
        <v>5</v>
      </c>
      <c r="F118" s="20" t="s">
        <v>2328</v>
      </c>
      <c r="G118" s="15" t="s">
        <v>2329</v>
      </c>
      <c r="H118" s="14" t="s">
        <v>2330</v>
      </c>
      <c r="I118" s="15" t="s">
        <v>2460</v>
      </c>
      <c r="J118" s="14" t="s">
        <v>105</v>
      </c>
      <c r="K118" s="14"/>
      <c r="L118" s="14" t="n">
        <f aca="false">IF(E118="","",IF(OR(AND(K118="Plan A",'All weeks'!$C$5="B"),AND(K118="Plan B",'All weeks'!$C$5="A")),0,IF(H118="Yes",E118,E118*IF(B118="Year 7",'All weeks'!$C$3,'All weeks'!$C$4))))</f>
        <v>5</v>
      </c>
    </row>
    <row r="119" customFormat="false" ht="23.85" hidden="false" customHeight="false" outlineLevel="0" collapsed="false">
      <c r="A119" s="14" t="n">
        <v>4</v>
      </c>
      <c r="B119" s="15" t="s">
        <v>39</v>
      </c>
      <c r="C119" s="15" t="s">
        <v>2334</v>
      </c>
      <c r="D119" s="15" t="s">
        <v>2462</v>
      </c>
      <c r="E119" s="14" t="n">
        <v>10</v>
      </c>
      <c r="F119" s="15" t="s">
        <v>2342</v>
      </c>
      <c r="G119" s="15" t="s">
        <v>2329</v>
      </c>
      <c r="H119" s="14" t="s">
        <v>2330</v>
      </c>
      <c r="I119" s="15"/>
      <c r="J119" s="14" t="s">
        <v>2330</v>
      </c>
      <c r="K119" s="14"/>
      <c r="L119" s="14" t="n">
        <f aca="false">IF(E119="","",IF(OR(AND(K119="Plan A",'All weeks'!$C$5="B"),AND(K119="Plan B",'All weeks'!$C$5="A")),0,IF(H119="Yes",E119,E119*IF(B119="Year 7",'All weeks'!$C$3,'All weeks'!$C$4))))</f>
        <v>10</v>
      </c>
    </row>
    <row r="120" customFormat="false" ht="23.85" hidden="false" customHeight="false" outlineLevel="0" collapsed="false">
      <c r="A120" s="14" t="n">
        <v>4</v>
      </c>
      <c r="B120" s="15" t="s">
        <v>39</v>
      </c>
      <c r="C120" s="15" t="s">
        <v>2334</v>
      </c>
      <c r="D120" s="15" t="s">
        <v>2463</v>
      </c>
      <c r="E120" s="14" t="n">
        <v>3</v>
      </c>
      <c r="F120" s="15" t="s">
        <v>2342</v>
      </c>
      <c r="G120" s="15" t="s">
        <v>2329</v>
      </c>
      <c r="H120" s="14" t="s">
        <v>77</v>
      </c>
      <c r="I120" s="15"/>
      <c r="J120" s="14" t="s">
        <v>2330</v>
      </c>
      <c r="K120" s="14"/>
      <c r="L120" s="14" t="n">
        <f aca="false">IF(E120="","",IF(OR(AND(K120="Plan A",'All weeks'!$C$5="B"),AND(K120="Plan B",'All weeks'!$C$5="A")),0,IF(H120="Yes",E120,E120*IF(B120="Year 7",'All weeks'!$C$3,'All weeks'!$C$4))))</f>
        <v>3</v>
      </c>
    </row>
    <row r="121" customFormat="false" ht="23.85" hidden="false" customHeight="false" outlineLevel="0" collapsed="false">
      <c r="A121" s="14" t="n">
        <v>4</v>
      </c>
      <c r="B121" s="15" t="s">
        <v>39</v>
      </c>
      <c r="C121" s="15" t="s">
        <v>2350</v>
      </c>
      <c r="D121" s="15" t="s">
        <v>2464</v>
      </c>
      <c r="E121" s="14" t="n">
        <v>5</v>
      </c>
      <c r="F121" s="20" t="s">
        <v>2328</v>
      </c>
      <c r="G121" s="15" t="s">
        <v>2329</v>
      </c>
      <c r="H121" s="14" t="s">
        <v>77</v>
      </c>
      <c r="I121" s="15"/>
      <c r="J121" s="14" t="s">
        <v>2330</v>
      </c>
      <c r="K121" s="14"/>
      <c r="L121" s="14" t="n">
        <f aca="false">IF(E121="","",IF(OR(AND(K121="Plan A",'All weeks'!$C$5="B"),AND(K121="Plan B",'All weeks'!$C$5="A")),0,IF(H121="Yes",E121,E121*IF(B121="Year 7",'All weeks'!$C$3,'All weeks'!$C$4))))</f>
        <v>5</v>
      </c>
    </row>
    <row r="122" customFormat="false" ht="23.85" hidden="false" customHeight="false" outlineLevel="0" collapsed="false">
      <c r="A122" s="14" t="n">
        <v>4</v>
      </c>
      <c r="B122" s="15" t="s">
        <v>39</v>
      </c>
      <c r="C122" s="15" t="s">
        <v>2350</v>
      </c>
      <c r="D122" s="15" t="s">
        <v>2465</v>
      </c>
      <c r="E122" s="14" t="n">
        <v>2</v>
      </c>
      <c r="F122" s="20" t="s">
        <v>2328</v>
      </c>
      <c r="G122" s="15" t="s">
        <v>2332</v>
      </c>
      <c r="H122" s="14" t="s">
        <v>77</v>
      </c>
      <c r="I122" s="15"/>
      <c r="J122" s="14" t="s">
        <v>2330</v>
      </c>
      <c r="K122" s="14"/>
      <c r="L122" s="14" t="n">
        <f aca="false">IF(E122="","",IF(OR(AND(K122="Plan A",'All weeks'!$C$5="B"),AND(K122="Plan B",'All weeks'!$C$5="A")),0,IF(H122="Yes",E122,E122*IF(B122="Year 7",'All weeks'!$C$3,'All weeks'!$C$4))))</f>
        <v>2</v>
      </c>
    </row>
    <row r="123" customFormat="false" ht="35.05" hidden="false" customHeight="false" outlineLevel="0" collapsed="false">
      <c r="A123" s="14" t="n">
        <v>4</v>
      </c>
      <c r="B123" s="15" t="s">
        <v>39</v>
      </c>
      <c r="C123" s="15" t="s">
        <v>2350</v>
      </c>
      <c r="D123" s="15" t="s">
        <v>2466</v>
      </c>
      <c r="E123" s="14" t="n">
        <v>5</v>
      </c>
      <c r="F123" s="20" t="s">
        <v>2328</v>
      </c>
      <c r="G123" s="15" t="s">
        <v>2332</v>
      </c>
      <c r="H123" s="14" t="s">
        <v>2330</v>
      </c>
      <c r="I123" s="15"/>
      <c r="J123" s="14" t="s">
        <v>2330</v>
      </c>
      <c r="K123" s="14"/>
      <c r="L123" s="14" t="n">
        <f aca="false">IF(E123="","",IF(OR(AND(K123="Plan A",'All weeks'!$C$5="B"),AND(K123="Plan B",'All weeks'!$C$5="A")),0,IF(H123="Yes",E123,E123*IF(B123="Year 7",'All weeks'!$C$3,'All weeks'!$C$4))))</f>
        <v>5</v>
      </c>
    </row>
    <row r="124" customFormat="false" ht="46.25" hidden="false" customHeight="false" outlineLevel="0" collapsed="false">
      <c r="A124" s="14" t="n">
        <v>4</v>
      </c>
      <c r="B124" s="15" t="s">
        <v>39</v>
      </c>
      <c r="C124" s="15" t="s">
        <v>2352</v>
      </c>
      <c r="D124" s="15" t="s">
        <v>2467</v>
      </c>
      <c r="E124" s="14" t="n">
        <v>5</v>
      </c>
      <c r="F124" s="20" t="s">
        <v>2328</v>
      </c>
      <c r="G124" s="15" t="s">
        <v>2332</v>
      </c>
      <c r="H124" s="14" t="s">
        <v>2330</v>
      </c>
      <c r="I124" s="15"/>
      <c r="J124" s="14" t="s">
        <v>2330</v>
      </c>
      <c r="K124" s="14"/>
      <c r="L124" s="14" t="n">
        <f aca="false">IF(E124="","",IF(OR(AND(K124="Plan A",'All weeks'!$C$5="B"),AND(K124="Plan B",'All weeks'!$C$5="A")),0,IF(H124="Yes",E124,E124*IF(B124="Year 7",'All weeks'!$C$3,'All weeks'!$C$4))))</f>
        <v>5</v>
      </c>
    </row>
    <row r="125" customFormat="false" ht="35.05" hidden="false" customHeight="false" outlineLevel="0" collapsed="false">
      <c r="A125" s="14" t="n">
        <v>4</v>
      </c>
      <c r="B125" s="15" t="s">
        <v>39</v>
      </c>
      <c r="C125" s="15" t="s">
        <v>2358</v>
      </c>
      <c r="D125" s="15" t="s">
        <v>2468</v>
      </c>
      <c r="E125" s="14" t="n">
        <v>3</v>
      </c>
      <c r="F125" s="20" t="s">
        <v>2328</v>
      </c>
      <c r="G125" s="15" t="s">
        <v>2357</v>
      </c>
      <c r="H125" s="14" t="s">
        <v>2330</v>
      </c>
      <c r="I125" s="15" t="s">
        <v>2469</v>
      </c>
      <c r="J125" s="14" t="s">
        <v>2330</v>
      </c>
      <c r="K125" s="14"/>
      <c r="L125" s="14" t="n">
        <f aca="false">IF(E125="","",IF(OR(AND(K125="Plan A",'All weeks'!$C$5="B"),AND(K125="Plan B",'All weeks'!$C$5="A")),0,IF(H125="Yes",E125,E125*IF(B125="Year 7",'All weeks'!$C$3,'All weeks'!$C$4))))</f>
        <v>3</v>
      </c>
    </row>
    <row r="126" customFormat="false" ht="35.05" hidden="false" customHeight="false" outlineLevel="0" collapsed="false">
      <c r="A126" s="14" t="n">
        <v>4</v>
      </c>
      <c r="B126" s="15" t="s">
        <v>39</v>
      </c>
      <c r="C126" s="15" t="s">
        <v>2358</v>
      </c>
      <c r="D126" s="15" t="s">
        <v>2470</v>
      </c>
      <c r="E126" s="14" t="n">
        <v>5</v>
      </c>
      <c r="F126" s="20" t="s">
        <v>2328</v>
      </c>
      <c r="G126" s="15" t="s">
        <v>2332</v>
      </c>
      <c r="H126" s="14" t="s">
        <v>2330</v>
      </c>
      <c r="I126" s="15" t="s">
        <v>2460</v>
      </c>
      <c r="J126" s="14" t="s">
        <v>2330</v>
      </c>
      <c r="K126" s="14"/>
      <c r="L126" s="14" t="n">
        <f aca="false">IF(E126="","",IF(OR(AND(K126="Plan A",'All weeks'!$C$5="B"),AND(K126="Plan B",'All weeks'!$C$5="A")),0,IF(H126="Yes",E126,E126*IF(B126="Year 7",'All weeks'!$C$3,'All weeks'!$C$4))))</f>
        <v>5</v>
      </c>
    </row>
    <row r="127" customFormat="false" ht="23.85" hidden="false" customHeight="false" outlineLevel="0" collapsed="false">
      <c r="A127" s="14" t="n">
        <v>4</v>
      </c>
      <c r="B127" s="15" t="s">
        <v>39</v>
      </c>
      <c r="C127" s="15" t="s">
        <v>2358</v>
      </c>
      <c r="D127" s="15" t="s">
        <v>2471</v>
      </c>
      <c r="E127" s="14" t="n">
        <v>10</v>
      </c>
      <c r="F127" s="20" t="s">
        <v>2328</v>
      </c>
      <c r="G127" s="15" t="s">
        <v>2332</v>
      </c>
      <c r="H127" s="14" t="s">
        <v>2330</v>
      </c>
      <c r="I127" s="15"/>
      <c r="J127" s="14" t="s">
        <v>2330</v>
      </c>
      <c r="K127" s="14"/>
      <c r="L127" s="14" t="n">
        <f aca="false">IF(E127="","",IF(OR(AND(K127="Plan A",'All weeks'!$C$5="B"),AND(K127="Plan B",'All weeks'!$C$5="A")),0,IF(H127="Yes",E127,E127*IF(B127="Year 7",'All weeks'!$C$3,'All weeks'!$C$4))))</f>
        <v>10</v>
      </c>
    </row>
    <row r="128" customFormat="false" ht="57.45" hidden="false" customHeight="false" outlineLevel="0" collapsed="false">
      <c r="A128" s="14" t="n">
        <v>4</v>
      </c>
      <c r="B128" s="15" t="s">
        <v>153</v>
      </c>
      <c r="C128" s="15" t="s">
        <v>2326</v>
      </c>
      <c r="D128" s="15" t="s">
        <v>2472</v>
      </c>
      <c r="E128" s="14" t="n">
        <v>5</v>
      </c>
      <c r="F128" s="20" t="s">
        <v>2328</v>
      </c>
      <c r="G128" s="15" t="s">
        <v>2340</v>
      </c>
      <c r="H128" s="14" t="s">
        <v>77</v>
      </c>
      <c r="I128" s="15" t="s">
        <v>2473</v>
      </c>
      <c r="J128" s="14" t="s">
        <v>2330</v>
      </c>
      <c r="K128" s="14"/>
      <c r="L128" s="14" t="n">
        <f aca="false">IF(E128="","",IF(OR(AND(K128="Plan A",'All weeks'!$C$5="B"),AND(K128="Plan B",'All weeks'!$C$5="A")),0,IF(H128="Yes",E128,E128*IF(B128="Year 7",'All weeks'!$C$3,'All weeks'!$C$4))))</f>
        <v>5</v>
      </c>
    </row>
    <row r="129" customFormat="false" ht="46.25" hidden="false" customHeight="false" outlineLevel="0" collapsed="false">
      <c r="A129" s="14" t="n">
        <v>4</v>
      </c>
      <c r="B129" s="15" t="s">
        <v>153</v>
      </c>
      <c r="C129" s="15" t="s">
        <v>2326</v>
      </c>
      <c r="D129" s="15" t="s">
        <v>2474</v>
      </c>
      <c r="E129" s="14" t="n">
        <v>10</v>
      </c>
      <c r="F129" s="20" t="s">
        <v>2328</v>
      </c>
      <c r="G129" s="15" t="s">
        <v>2332</v>
      </c>
      <c r="H129" s="14" t="s">
        <v>77</v>
      </c>
      <c r="I129" s="15" t="s">
        <v>2475</v>
      </c>
      <c r="J129" s="14" t="s">
        <v>2330</v>
      </c>
      <c r="K129" s="14"/>
      <c r="L129" s="14" t="n">
        <f aca="false">IF(E129="","",IF(OR(AND(K129="Plan A",'All weeks'!$C$5="B"),AND(K129="Plan B",'All weeks'!$C$5="A")),0,IF(H129="Yes",E129,E129*IF(B129="Year 7",'All weeks'!$C$3,'All weeks'!$C$4))))</f>
        <v>10</v>
      </c>
    </row>
    <row r="130" customFormat="false" ht="46.25" hidden="false" customHeight="false" outlineLevel="0" collapsed="false">
      <c r="A130" s="14" t="n">
        <v>4</v>
      </c>
      <c r="B130" s="15" t="s">
        <v>153</v>
      </c>
      <c r="C130" s="15" t="s">
        <v>2334</v>
      </c>
      <c r="D130" s="15" t="s">
        <v>2476</v>
      </c>
      <c r="E130" s="14" t="n">
        <v>5</v>
      </c>
      <c r="F130" s="20" t="s">
        <v>2328</v>
      </c>
      <c r="G130" s="15" t="s">
        <v>2329</v>
      </c>
      <c r="H130" s="14" t="s">
        <v>77</v>
      </c>
      <c r="I130" s="15" t="s">
        <v>2477</v>
      </c>
      <c r="J130" s="14" t="s">
        <v>2330</v>
      </c>
      <c r="K130" s="14"/>
      <c r="L130" s="14" t="n">
        <f aca="false">IF(E130="","",IF(OR(AND(K130="Plan A",'All weeks'!$C$5="B"),AND(K130="Plan B",'All weeks'!$C$5="A")),0,IF(H130="Yes",E130,E130*IF(B130="Year 7",'All weeks'!$C$3,'All weeks'!$C$4))))</f>
        <v>5</v>
      </c>
    </row>
    <row r="131" customFormat="false" ht="79.85" hidden="false" customHeight="false" outlineLevel="0" collapsed="false">
      <c r="A131" s="14" t="n">
        <v>4</v>
      </c>
      <c r="B131" s="15" t="s">
        <v>153</v>
      </c>
      <c r="C131" s="15" t="s">
        <v>2334</v>
      </c>
      <c r="D131" s="15" t="s">
        <v>2478</v>
      </c>
      <c r="E131" s="14" t="n">
        <v>15</v>
      </c>
      <c r="F131" s="15" t="s">
        <v>2342</v>
      </c>
      <c r="G131" s="15" t="s">
        <v>2332</v>
      </c>
      <c r="H131" s="14" t="s">
        <v>2330</v>
      </c>
      <c r="I131" s="15" t="s">
        <v>2479</v>
      </c>
      <c r="J131" s="14" t="s">
        <v>2330</v>
      </c>
      <c r="K131" s="14"/>
      <c r="L131" s="14" t="n">
        <f aca="false">IF(E131="","",IF(OR(AND(K131="Plan A",'All weeks'!$C$5="B"),AND(K131="Plan B",'All weeks'!$C$5="A")),0,IF(H131="Yes",E131,E131*IF(B131="Year 7",'All weeks'!$C$3,'All weeks'!$C$4))))</f>
        <v>15</v>
      </c>
    </row>
    <row r="132" customFormat="false" ht="15" hidden="false" customHeight="false" outlineLevel="0" collapsed="false">
      <c r="A132" s="14" t="n">
        <v>4</v>
      </c>
      <c r="B132" s="15" t="s">
        <v>153</v>
      </c>
      <c r="C132" s="15" t="s">
        <v>2334</v>
      </c>
      <c r="D132" s="15" t="s">
        <v>2480</v>
      </c>
      <c r="E132" s="14" t="n">
        <v>10</v>
      </c>
      <c r="F132" s="20" t="s">
        <v>2328</v>
      </c>
      <c r="G132" s="15" t="s">
        <v>2329</v>
      </c>
      <c r="H132" s="14" t="s">
        <v>77</v>
      </c>
      <c r="I132" s="15"/>
      <c r="J132" s="14" t="s">
        <v>2330</v>
      </c>
      <c r="K132" s="14"/>
      <c r="L132" s="14" t="n">
        <f aca="false">IF(E132="","",IF(OR(AND(K132="Plan A",'All weeks'!$C$5="B"),AND(K132="Plan B",'All weeks'!$C$5="A")),0,IF(H132="Yes",E132,E132*IF(B132="Year 7",'All weeks'!$C$3,'All weeks'!$C$4))))</f>
        <v>10</v>
      </c>
    </row>
    <row r="133" customFormat="false" ht="35.05" hidden="false" customHeight="false" outlineLevel="0" collapsed="false">
      <c r="A133" s="14" t="n">
        <v>4</v>
      </c>
      <c r="B133" s="15" t="s">
        <v>153</v>
      </c>
      <c r="C133" s="15" t="s">
        <v>2350</v>
      </c>
      <c r="D133" s="15" t="s">
        <v>2481</v>
      </c>
      <c r="E133" s="14" t="n">
        <v>5</v>
      </c>
      <c r="F133" s="20" t="s">
        <v>2328</v>
      </c>
      <c r="G133" s="15" t="s">
        <v>2332</v>
      </c>
      <c r="H133" s="14" t="s">
        <v>2330</v>
      </c>
      <c r="I133" s="15"/>
      <c r="J133" s="14" t="s">
        <v>2330</v>
      </c>
      <c r="K133" s="14"/>
      <c r="L133" s="14" t="n">
        <f aca="false">IF(E133="","",IF(OR(AND(K133="Plan A",'All weeks'!$C$5="B"),AND(K133="Plan B",'All weeks'!$C$5="A")),0,IF(H133="Yes",E133,E133*IF(B133="Year 7",'All weeks'!$C$3,'All weeks'!$C$4))))</f>
        <v>5</v>
      </c>
    </row>
    <row r="134" customFormat="false" ht="35.05" hidden="false" customHeight="false" outlineLevel="0" collapsed="false">
      <c r="A134" s="14" t="n">
        <v>4</v>
      </c>
      <c r="B134" s="15" t="s">
        <v>153</v>
      </c>
      <c r="C134" s="15" t="s">
        <v>2350</v>
      </c>
      <c r="D134" s="15" t="s">
        <v>2482</v>
      </c>
      <c r="E134" s="14" t="n">
        <v>5</v>
      </c>
      <c r="F134" s="20" t="s">
        <v>2328</v>
      </c>
      <c r="G134" s="15" t="s">
        <v>2332</v>
      </c>
      <c r="H134" s="14" t="s">
        <v>2330</v>
      </c>
      <c r="I134" s="15"/>
      <c r="J134" s="14" t="s">
        <v>2330</v>
      </c>
      <c r="K134" s="14"/>
      <c r="L134" s="14" t="n">
        <f aca="false">IF(E134="","",IF(OR(AND(K134="Plan A",'All weeks'!$C$5="B"),AND(K134="Plan B",'All weeks'!$C$5="A")),0,IF(H134="Yes",E134,E134*IF(B134="Year 7",'All weeks'!$C$3,'All weeks'!$C$4))))</f>
        <v>5</v>
      </c>
    </row>
    <row r="135" customFormat="false" ht="79.85" hidden="false" customHeight="false" outlineLevel="0" collapsed="false">
      <c r="A135" s="14" t="n">
        <v>4</v>
      </c>
      <c r="B135" s="15" t="s">
        <v>153</v>
      </c>
      <c r="C135" s="15" t="s">
        <v>2352</v>
      </c>
      <c r="D135" s="15" t="s">
        <v>2483</v>
      </c>
      <c r="E135" s="14" t="n">
        <v>15</v>
      </c>
      <c r="F135" s="20" t="s">
        <v>2328</v>
      </c>
      <c r="G135" s="15" t="s">
        <v>2329</v>
      </c>
      <c r="H135" s="14" t="s">
        <v>2330</v>
      </c>
      <c r="I135" s="15"/>
      <c r="J135" s="14" t="s">
        <v>2330</v>
      </c>
      <c r="K135" s="14"/>
      <c r="L135" s="14" t="n">
        <f aca="false">IF(E135="","",IF(OR(AND(K135="Plan A",'All weeks'!$C$5="B"),AND(K135="Plan B",'All weeks'!$C$5="A")),0,IF(H135="Yes",E135,E135*IF(B135="Year 7",'All weeks'!$C$3,'All weeks'!$C$4))))</f>
        <v>15</v>
      </c>
    </row>
    <row r="136" customFormat="false" ht="46.25" hidden="false" customHeight="false" outlineLevel="0" collapsed="false">
      <c r="A136" s="14" t="n">
        <v>4</v>
      </c>
      <c r="B136" s="15" t="s">
        <v>153</v>
      </c>
      <c r="C136" s="15" t="s">
        <v>2358</v>
      </c>
      <c r="D136" s="15" t="s">
        <v>2484</v>
      </c>
      <c r="E136" s="14" t="n">
        <v>4</v>
      </c>
      <c r="F136" s="20" t="s">
        <v>2328</v>
      </c>
      <c r="G136" s="15" t="s">
        <v>2357</v>
      </c>
      <c r="H136" s="14" t="s">
        <v>2330</v>
      </c>
      <c r="I136" s="15"/>
      <c r="J136" s="14" t="s">
        <v>2330</v>
      </c>
      <c r="K136" s="14"/>
      <c r="L136" s="14" t="n">
        <f aca="false">IF(E136="","",IF(OR(AND(K136="Plan A",'All weeks'!$C$5="B"),AND(K136="Plan B",'All weeks'!$C$5="A")),0,IF(H136="Yes",E136,E136*IF(B136="Year 7",'All weeks'!$C$3,'All weeks'!$C$4))))</f>
        <v>4</v>
      </c>
    </row>
    <row r="137" customFormat="false" ht="46.25" hidden="false" customHeight="false" outlineLevel="0" collapsed="false">
      <c r="A137" s="14" t="n">
        <v>4</v>
      </c>
      <c r="B137" s="15" t="s">
        <v>153</v>
      </c>
      <c r="C137" s="15" t="s">
        <v>2358</v>
      </c>
      <c r="D137" s="15" t="s">
        <v>2485</v>
      </c>
      <c r="E137" s="14" t="n">
        <v>15</v>
      </c>
      <c r="F137" s="20" t="s">
        <v>2328</v>
      </c>
      <c r="G137" s="15" t="s">
        <v>2329</v>
      </c>
      <c r="H137" s="14" t="s">
        <v>2330</v>
      </c>
      <c r="I137" s="15"/>
      <c r="J137" s="14" t="s">
        <v>2330</v>
      </c>
      <c r="K137" s="14"/>
      <c r="L137" s="14" t="n">
        <f aca="false">IF(E137="","",IF(OR(AND(K137="Plan A",'All weeks'!$C$5="B"),AND(K137="Plan B",'All weeks'!$C$5="A")),0,IF(H137="Yes",E137,E137*IF(B137="Year 7",'All weeks'!$C$3,'All weeks'!$C$4))))</f>
        <v>15</v>
      </c>
    </row>
    <row r="138" customFormat="false" ht="35.05" hidden="false" customHeight="false" outlineLevel="0" collapsed="false">
      <c r="A138" s="14" t="n">
        <v>4</v>
      </c>
      <c r="B138" s="15" t="s">
        <v>153</v>
      </c>
      <c r="C138" s="15" t="s">
        <v>2358</v>
      </c>
      <c r="D138" s="15" t="s">
        <v>2486</v>
      </c>
      <c r="E138" s="14" t="n">
        <v>10</v>
      </c>
      <c r="F138" s="20" t="s">
        <v>2328</v>
      </c>
      <c r="G138" s="15" t="s">
        <v>2332</v>
      </c>
      <c r="H138" s="14" t="s">
        <v>2330</v>
      </c>
      <c r="I138" s="15" t="s">
        <v>2487</v>
      </c>
      <c r="J138" s="14" t="s">
        <v>2330</v>
      </c>
      <c r="K138" s="14"/>
      <c r="L138" s="14" t="n">
        <f aca="false">IF(E138="","",IF(OR(AND(K138="Plan A",'All weeks'!$C$5="B"),AND(K138="Plan B",'All weeks'!$C$5="A")),0,IF(H138="Yes",E138,E138*IF(B138="Year 7",'All weeks'!$C$3,'All weeks'!$C$4))))</f>
        <v>10</v>
      </c>
    </row>
    <row r="139" customFormat="false" ht="23.85" hidden="false" customHeight="false" outlineLevel="0" collapsed="false">
      <c r="A139" s="14" t="n">
        <v>4</v>
      </c>
      <c r="B139" s="15" t="s">
        <v>153</v>
      </c>
      <c r="C139" s="15" t="s">
        <v>2358</v>
      </c>
      <c r="D139" s="15" t="s">
        <v>2488</v>
      </c>
      <c r="E139" s="14" t="n">
        <v>5</v>
      </c>
      <c r="F139" s="20" t="s">
        <v>2328</v>
      </c>
      <c r="G139" s="15" t="s">
        <v>2332</v>
      </c>
      <c r="H139" s="14" t="s">
        <v>77</v>
      </c>
      <c r="I139" s="15" t="s">
        <v>2489</v>
      </c>
      <c r="J139" s="14" t="s">
        <v>2330</v>
      </c>
      <c r="K139" s="14"/>
      <c r="L139" s="14" t="n">
        <f aca="false">IF(E139="","",IF(OR(AND(K139="Plan A",'All weeks'!$C$5="B"),AND(K139="Plan B",'All weeks'!$C$5="A")),0,IF(H139="Yes",E139,E139*IF(B139="Year 7",'All weeks'!$C$3,'All weeks'!$C$4))))</f>
        <v>5</v>
      </c>
    </row>
    <row r="140" customFormat="false" ht="23.85" hidden="false" customHeight="false" outlineLevel="0" collapsed="false">
      <c r="A140" s="14" t="n">
        <v>4</v>
      </c>
      <c r="B140" s="15" t="s">
        <v>153</v>
      </c>
      <c r="C140" s="15" t="s">
        <v>2358</v>
      </c>
      <c r="D140" s="15" t="s">
        <v>2490</v>
      </c>
      <c r="E140" s="14" t="n">
        <v>2</v>
      </c>
      <c r="F140" s="20" t="s">
        <v>2328</v>
      </c>
      <c r="G140" s="15" t="s">
        <v>2329</v>
      </c>
      <c r="H140" s="14" t="s">
        <v>77</v>
      </c>
      <c r="I140" s="15" t="s">
        <v>2491</v>
      </c>
      <c r="J140" s="14" t="s">
        <v>105</v>
      </c>
      <c r="K140" s="14"/>
      <c r="L140" s="14" t="n">
        <f aca="false">IF(E140="","",IF(OR(AND(K140="Plan A",'All weeks'!$C$5="B"),AND(K140="Plan B",'All weeks'!$C$5="A")),0,IF(H140="Yes",E140,E140*IF(B140="Year 7",'All weeks'!$C$3,'All weeks'!$C$4))))</f>
        <v>2</v>
      </c>
    </row>
    <row r="141" customFormat="false" ht="35.05" hidden="false" customHeight="false" outlineLevel="0" collapsed="false">
      <c r="A141" s="11" t="n">
        <v>5</v>
      </c>
      <c r="B141" s="12" t="s">
        <v>39</v>
      </c>
      <c r="C141" s="12" t="s">
        <v>2334</v>
      </c>
      <c r="D141" s="12" t="s">
        <v>2492</v>
      </c>
      <c r="E141" s="11" t="n">
        <v>5</v>
      </c>
      <c r="F141" s="12" t="s">
        <v>2342</v>
      </c>
      <c r="G141" s="12" t="s">
        <v>2340</v>
      </c>
      <c r="H141" s="11" t="s">
        <v>77</v>
      </c>
      <c r="I141" s="12"/>
      <c r="J141" s="11" t="s">
        <v>2330</v>
      </c>
      <c r="K141" s="11"/>
      <c r="L141" s="11" t="n">
        <f aca="false">IF(E141="","",IF(OR(AND(K141="Plan A",'All weeks'!$C$5="B"),AND(K141="Plan B",'All weeks'!$C$5="A")),0,IF(H141="Yes",E141,E141*IF(B141="Year 7",'All weeks'!$C$3,'All weeks'!$C$4))))</f>
        <v>5</v>
      </c>
    </row>
    <row r="142" customFormat="false" ht="23.85" hidden="false" customHeight="false" outlineLevel="0" collapsed="false">
      <c r="A142" s="11" t="n">
        <v>5</v>
      </c>
      <c r="B142" s="12" t="s">
        <v>39</v>
      </c>
      <c r="C142" s="12" t="s">
        <v>2334</v>
      </c>
      <c r="D142" s="12" t="s">
        <v>2493</v>
      </c>
      <c r="E142" s="11" t="n">
        <v>5</v>
      </c>
      <c r="F142" s="12" t="s">
        <v>2342</v>
      </c>
      <c r="G142" s="12" t="s">
        <v>2340</v>
      </c>
      <c r="H142" s="11" t="s">
        <v>77</v>
      </c>
      <c r="I142" s="12"/>
      <c r="J142" s="11" t="s">
        <v>2330</v>
      </c>
      <c r="K142" s="11"/>
      <c r="L142" s="11" t="n">
        <f aca="false">IF(E142="","",IF(OR(AND(K142="Plan A",'All weeks'!$C$5="B"),AND(K142="Plan B",'All weeks'!$C$5="A")),0,IF(H142="Yes",E142,E142*IF(B142="Year 7",'All weeks'!$C$3,'All weeks'!$C$4))))</f>
        <v>5</v>
      </c>
    </row>
    <row r="143" customFormat="false" ht="35.05" hidden="false" customHeight="false" outlineLevel="0" collapsed="false">
      <c r="A143" s="11" t="n">
        <v>5</v>
      </c>
      <c r="B143" s="12" t="s">
        <v>39</v>
      </c>
      <c r="C143" s="12" t="s">
        <v>2334</v>
      </c>
      <c r="D143" s="12" t="s">
        <v>2494</v>
      </c>
      <c r="E143" s="11" t="n">
        <v>5</v>
      </c>
      <c r="F143" s="12" t="s">
        <v>2342</v>
      </c>
      <c r="G143" s="12" t="s">
        <v>2329</v>
      </c>
      <c r="H143" s="11" t="s">
        <v>77</v>
      </c>
      <c r="I143" s="12" t="s">
        <v>2495</v>
      </c>
      <c r="J143" s="11" t="s">
        <v>2330</v>
      </c>
      <c r="K143" s="11"/>
      <c r="L143" s="11" t="n">
        <f aca="false">IF(E143="","",IF(OR(AND(K143="Plan A",'All weeks'!$C$5="B"),AND(K143="Plan B",'All weeks'!$C$5="A")),0,IF(H143="Yes",E143,E143*IF(B143="Year 7",'All weeks'!$C$3,'All weeks'!$C$4))))</f>
        <v>5</v>
      </c>
    </row>
    <row r="144" customFormat="false" ht="23.85" hidden="false" customHeight="false" outlineLevel="0" collapsed="false">
      <c r="A144" s="11" t="n">
        <v>5</v>
      </c>
      <c r="B144" s="12" t="s">
        <v>39</v>
      </c>
      <c r="C144" s="12" t="s">
        <v>2334</v>
      </c>
      <c r="D144" s="12" t="s">
        <v>2496</v>
      </c>
      <c r="E144" s="11" t="n">
        <v>3</v>
      </c>
      <c r="F144" s="19" t="s">
        <v>2328</v>
      </c>
      <c r="G144" s="12" t="s">
        <v>2340</v>
      </c>
      <c r="H144" s="11" t="s">
        <v>77</v>
      </c>
      <c r="I144" s="12" t="s">
        <v>2495</v>
      </c>
      <c r="J144" s="11" t="s">
        <v>2330</v>
      </c>
      <c r="K144" s="11"/>
      <c r="L144" s="11" t="n">
        <f aca="false">IF(E144="","",IF(OR(AND(K144="Plan A",'All weeks'!$C$5="B"),AND(K144="Plan B",'All weeks'!$C$5="A")),0,IF(H144="Yes",E144,E144*IF(B144="Year 7",'All weeks'!$C$3,'All weeks'!$C$4))))</f>
        <v>3</v>
      </c>
    </row>
    <row r="145" customFormat="false" ht="35.05" hidden="false" customHeight="false" outlineLevel="0" collapsed="false">
      <c r="A145" s="11" t="n">
        <v>5</v>
      </c>
      <c r="B145" s="12" t="s">
        <v>39</v>
      </c>
      <c r="C145" s="12" t="s">
        <v>2334</v>
      </c>
      <c r="D145" s="12" t="s">
        <v>2497</v>
      </c>
      <c r="E145" s="11" t="n">
        <v>5</v>
      </c>
      <c r="F145" s="19" t="s">
        <v>2328</v>
      </c>
      <c r="G145" s="12" t="s">
        <v>2332</v>
      </c>
      <c r="H145" s="11" t="s">
        <v>77</v>
      </c>
      <c r="I145" s="12"/>
      <c r="J145" s="11" t="s">
        <v>2330</v>
      </c>
      <c r="K145" s="11"/>
      <c r="L145" s="11" t="n">
        <f aca="false">IF(E145="","",IF(OR(AND(K145="Plan A",'All weeks'!$C$5="B"),AND(K145="Plan B",'All weeks'!$C$5="A")),0,IF(H145="Yes",E145,E145*IF(B145="Year 7",'All weeks'!$C$3,'All weeks'!$C$4))))</f>
        <v>5</v>
      </c>
    </row>
    <row r="146" customFormat="false" ht="23.85" hidden="false" customHeight="false" outlineLevel="0" collapsed="false">
      <c r="A146" s="11" t="n">
        <v>5</v>
      </c>
      <c r="B146" s="12" t="s">
        <v>39</v>
      </c>
      <c r="C146" s="12" t="s">
        <v>2350</v>
      </c>
      <c r="D146" s="12" t="s">
        <v>2498</v>
      </c>
      <c r="E146" s="11" t="n">
        <v>5</v>
      </c>
      <c r="F146" s="12" t="s">
        <v>2342</v>
      </c>
      <c r="G146" s="12" t="s">
        <v>2332</v>
      </c>
      <c r="H146" s="11" t="s">
        <v>2330</v>
      </c>
      <c r="I146" s="12"/>
      <c r="J146" s="11" t="s">
        <v>2330</v>
      </c>
      <c r="K146" s="11"/>
      <c r="L146" s="11" t="n">
        <f aca="false">IF(E146="","",IF(OR(AND(K146="Plan A",'All weeks'!$C$5="B"),AND(K146="Plan B",'All weeks'!$C$5="A")),0,IF(H146="Yes",E146,E146*IF(B146="Year 7",'All weeks'!$C$3,'All weeks'!$C$4))))</f>
        <v>5</v>
      </c>
    </row>
    <row r="147" customFormat="false" ht="23.85" hidden="false" customHeight="false" outlineLevel="0" collapsed="false">
      <c r="A147" s="11" t="n">
        <v>5</v>
      </c>
      <c r="B147" s="12" t="s">
        <v>39</v>
      </c>
      <c r="C147" s="12" t="s">
        <v>2350</v>
      </c>
      <c r="D147" s="12" t="s">
        <v>2499</v>
      </c>
      <c r="E147" s="11" t="n">
        <v>5</v>
      </c>
      <c r="F147" s="19" t="s">
        <v>2328</v>
      </c>
      <c r="G147" s="12" t="s">
        <v>2329</v>
      </c>
      <c r="H147" s="11" t="s">
        <v>2330</v>
      </c>
      <c r="I147" s="12"/>
      <c r="J147" s="11" t="s">
        <v>2330</v>
      </c>
      <c r="K147" s="11"/>
      <c r="L147" s="11" t="n">
        <f aca="false">IF(E147="","",IF(OR(AND(K147="Plan A",'All weeks'!$C$5="B"),AND(K147="Plan B",'All weeks'!$C$5="A")),0,IF(H147="Yes",E147,E147*IF(B147="Year 7",'All weeks'!$C$3,'All weeks'!$C$4))))</f>
        <v>5</v>
      </c>
    </row>
    <row r="148" customFormat="false" ht="23.85" hidden="false" customHeight="false" outlineLevel="0" collapsed="false">
      <c r="A148" s="11" t="n">
        <v>5</v>
      </c>
      <c r="B148" s="12" t="s">
        <v>39</v>
      </c>
      <c r="C148" s="12" t="s">
        <v>2352</v>
      </c>
      <c r="D148" s="12" t="s">
        <v>2500</v>
      </c>
      <c r="E148" s="11" t="n">
        <v>2</v>
      </c>
      <c r="F148" s="19" t="s">
        <v>2328</v>
      </c>
      <c r="G148" s="12" t="s">
        <v>2332</v>
      </c>
      <c r="H148" s="11" t="s">
        <v>2330</v>
      </c>
      <c r="I148" s="12"/>
      <c r="J148" s="11" t="s">
        <v>2330</v>
      </c>
      <c r="K148" s="11"/>
      <c r="L148" s="11" t="n">
        <f aca="false">IF(E148="","",IF(OR(AND(K148="Plan A",'All weeks'!$C$5="B"),AND(K148="Plan B",'All weeks'!$C$5="A")),0,IF(H148="Yes",E148,E148*IF(B148="Year 7",'All weeks'!$C$3,'All weeks'!$C$4))))</f>
        <v>2</v>
      </c>
    </row>
    <row r="149" customFormat="false" ht="46.25" hidden="false" customHeight="false" outlineLevel="0" collapsed="false">
      <c r="A149" s="11" t="n">
        <v>5</v>
      </c>
      <c r="B149" s="12" t="s">
        <v>39</v>
      </c>
      <c r="C149" s="12" t="s">
        <v>2352</v>
      </c>
      <c r="D149" s="12" t="s">
        <v>2501</v>
      </c>
      <c r="E149" s="11" t="n">
        <v>5</v>
      </c>
      <c r="F149" s="19" t="s">
        <v>2328</v>
      </c>
      <c r="G149" s="12" t="s">
        <v>2332</v>
      </c>
      <c r="H149" s="11" t="s">
        <v>2330</v>
      </c>
      <c r="I149" s="12"/>
      <c r="J149" s="11" t="s">
        <v>2330</v>
      </c>
      <c r="K149" s="11"/>
      <c r="L149" s="11" t="n">
        <f aca="false">IF(E149="","",IF(OR(AND(K149="Plan A",'All weeks'!$C$5="B"),AND(K149="Plan B",'All weeks'!$C$5="A")),0,IF(H149="Yes",E149,E149*IF(B149="Year 7",'All weeks'!$C$3,'All weeks'!$C$4))))</f>
        <v>5</v>
      </c>
    </row>
    <row r="150" customFormat="false" ht="46.25" hidden="false" customHeight="false" outlineLevel="0" collapsed="false">
      <c r="A150" s="11" t="n">
        <v>5</v>
      </c>
      <c r="B150" s="12" t="s">
        <v>39</v>
      </c>
      <c r="C150" s="12" t="s">
        <v>2358</v>
      </c>
      <c r="D150" s="12" t="s">
        <v>2502</v>
      </c>
      <c r="E150" s="11" t="n">
        <v>4</v>
      </c>
      <c r="F150" s="19" t="s">
        <v>2328</v>
      </c>
      <c r="G150" s="12" t="s">
        <v>2357</v>
      </c>
      <c r="H150" s="11" t="s">
        <v>2330</v>
      </c>
      <c r="I150" s="12" t="s">
        <v>2503</v>
      </c>
      <c r="J150" s="11" t="s">
        <v>2330</v>
      </c>
      <c r="K150" s="11"/>
      <c r="L150" s="11" t="n">
        <f aca="false">IF(E150="","",IF(OR(AND(K150="Plan A",'All weeks'!$C$5="B"),AND(K150="Plan B",'All weeks'!$C$5="A")),0,IF(H150="Yes",E150,E150*IF(B150="Year 7",'All weeks'!$C$3,'All weeks'!$C$4))))</f>
        <v>4</v>
      </c>
    </row>
    <row r="151" customFormat="false" ht="23.85" hidden="false" customHeight="false" outlineLevel="0" collapsed="false">
      <c r="A151" s="11" t="n">
        <v>5</v>
      </c>
      <c r="B151" s="12" t="s">
        <v>39</v>
      </c>
      <c r="C151" s="12" t="s">
        <v>2358</v>
      </c>
      <c r="D151" s="12" t="s">
        <v>2504</v>
      </c>
      <c r="E151" s="11" t="n">
        <v>30</v>
      </c>
      <c r="F151" s="19" t="s">
        <v>2328</v>
      </c>
      <c r="G151" s="12" t="s">
        <v>2332</v>
      </c>
      <c r="H151" s="11" t="s">
        <v>2330</v>
      </c>
      <c r="I151" s="12" t="s">
        <v>2505</v>
      </c>
      <c r="J151" s="11" t="s">
        <v>2330</v>
      </c>
      <c r="K151" s="11"/>
      <c r="L151" s="11" t="n">
        <f aca="false">IF(E151="","",IF(OR(AND(K151="Plan A",'All weeks'!$C$5="B"),AND(K151="Plan B",'All weeks'!$C$5="A")),0,IF(H151="Yes",E151,E151*IF(B151="Year 7",'All weeks'!$C$3,'All weeks'!$C$4))))</f>
        <v>30</v>
      </c>
    </row>
    <row r="152" customFormat="false" ht="23.85" hidden="false" customHeight="false" outlineLevel="0" collapsed="false">
      <c r="A152" s="11" t="n">
        <v>5</v>
      </c>
      <c r="B152" s="12" t="s">
        <v>39</v>
      </c>
      <c r="C152" s="12" t="s">
        <v>2358</v>
      </c>
      <c r="D152" s="12" t="s">
        <v>2506</v>
      </c>
      <c r="E152" s="11" t="n">
        <v>10</v>
      </c>
      <c r="F152" s="19" t="s">
        <v>2328</v>
      </c>
      <c r="G152" s="12" t="s">
        <v>2332</v>
      </c>
      <c r="H152" s="11" t="s">
        <v>2330</v>
      </c>
      <c r="I152" s="12"/>
      <c r="J152" s="11" t="s">
        <v>2330</v>
      </c>
      <c r="K152" s="11"/>
      <c r="L152" s="11" t="n">
        <f aca="false">IF(E152="","",IF(OR(AND(K152="Plan A",'All weeks'!$C$5="B"),AND(K152="Plan B",'All weeks'!$C$5="A")),0,IF(H152="Yes",E152,E152*IF(B152="Year 7",'All weeks'!$C$3,'All weeks'!$C$4))))</f>
        <v>10</v>
      </c>
    </row>
    <row r="153" customFormat="false" ht="23.85" hidden="false" customHeight="false" outlineLevel="0" collapsed="false">
      <c r="A153" s="11" t="n">
        <v>5</v>
      </c>
      <c r="B153" s="12" t="s">
        <v>39</v>
      </c>
      <c r="C153" s="12" t="s">
        <v>2358</v>
      </c>
      <c r="D153" s="12" t="s">
        <v>2507</v>
      </c>
      <c r="E153" s="11" t="n">
        <v>15</v>
      </c>
      <c r="F153" s="19" t="s">
        <v>2328</v>
      </c>
      <c r="G153" s="12" t="s">
        <v>2332</v>
      </c>
      <c r="H153" s="11" t="s">
        <v>2330</v>
      </c>
      <c r="I153" s="12"/>
      <c r="J153" s="11" t="s">
        <v>2330</v>
      </c>
      <c r="K153" s="11"/>
      <c r="L153" s="11" t="n">
        <f aca="false">IF(E153="","",IF(OR(AND(K153="Plan A",'All weeks'!$C$5="B"),AND(K153="Plan B",'All weeks'!$C$5="A")),0,IF(H153="Yes",E153,E153*IF(B153="Year 7",'All weeks'!$C$3,'All weeks'!$C$4))))</f>
        <v>15</v>
      </c>
    </row>
    <row r="154" customFormat="false" ht="46.25" hidden="false" customHeight="false" outlineLevel="0" collapsed="false">
      <c r="A154" s="11" t="n">
        <v>5</v>
      </c>
      <c r="B154" s="12" t="s">
        <v>39</v>
      </c>
      <c r="C154" s="12" t="s">
        <v>2358</v>
      </c>
      <c r="D154" s="12" t="s">
        <v>2508</v>
      </c>
      <c r="E154" s="11" t="n">
        <v>20</v>
      </c>
      <c r="F154" s="19" t="s">
        <v>2328</v>
      </c>
      <c r="G154" s="12" t="s">
        <v>2332</v>
      </c>
      <c r="H154" s="11" t="s">
        <v>2330</v>
      </c>
      <c r="I154" s="12"/>
      <c r="J154" s="11" t="s">
        <v>2330</v>
      </c>
      <c r="K154" s="11"/>
      <c r="L154" s="11" t="n">
        <f aca="false">IF(E154="","",IF(OR(AND(K154="Plan A",'All weeks'!$C$5="B"),AND(K154="Plan B",'All weeks'!$C$5="A")),0,IF(H154="Yes",E154,E154*IF(B154="Year 7",'All weeks'!$C$3,'All weeks'!$C$4))))</f>
        <v>20</v>
      </c>
    </row>
    <row r="155" customFormat="false" ht="15" hidden="false" customHeight="false" outlineLevel="0" collapsed="false">
      <c r="A155" s="11" t="n">
        <v>5</v>
      </c>
      <c r="B155" s="12" t="s">
        <v>39</v>
      </c>
      <c r="C155" s="12" t="s">
        <v>2358</v>
      </c>
      <c r="D155" s="12" t="s">
        <v>2509</v>
      </c>
      <c r="E155" s="11" t="n">
        <v>2</v>
      </c>
      <c r="F155" s="19" t="s">
        <v>2328</v>
      </c>
      <c r="G155" s="12" t="s">
        <v>2332</v>
      </c>
      <c r="H155" s="11" t="s">
        <v>77</v>
      </c>
      <c r="I155" s="12"/>
      <c r="J155" s="11" t="s">
        <v>2330</v>
      </c>
      <c r="K155" s="11"/>
      <c r="L155" s="11" t="n">
        <f aca="false">IF(E155="","",IF(OR(AND(K155="Plan A",'All weeks'!$C$5="B"),AND(K155="Plan B",'All weeks'!$C$5="A")),0,IF(H155="Yes",E155,E155*IF(B155="Year 7",'All weeks'!$C$3,'All weeks'!$C$4))))</f>
        <v>2</v>
      </c>
    </row>
    <row r="156" customFormat="false" ht="23.85" hidden="false" customHeight="false" outlineLevel="0" collapsed="false">
      <c r="A156" s="11" t="n">
        <v>5</v>
      </c>
      <c r="B156" s="12" t="s">
        <v>39</v>
      </c>
      <c r="C156" s="12" t="s">
        <v>2358</v>
      </c>
      <c r="D156" s="12" t="s">
        <v>2510</v>
      </c>
      <c r="E156" s="11" t="n">
        <v>5</v>
      </c>
      <c r="F156" s="19" t="s">
        <v>2328</v>
      </c>
      <c r="G156" s="12" t="s">
        <v>2329</v>
      </c>
      <c r="H156" s="11" t="s">
        <v>77</v>
      </c>
      <c r="I156" s="12" t="s">
        <v>2511</v>
      </c>
      <c r="J156" s="11" t="s">
        <v>2330</v>
      </c>
      <c r="K156" s="11"/>
      <c r="L156" s="11" t="n">
        <f aca="false">IF(E156="","",IF(OR(AND(K156="Plan A",'All weeks'!$C$5="B"),AND(K156="Plan B",'All weeks'!$C$5="A")),0,IF(H156="Yes",E156,E156*IF(B156="Year 7",'All weeks'!$C$3,'All weeks'!$C$4))))</f>
        <v>5</v>
      </c>
    </row>
    <row r="157" customFormat="false" ht="23.85" hidden="false" customHeight="false" outlineLevel="0" collapsed="false">
      <c r="A157" s="11" t="n">
        <v>5</v>
      </c>
      <c r="B157" s="12" t="s">
        <v>39</v>
      </c>
      <c r="C157" s="12" t="s">
        <v>2358</v>
      </c>
      <c r="D157" s="12" t="s">
        <v>2512</v>
      </c>
      <c r="E157" s="11" t="n">
        <v>3</v>
      </c>
      <c r="F157" s="19" t="s">
        <v>2328</v>
      </c>
      <c r="G157" s="12" t="s">
        <v>2329</v>
      </c>
      <c r="H157" s="11" t="s">
        <v>77</v>
      </c>
      <c r="I157" s="12"/>
      <c r="J157" s="11" t="s">
        <v>2330</v>
      </c>
      <c r="K157" s="11"/>
      <c r="L157" s="11" t="n">
        <f aca="false">IF(E157="","",IF(OR(AND(K157="Plan A",'All weeks'!$C$5="B"),AND(K157="Plan B",'All weeks'!$C$5="A")),0,IF(H157="Yes",E157,E157*IF(B157="Year 7",'All weeks'!$C$3,'All weeks'!$C$4))))</f>
        <v>3</v>
      </c>
    </row>
    <row r="158" customFormat="false" ht="23.85" hidden="false" customHeight="false" outlineLevel="0" collapsed="false">
      <c r="A158" s="11" t="n">
        <v>5</v>
      </c>
      <c r="B158" s="12" t="s">
        <v>39</v>
      </c>
      <c r="C158" s="12" t="s">
        <v>2358</v>
      </c>
      <c r="D158" s="12" t="s">
        <v>2513</v>
      </c>
      <c r="E158" s="11" t="n">
        <v>10</v>
      </c>
      <c r="F158" s="19" t="s">
        <v>2328</v>
      </c>
      <c r="G158" s="12" t="s">
        <v>2329</v>
      </c>
      <c r="H158" s="11" t="s">
        <v>77</v>
      </c>
      <c r="I158" s="12"/>
      <c r="J158" s="11" t="s">
        <v>2330</v>
      </c>
      <c r="K158" s="11" t="s">
        <v>956</v>
      </c>
      <c r="L158" s="11" t="n">
        <f aca="false">IF(E158="","",IF(OR(AND(K158="Plan A",'All weeks'!$C$5="B"),AND(K158="Plan B",'All weeks'!$C$5="A")),0,IF(H158="Yes",E158,E158*IF(B158="Year 7",'All weeks'!$C$3,'All weeks'!$C$4))))</f>
        <v>10</v>
      </c>
    </row>
    <row r="159" customFormat="false" ht="68.65" hidden="false" customHeight="false" outlineLevel="0" collapsed="false">
      <c r="A159" s="11" t="n">
        <v>5</v>
      </c>
      <c r="B159" s="12" t="s">
        <v>39</v>
      </c>
      <c r="C159" s="12" t="s">
        <v>2358</v>
      </c>
      <c r="D159" s="12" t="s">
        <v>2514</v>
      </c>
      <c r="E159" s="11" t="n">
        <v>15</v>
      </c>
      <c r="F159" s="12" t="s">
        <v>2342</v>
      </c>
      <c r="G159" s="12" t="s">
        <v>2332</v>
      </c>
      <c r="H159" s="11" t="s">
        <v>77</v>
      </c>
      <c r="I159" s="12" t="s">
        <v>2515</v>
      </c>
      <c r="J159" s="11" t="s">
        <v>2330</v>
      </c>
      <c r="K159" s="11" t="s">
        <v>964</v>
      </c>
      <c r="L159" s="11" t="n">
        <f aca="false">IF(E159="","",IF(OR(AND(K159="Plan A",'All weeks'!$C$5="B"),AND(K159="Plan B",'All weeks'!$C$5="A")),0,IF(H159="Yes",E159,E159*IF(B159="Year 7",'All weeks'!$C$3,'All weeks'!$C$4))))</f>
        <v>15</v>
      </c>
    </row>
    <row r="160" customFormat="false" ht="57.45" hidden="false" customHeight="false" outlineLevel="0" collapsed="false">
      <c r="A160" s="11" t="n">
        <v>5</v>
      </c>
      <c r="B160" s="12" t="s">
        <v>39</v>
      </c>
      <c r="C160" s="12" t="s">
        <v>2358</v>
      </c>
      <c r="D160" s="12" t="s">
        <v>2516</v>
      </c>
      <c r="E160" s="11" t="n">
        <v>15</v>
      </c>
      <c r="F160" s="12" t="s">
        <v>2342</v>
      </c>
      <c r="G160" s="12" t="s">
        <v>2332</v>
      </c>
      <c r="H160" s="11" t="s">
        <v>77</v>
      </c>
      <c r="I160" s="12" t="s">
        <v>2515</v>
      </c>
      <c r="J160" s="11" t="s">
        <v>2330</v>
      </c>
      <c r="K160" s="11" t="s">
        <v>956</v>
      </c>
      <c r="L160" s="11" t="n">
        <f aca="false">IF(E160="","",IF(OR(AND(K160="Plan A",'All weeks'!$C$5="B"),AND(K160="Plan B",'All weeks'!$C$5="A")),0,IF(H160="Yes",E160,E160*IF(B160="Year 7",'All weeks'!$C$3,'All weeks'!$C$4))))</f>
        <v>15</v>
      </c>
    </row>
    <row r="161" customFormat="false" ht="46.25" hidden="false" customHeight="false" outlineLevel="0" collapsed="false">
      <c r="A161" s="11" t="n">
        <v>5</v>
      </c>
      <c r="B161" s="12" t="s">
        <v>39</v>
      </c>
      <c r="C161" s="12" t="s">
        <v>2358</v>
      </c>
      <c r="D161" s="12" t="s">
        <v>2517</v>
      </c>
      <c r="E161" s="11" t="n">
        <v>12</v>
      </c>
      <c r="F161" s="19" t="s">
        <v>2328</v>
      </c>
      <c r="G161" s="12" t="s">
        <v>2329</v>
      </c>
      <c r="H161" s="11" t="s">
        <v>77</v>
      </c>
      <c r="I161" s="12" t="s">
        <v>2518</v>
      </c>
      <c r="J161" s="11" t="s">
        <v>2330</v>
      </c>
      <c r="K161" s="11"/>
      <c r="L161" s="11" t="n">
        <f aca="false">IF(E161="","",IF(OR(AND(K161="Plan A",'All weeks'!$C$5="B"),AND(K161="Plan B",'All weeks'!$C$5="A")),0,IF(H161="Yes",E161,E161*IF(B161="Year 7",'All weeks'!$C$3,'All weeks'!$C$4))))</f>
        <v>12</v>
      </c>
    </row>
    <row r="162" customFormat="false" ht="23.85" hidden="false" customHeight="false" outlineLevel="0" collapsed="false">
      <c r="A162" s="11" t="n">
        <v>5</v>
      </c>
      <c r="B162" s="12" t="s">
        <v>39</v>
      </c>
      <c r="C162" s="12" t="s">
        <v>2358</v>
      </c>
      <c r="D162" s="12" t="s">
        <v>2519</v>
      </c>
      <c r="E162" s="11" t="n">
        <v>3</v>
      </c>
      <c r="F162" s="19" t="s">
        <v>2328</v>
      </c>
      <c r="G162" s="12" t="s">
        <v>2329</v>
      </c>
      <c r="H162" s="11" t="s">
        <v>77</v>
      </c>
      <c r="I162" s="12"/>
      <c r="J162" s="11" t="s">
        <v>2330</v>
      </c>
      <c r="K162" s="11"/>
      <c r="L162" s="11" t="n">
        <f aca="false">IF(E162="","",IF(OR(AND(K162="Plan A",'All weeks'!$C$5="B"),AND(K162="Plan B",'All weeks'!$C$5="A")),0,IF(H162="Yes",E162,E162*IF(B162="Year 7",'All weeks'!$C$3,'All weeks'!$C$4))))</f>
        <v>3</v>
      </c>
    </row>
    <row r="163" customFormat="false" ht="46.25" hidden="false" customHeight="false" outlineLevel="0" collapsed="false">
      <c r="A163" s="11" t="n">
        <v>5</v>
      </c>
      <c r="B163" s="12" t="s">
        <v>153</v>
      </c>
      <c r="C163" s="12" t="s">
        <v>2326</v>
      </c>
      <c r="D163" s="12" t="s">
        <v>2520</v>
      </c>
      <c r="E163" s="11" t="n">
        <v>10</v>
      </c>
      <c r="F163" s="19" t="s">
        <v>2328</v>
      </c>
      <c r="G163" s="12" t="s">
        <v>2332</v>
      </c>
      <c r="H163" s="11" t="s">
        <v>77</v>
      </c>
      <c r="I163" s="12"/>
      <c r="J163" s="11" t="s">
        <v>2330</v>
      </c>
      <c r="K163" s="11"/>
      <c r="L163" s="11" t="n">
        <f aca="false">IF(E163="","",IF(OR(AND(K163="Plan A",'All weeks'!$C$5="B"),AND(K163="Plan B",'All weeks'!$C$5="A")),0,IF(H163="Yes",E163,E163*IF(B163="Year 7",'All weeks'!$C$3,'All weeks'!$C$4))))</f>
        <v>10</v>
      </c>
    </row>
    <row r="164" customFormat="false" ht="23.85" hidden="false" customHeight="false" outlineLevel="0" collapsed="false">
      <c r="A164" s="11" t="n">
        <v>5</v>
      </c>
      <c r="B164" s="12" t="s">
        <v>153</v>
      </c>
      <c r="C164" s="12" t="s">
        <v>2334</v>
      </c>
      <c r="D164" s="12" t="s">
        <v>2521</v>
      </c>
      <c r="E164" s="11" t="n">
        <v>2</v>
      </c>
      <c r="F164" s="19" t="s">
        <v>2328</v>
      </c>
      <c r="G164" s="12" t="s">
        <v>2332</v>
      </c>
      <c r="H164" s="11" t="s">
        <v>77</v>
      </c>
      <c r="I164" s="12"/>
      <c r="J164" s="11" t="s">
        <v>2330</v>
      </c>
      <c r="K164" s="11"/>
      <c r="L164" s="11" t="n">
        <f aca="false">IF(E164="","",IF(OR(AND(K164="Plan A",'All weeks'!$C$5="B"),AND(K164="Plan B",'All weeks'!$C$5="A")),0,IF(H164="Yes",E164,E164*IF(B164="Year 7",'All weeks'!$C$3,'All weeks'!$C$4))))</f>
        <v>2</v>
      </c>
    </row>
    <row r="165" customFormat="false" ht="68.65" hidden="false" customHeight="false" outlineLevel="0" collapsed="false">
      <c r="A165" s="11" t="n">
        <v>5</v>
      </c>
      <c r="B165" s="12" t="s">
        <v>153</v>
      </c>
      <c r="C165" s="12" t="s">
        <v>2334</v>
      </c>
      <c r="D165" s="12" t="s">
        <v>2522</v>
      </c>
      <c r="E165" s="11" t="n">
        <v>5</v>
      </c>
      <c r="F165" s="19" t="s">
        <v>2328</v>
      </c>
      <c r="G165" s="12" t="s">
        <v>2340</v>
      </c>
      <c r="H165" s="11" t="s">
        <v>77</v>
      </c>
      <c r="I165" s="12"/>
      <c r="J165" s="11" t="s">
        <v>2330</v>
      </c>
      <c r="K165" s="11"/>
      <c r="L165" s="11" t="n">
        <f aca="false">IF(E165="","",IF(OR(AND(K165="Plan A",'All weeks'!$C$5="B"),AND(K165="Plan B",'All weeks'!$C$5="A")),0,IF(H165="Yes",E165,E165*IF(B165="Year 7",'All weeks'!$C$3,'All weeks'!$C$4))))</f>
        <v>5</v>
      </c>
    </row>
    <row r="166" customFormat="false" ht="23.85" hidden="false" customHeight="false" outlineLevel="0" collapsed="false">
      <c r="A166" s="11" t="n">
        <v>5</v>
      </c>
      <c r="B166" s="12" t="s">
        <v>153</v>
      </c>
      <c r="C166" s="12" t="s">
        <v>2334</v>
      </c>
      <c r="D166" s="12" t="s">
        <v>2523</v>
      </c>
      <c r="E166" s="11" t="n">
        <v>5</v>
      </c>
      <c r="F166" s="19" t="s">
        <v>2328</v>
      </c>
      <c r="G166" s="12" t="s">
        <v>2340</v>
      </c>
      <c r="H166" s="11" t="s">
        <v>77</v>
      </c>
      <c r="I166" s="12"/>
      <c r="J166" s="11" t="s">
        <v>2330</v>
      </c>
      <c r="K166" s="11"/>
      <c r="L166" s="11" t="n">
        <f aca="false">IF(E166="","",IF(OR(AND(K166="Plan A",'All weeks'!$C$5="B"),AND(K166="Plan B",'All weeks'!$C$5="A")),0,IF(H166="Yes",E166,E166*IF(B166="Year 7",'All weeks'!$C$3,'All weeks'!$C$4))))</f>
        <v>5</v>
      </c>
    </row>
    <row r="167" customFormat="false" ht="15" hidden="false" customHeight="false" outlineLevel="0" collapsed="false">
      <c r="A167" s="11" t="n">
        <v>5</v>
      </c>
      <c r="B167" s="12" t="s">
        <v>153</v>
      </c>
      <c r="C167" s="12" t="s">
        <v>2334</v>
      </c>
      <c r="D167" s="12" t="s">
        <v>2524</v>
      </c>
      <c r="E167" s="11" t="n">
        <v>10</v>
      </c>
      <c r="F167" s="19" t="s">
        <v>2328</v>
      </c>
      <c r="G167" s="12" t="s">
        <v>2329</v>
      </c>
      <c r="H167" s="11" t="s">
        <v>77</v>
      </c>
      <c r="I167" s="12"/>
      <c r="J167" s="11" t="s">
        <v>2330</v>
      </c>
      <c r="K167" s="11"/>
      <c r="L167" s="11" t="n">
        <f aca="false">IF(E167="","",IF(OR(AND(K167="Plan A",'All weeks'!$C$5="B"),AND(K167="Plan B",'All weeks'!$C$5="A")),0,IF(H167="Yes",E167,E167*IF(B167="Year 7",'All weeks'!$C$3,'All weeks'!$C$4))))</f>
        <v>10</v>
      </c>
    </row>
    <row r="168" customFormat="false" ht="46.25" hidden="false" customHeight="false" outlineLevel="0" collapsed="false">
      <c r="A168" s="11" t="n">
        <v>5</v>
      </c>
      <c r="B168" s="12" t="s">
        <v>153</v>
      </c>
      <c r="C168" s="12" t="s">
        <v>2350</v>
      </c>
      <c r="D168" s="12" t="s">
        <v>2525</v>
      </c>
      <c r="E168" s="11" t="n">
        <v>15</v>
      </c>
      <c r="F168" s="19" t="s">
        <v>2328</v>
      </c>
      <c r="G168" s="12" t="s">
        <v>2329</v>
      </c>
      <c r="H168" s="11" t="s">
        <v>77</v>
      </c>
      <c r="I168" s="12"/>
      <c r="J168" s="11" t="s">
        <v>105</v>
      </c>
      <c r="K168" s="11"/>
      <c r="L168" s="11" t="n">
        <f aca="false">IF(E168="","",IF(OR(AND(K168="Plan A",'All weeks'!$C$5="B"),AND(K168="Plan B",'All weeks'!$C$5="A")),0,IF(H168="Yes",E168,E168*IF(B168="Year 7",'All weeks'!$C$3,'All weeks'!$C$4))))</f>
        <v>15</v>
      </c>
    </row>
    <row r="169" customFormat="false" ht="57.45" hidden="false" customHeight="false" outlineLevel="0" collapsed="false">
      <c r="A169" s="11" t="n">
        <v>5</v>
      </c>
      <c r="B169" s="12" t="s">
        <v>153</v>
      </c>
      <c r="C169" s="12" t="s">
        <v>2350</v>
      </c>
      <c r="D169" s="12" t="s">
        <v>2526</v>
      </c>
      <c r="E169" s="11" t="n">
        <v>25</v>
      </c>
      <c r="F169" s="12" t="s">
        <v>2342</v>
      </c>
      <c r="G169" s="12" t="s">
        <v>2332</v>
      </c>
      <c r="H169" s="11" t="s">
        <v>2330</v>
      </c>
      <c r="I169" s="12"/>
      <c r="J169" s="11" t="s">
        <v>2330</v>
      </c>
      <c r="K169" s="11"/>
      <c r="L169" s="11" t="n">
        <f aca="false">IF(E169="","",IF(OR(AND(K169="Plan A",'All weeks'!$C$5="B"),AND(K169="Plan B",'All weeks'!$C$5="A")),0,IF(H169="Yes",E169,E169*IF(B169="Year 7",'All weeks'!$C$3,'All weeks'!$C$4))))</f>
        <v>25</v>
      </c>
    </row>
    <row r="170" customFormat="false" ht="35.05" hidden="false" customHeight="false" outlineLevel="0" collapsed="false">
      <c r="A170" s="11" t="n">
        <v>5</v>
      </c>
      <c r="B170" s="12" t="s">
        <v>153</v>
      </c>
      <c r="C170" s="12" t="s">
        <v>2350</v>
      </c>
      <c r="D170" s="12" t="s">
        <v>2527</v>
      </c>
      <c r="E170" s="11" t="n">
        <v>5</v>
      </c>
      <c r="F170" s="19" t="s">
        <v>2328</v>
      </c>
      <c r="G170" s="12" t="s">
        <v>2329</v>
      </c>
      <c r="H170" s="11" t="s">
        <v>77</v>
      </c>
      <c r="I170" s="12" t="s">
        <v>2528</v>
      </c>
      <c r="J170" s="11" t="s">
        <v>2330</v>
      </c>
      <c r="K170" s="11"/>
      <c r="L170" s="11" t="n">
        <f aca="false">IF(E170="","",IF(OR(AND(K170="Plan A",'All weeks'!$C$5="B"),AND(K170="Plan B",'All weeks'!$C$5="A")),0,IF(H170="Yes",E170,E170*IF(B170="Year 7",'All weeks'!$C$3,'All weeks'!$C$4))))</f>
        <v>5</v>
      </c>
    </row>
    <row r="171" customFormat="false" ht="79.85" hidden="false" customHeight="false" outlineLevel="0" collapsed="false">
      <c r="A171" s="11" t="n">
        <v>5</v>
      </c>
      <c r="B171" s="12" t="s">
        <v>153</v>
      </c>
      <c r="C171" s="12" t="s">
        <v>2352</v>
      </c>
      <c r="D171" s="12" t="s">
        <v>2529</v>
      </c>
      <c r="E171" s="11" t="n">
        <v>15</v>
      </c>
      <c r="F171" s="12" t="s">
        <v>2342</v>
      </c>
      <c r="G171" s="12" t="s">
        <v>2332</v>
      </c>
      <c r="H171" s="11" t="s">
        <v>2330</v>
      </c>
      <c r="I171" s="12"/>
      <c r="J171" s="11" t="s">
        <v>2330</v>
      </c>
      <c r="K171" s="11"/>
      <c r="L171" s="11" t="n">
        <f aca="false">IF(E171="","",IF(OR(AND(K171="Plan A",'All weeks'!$C$5="B"),AND(K171="Plan B",'All weeks'!$C$5="A")),0,IF(H171="Yes",E171,E171*IF(B171="Year 7",'All weeks'!$C$3,'All weeks'!$C$4))))</f>
        <v>15</v>
      </c>
    </row>
    <row r="172" customFormat="false" ht="57.45" hidden="false" customHeight="false" outlineLevel="0" collapsed="false">
      <c r="A172" s="11" t="n">
        <v>5</v>
      </c>
      <c r="B172" s="12" t="s">
        <v>153</v>
      </c>
      <c r="C172" s="12" t="s">
        <v>2352</v>
      </c>
      <c r="D172" s="12" t="s">
        <v>2530</v>
      </c>
      <c r="E172" s="11" t="n">
        <v>5</v>
      </c>
      <c r="F172" s="19" t="s">
        <v>2328</v>
      </c>
      <c r="G172" s="12" t="s">
        <v>2329</v>
      </c>
      <c r="H172" s="11" t="s">
        <v>2330</v>
      </c>
      <c r="I172" s="12"/>
      <c r="J172" s="11" t="s">
        <v>2330</v>
      </c>
      <c r="K172" s="11"/>
      <c r="L172" s="11" t="n">
        <f aca="false">IF(E172="","",IF(OR(AND(K172="Plan A",'All weeks'!$C$5="B"),AND(K172="Plan B",'All weeks'!$C$5="A")),0,IF(H172="Yes",E172,E172*IF(B172="Year 7",'All weeks'!$C$3,'All weeks'!$C$4))))</f>
        <v>5</v>
      </c>
    </row>
    <row r="173" customFormat="false" ht="23.85" hidden="false" customHeight="false" outlineLevel="0" collapsed="false">
      <c r="A173" s="11" t="n">
        <v>5</v>
      </c>
      <c r="B173" s="12" t="s">
        <v>153</v>
      </c>
      <c r="C173" s="12" t="s">
        <v>2352</v>
      </c>
      <c r="D173" s="12" t="s">
        <v>2531</v>
      </c>
      <c r="E173" s="11" t="n">
        <v>2</v>
      </c>
      <c r="F173" s="19" t="s">
        <v>2328</v>
      </c>
      <c r="G173" s="12" t="s">
        <v>2332</v>
      </c>
      <c r="H173" s="11" t="s">
        <v>2330</v>
      </c>
      <c r="I173" s="12"/>
      <c r="J173" s="11" t="s">
        <v>2330</v>
      </c>
      <c r="K173" s="11"/>
      <c r="L173" s="11" t="n">
        <f aca="false">IF(E173="","",IF(OR(AND(K173="Plan A",'All weeks'!$C$5="B"),AND(K173="Plan B",'All weeks'!$C$5="A")),0,IF(H173="Yes",E173,E173*IF(B173="Year 7",'All weeks'!$C$3,'All weeks'!$C$4))))</f>
        <v>2</v>
      </c>
    </row>
    <row r="174" customFormat="false" ht="46.25" hidden="false" customHeight="false" outlineLevel="0" collapsed="false">
      <c r="A174" s="11" t="n">
        <v>5</v>
      </c>
      <c r="B174" s="12" t="s">
        <v>153</v>
      </c>
      <c r="C174" s="12" t="s">
        <v>2358</v>
      </c>
      <c r="D174" s="12" t="s">
        <v>2532</v>
      </c>
      <c r="E174" s="11" t="n">
        <v>3</v>
      </c>
      <c r="F174" s="19" t="s">
        <v>2328</v>
      </c>
      <c r="G174" s="12" t="s">
        <v>2357</v>
      </c>
      <c r="H174" s="11" t="s">
        <v>2330</v>
      </c>
      <c r="I174" s="12"/>
      <c r="J174" s="11" t="s">
        <v>2330</v>
      </c>
      <c r="K174" s="11"/>
      <c r="L174" s="11" t="n">
        <f aca="false">IF(E174="","",IF(OR(AND(K174="Plan A",'All weeks'!$C$5="B"),AND(K174="Plan B",'All weeks'!$C$5="A")),0,IF(H174="Yes",E174,E174*IF(B174="Year 7",'All weeks'!$C$3,'All weeks'!$C$4))))</f>
        <v>3</v>
      </c>
    </row>
    <row r="175" customFormat="false" ht="23.85" hidden="false" customHeight="false" outlineLevel="0" collapsed="false">
      <c r="A175" s="11" t="n">
        <v>5</v>
      </c>
      <c r="B175" s="12" t="s">
        <v>153</v>
      </c>
      <c r="C175" s="12" t="s">
        <v>2358</v>
      </c>
      <c r="D175" s="12" t="s">
        <v>2533</v>
      </c>
      <c r="E175" s="11" t="n">
        <v>10</v>
      </c>
      <c r="F175" s="19" t="s">
        <v>2328</v>
      </c>
      <c r="G175" s="12" t="s">
        <v>2329</v>
      </c>
      <c r="H175" s="11" t="s">
        <v>2330</v>
      </c>
      <c r="I175" s="12"/>
      <c r="J175" s="11" t="s">
        <v>2330</v>
      </c>
      <c r="K175" s="11"/>
      <c r="L175" s="11" t="n">
        <f aca="false">IF(E175="","",IF(OR(AND(K175="Plan A",'All weeks'!$C$5="B"),AND(K175="Plan B",'All weeks'!$C$5="A")),0,IF(H175="Yes",E175,E175*IF(B175="Year 7",'All weeks'!$C$3,'All weeks'!$C$4))))</f>
        <v>10</v>
      </c>
    </row>
    <row r="176" customFormat="false" ht="35.05" hidden="false" customHeight="false" outlineLevel="0" collapsed="false">
      <c r="A176" s="11" t="n">
        <v>5</v>
      </c>
      <c r="B176" s="12" t="s">
        <v>153</v>
      </c>
      <c r="C176" s="12" t="s">
        <v>2358</v>
      </c>
      <c r="D176" s="12" t="s">
        <v>2534</v>
      </c>
      <c r="E176" s="11" t="n">
        <v>2</v>
      </c>
      <c r="F176" s="19" t="s">
        <v>2328</v>
      </c>
      <c r="G176" s="12" t="s">
        <v>2332</v>
      </c>
      <c r="H176" s="11" t="s">
        <v>2330</v>
      </c>
      <c r="I176" s="12" t="s">
        <v>2535</v>
      </c>
      <c r="J176" s="11" t="s">
        <v>2330</v>
      </c>
      <c r="K176" s="11"/>
      <c r="L176" s="11" t="n">
        <f aca="false">IF(E176="","",IF(OR(AND(K176="Plan A",'All weeks'!$C$5="B"),AND(K176="Plan B",'All weeks'!$C$5="A")),0,IF(H176="Yes",E176,E176*IF(B176="Year 7",'All weeks'!$C$3,'All weeks'!$C$4))))</f>
        <v>2</v>
      </c>
    </row>
    <row r="177" customFormat="false" ht="46.25" hidden="false" customHeight="false" outlineLevel="0" collapsed="false">
      <c r="A177" s="11" t="n">
        <v>5</v>
      </c>
      <c r="B177" s="12" t="s">
        <v>153</v>
      </c>
      <c r="C177" s="12" t="s">
        <v>2358</v>
      </c>
      <c r="D177" s="12" t="s">
        <v>2536</v>
      </c>
      <c r="E177" s="11" t="n">
        <v>25</v>
      </c>
      <c r="F177" s="19" t="s">
        <v>2328</v>
      </c>
      <c r="G177" s="12" t="s">
        <v>2332</v>
      </c>
      <c r="H177" s="11" t="s">
        <v>2330</v>
      </c>
      <c r="I177" s="12" t="s">
        <v>2537</v>
      </c>
      <c r="J177" s="11" t="s">
        <v>2330</v>
      </c>
      <c r="K177" s="11"/>
      <c r="L177" s="11" t="n">
        <f aca="false">IF(E177="","",IF(OR(AND(K177="Plan A",'All weeks'!$C$5="B"),AND(K177="Plan B",'All weeks'!$C$5="A")),0,IF(H177="Yes",E177,E177*IF(B177="Year 7",'All weeks'!$C$3,'All weeks'!$C$4))))</f>
        <v>25</v>
      </c>
    </row>
    <row r="178" customFormat="false" ht="23.85" hidden="false" customHeight="false" outlineLevel="0" collapsed="false">
      <c r="A178" s="11" t="n">
        <v>5</v>
      </c>
      <c r="B178" s="12" t="s">
        <v>153</v>
      </c>
      <c r="C178" s="12" t="s">
        <v>2358</v>
      </c>
      <c r="D178" s="12" t="s">
        <v>2538</v>
      </c>
      <c r="E178" s="11" t="n">
        <v>10</v>
      </c>
      <c r="F178" s="19" t="s">
        <v>2328</v>
      </c>
      <c r="G178" s="12" t="s">
        <v>2332</v>
      </c>
      <c r="H178" s="11" t="s">
        <v>2330</v>
      </c>
      <c r="I178" s="12" t="s">
        <v>2539</v>
      </c>
      <c r="J178" s="11" t="s">
        <v>2330</v>
      </c>
      <c r="K178" s="11"/>
      <c r="L178" s="11" t="n">
        <f aca="false">IF(E178="","",IF(OR(AND(K178="Plan A",'All weeks'!$C$5="B"),AND(K178="Plan B",'All weeks'!$C$5="A")),0,IF(H178="Yes",E178,E178*IF(B178="Year 7",'All weeks'!$C$3,'All weeks'!$C$4))))</f>
        <v>10</v>
      </c>
    </row>
    <row r="179" customFormat="false" ht="35.05" hidden="false" customHeight="false" outlineLevel="0" collapsed="false">
      <c r="A179" s="11" t="n">
        <v>5</v>
      </c>
      <c r="B179" s="12" t="s">
        <v>153</v>
      </c>
      <c r="C179" s="12" t="s">
        <v>2358</v>
      </c>
      <c r="D179" s="12" t="s">
        <v>2540</v>
      </c>
      <c r="E179" s="11" t="n">
        <v>20</v>
      </c>
      <c r="F179" s="19" t="s">
        <v>2328</v>
      </c>
      <c r="G179" s="12" t="s">
        <v>2332</v>
      </c>
      <c r="H179" s="11" t="s">
        <v>2330</v>
      </c>
      <c r="I179" s="12" t="s">
        <v>2541</v>
      </c>
      <c r="J179" s="11" t="s">
        <v>2330</v>
      </c>
      <c r="K179" s="11"/>
      <c r="L179" s="11" t="n">
        <f aca="false">IF(E179="","",IF(OR(AND(K179="Plan A",'All weeks'!$C$5="B"),AND(K179="Plan B",'All weeks'!$C$5="A")),0,IF(H179="Yes",E179,E179*IF(B179="Year 7",'All weeks'!$C$3,'All weeks'!$C$4))))</f>
        <v>20</v>
      </c>
    </row>
    <row r="180" customFormat="false" ht="15" hidden="false" customHeight="false" outlineLevel="0" collapsed="false">
      <c r="A180" s="11" t="n">
        <v>5</v>
      </c>
      <c r="B180" s="12" t="s">
        <v>153</v>
      </c>
      <c r="C180" s="12" t="s">
        <v>2358</v>
      </c>
      <c r="D180" s="12" t="s">
        <v>2509</v>
      </c>
      <c r="E180" s="11" t="n">
        <v>5</v>
      </c>
      <c r="F180" s="19" t="s">
        <v>2328</v>
      </c>
      <c r="G180" s="12" t="s">
        <v>2332</v>
      </c>
      <c r="H180" s="11" t="s">
        <v>77</v>
      </c>
      <c r="I180" s="12" t="s">
        <v>2542</v>
      </c>
      <c r="J180" s="11" t="s">
        <v>2330</v>
      </c>
      <c r="K180" s="11"/>
      <c r="L180" s="11" t="n">
        <f aca="false">IF(E180="","",IF(OR(AND(K180="Plan A",'All weeks'!$C$5="B"),AND(K180="Plan B",'All weeks'!$C$5="A")),0,IF(H180="Yes",E180,E180*IF(B180="Year 7",'All weeks'!$C$3,'All weeks'!$C$4))))</f>
        <v>5</v>
      </c>
    </row>
    <row r="181" customFormat="false" ht="35.05" hidden="false" customHeight="false" outlineLevel="0" collapsed="false">
      <c r="A181" s="14" t="n">
        <v>6</v>
      </c>
      <c r="B181" s="15" t="s">
        <v>39</v>
      </c>
      <c r="C181" s="15" t="s">
        <v>2326</v>
      </c>
      <c r="D181" s="15" t="s">
        <v>2543</v>
      </c>
      <c r="E181" s="14" t="n">
        <v>5</v>
      </c>
      <c r="F181" s="20" t="s">
        <v>2328</v>
      </c>
      <c r="G181" s="15" t="s">
        <v>2332</v>
      </c>
      <c r="H181" s="14" t="s">
        <v>77</v>
      </c>
      <c r="I181" s="15" t="s">
        <v>2544</v>
      </c>
      <c r="J181" s="14" t="s">
        <v>2330</v>
      </c>
      <c r="K181" s="14" t="s">
        <v>964</v>
      </c>
      <c r="L181" s="14" t="n">
        <f aca="false">IF(E181="","",IF(OR(AND(K181="Plan A",'All weeks'!$C$5="B"),AND(K181="Plan B",'All weeks'!$C$5="A")),0,IF(H181="Yes",E181,E181*IF(B181="Year 7",'All weeks'!$C$3,'All weeks'!$C$4))))</f>
        <v>5</v>
      </c>
    </row>
    <row r="182" customFormat="false" ht="23.85" hidden="false" customHeight="false" outlineLevel="0" collapsed="false">
      <c r="A182" s="14" t="n">
        <v>6</v>
      </c>
      <c r="B182" s="15" t="s">
        <v>39</v>
      </c>
      <c r="C182" s="15" t="s">
        <v>2326</v>
      </c>
      <c r="D182" s="15" t="s">
        <v>2545</v>
      </c>
      <c r="E182" s="14" t="n">
        <v>10</v>
      </c>
      <c r="F182" s="20" t="s">
        <v>2328</v>
      </c>
      <c r="G182" s="15" t="s">
        <v>2329</v>
      </c>
      <c r="H182" s="14" t="s">
        <v>77</v>
      </c>
      <c r="I182" s="15"/>
      <c r="J182" s="14" t="s">
        <v>2330</v>
      </c>
      <c r="K182" s="14" t="s">
        <v>956</v>
      </c>
      <c r="L182" s="14" t="n">
        <f aca="false">IF(E182="","",IF(OR(AND(K182="Plan A",'All weeks'!$C$5="B"),AND(K182="Plan B",'All weeks'!$C$5="A")),0,IF(H182="Yes",E182,E182*IF(B182="Year 7",'All weeks'!$C$3,'All weeks'!$C$4))))</f>
        <v>10</v>
      </c>
    </row>
    <row r="183" customFormat="false" ht="35.05" hidden="false" customHeight="false" outlineLevel="0" collapsed="false">
      <c r="A183" s="14" t="n">
        <v>6</v>
      </c>
      <c r="B183" s="15" t="s">
        <v>39</v>
      </c>
      <c r="C183" s="15" t="s">
        <v>2334</v>
      </c>
      <c r="D183" s="15" t="s">
        <v>2546</v>
      </c>
      <c r="E183" s="14" t="n">
        <v>15</v>
      </c>
      <c r="F183" s="20" t="s">
        <v>2328</v>
      </c>
      <c r="G183" s="15" t="s">
        <v>2329</v>
      </c>
      <c r="H183" s="14" t="s">
        <v>77</v>
      </c>
      <c r="I183" s="15" t="s">
        <v>2547</v>
      </c>
      <c r="J183" s="14" t="s">
        <v>2330</v>
      </c>
      <c r="K183" s="14"/>
      <c r="L183" s="14" t="n">
        <f aca="false">IF(E183="","",IF(OR(AND(K183="Plan A",'All weeks'!$C$5="B"),AND(K183="Plan B",'All weeks'!$C$5="A")),0,IF(H183="Yes",E183,E183*IF(B183="Year 7",'All weeks'!$C$3,'All weeks'!$C$4))))</f>
        <v>15</v>
      </c>
    </row>
    <row r="184" customFormat="false" ht="23.85" hidden="false" customHeight="false" outlineLevel="0" collapsed="false">
      <c r="A184" s="14" t="n">
        <v>6</v>
      </c>
      <c r="B184" s="15" t="s">
        <v>39</v>
      </c>
      <c r="C184" s="15" t="s">
        <v>2334</v>
      </c>
      <c r="D184" s="15" t="s">
        <v>2548</v>
      </c>
      <c r="E184" s="14" t="n">
        <v>5</v>
      </c>
      <c r="F184" s="20" t="s">
        <v>2328</v>
      </c>
      <c r="G184" s="15" t="s">
        <v>2329</v>
      </c>
      <c r="H184" s="14" t="s">
        <v>77</v>
      </c>
      <c r="I184" s="15"/>
      <c r="J184" s="14" t="s">
        <v>2330</v>
      </c>
      <c r="K184" s="14" t="s">
        <v>964</v>
      </c>
      <c r="L184" s="14" t="n">
        <f aca="false">IF(E184="","",IF(OR(AND(K184="Plan A",'All weeks'!$C$5="B"),AND(K184="Plan B",'All weeks'!$C$5="A")),0,IF(H184="Yes",E184,E184*IF(B184="Year 7",'All weeks'!$C$3,'All weeks'!$C$4))))</f>
        <v>5</v>
      </c>
    </row>
    <row r="185" customFormat="false" ht="46.25" hidden="false" customHeight="false" outlineLevel="0" collapsed="false">
      <c r="A185" s="14" t="n">
        <v>6</v>
      </c>
      <c r="B185" s="15" t="s">
        <v>39</v>
      </c>
      <c r="C185" s="15" t="s">
        <v>2334</v>
      </c>
      <c r="D185" s="15" t="s">
        <v>2549</v>
      </c>
      <c r="E185" s="14" t="n">
        <v>5</v>
      </c>
      <c r="F185" s="20" t="s">
        <v>2328</v>
      </c>
      <c r="G185" s="15" t="s">
        <v>2340</v>
      </c>
      <c r="H185" s="14" t="s">
        <v>77</v>
      </c>
      <c r="I185" s="15" t="s">
        <v>2550</v>
      </c>
      <c r="J185" s="14" t="s">
        <v>2330</v>
      </c>
      <c r="K185" s="14"/>
      <c r="L185" s="14" t="n">
        <f aca="false">IF(E185="","",IF(OR(AND(K185="Plan A",'All weeks'!$C$5="B"),AND(K185="Plan B",'All weeks'!$C$5="A")),0,IF(H185="Yes",E185,E185*IF(B185="Year 7",'All weeks'!$C$3,'All weeks'!$C$4))))</f>
        <v>5</v>
      </c>
    </row>
    <row r="186" customFormat="false" ht="15" hidden="false" customHeight="false" outlineLevel="0" collapsed="false">
      <c r="A186" s="14" t="n">
        <v>6</v>
      </c>
      <c r="B186" s="15" t="s">
        <v>39</v>
      </c>
      <c r="C186" s="15" t="s">
        <v>2334</v>
      </c>
      <c r="D186" s="15" t="s">
        <v>2551</v>
      </c>
      <c r="E186" s="14" t="n">
        <v>5</v>
      </c>
      <c r="F186" s="20" t="s">
        <v>2328</v>
      </c>
      <c r="G186" s="15" t="s">
        <v>2329</v>
      </c>
      <c r="H186" s="14" t="s">
        <v>77</v>
      </c>
      <c r="I186" s="15"/>
      <c r="J186" s="14" t="s">
        <v>2330</v>
      </c>
      <c r="K186" s="14"/>
      <c r="L186" s="14" t="n">
        <f aca="false">IF(E186="","",IF(OR(AND(K186="Plan A",'All weeks'!$C$5="B"),AND(K186="Plan B",'All weeks'!$C$5="A")),0,IF(H186="Yes",E186,E186*IF(B186="Year 7",'All weeks'!$C$3,'All weeks'!$C$4))))</f>
        <v>5</v>
      </c>
    </row>
    <row r="187" customFormat="false" ht="15" hidden="false" customHeight="false" outlineLevel="0" collapsed="false">
      <c r="A187" s="14" t="n">
        <v>6</v>
      </c>
      <c r="B187" s="15" t="s">
        <v>39</v>
      </c>
      <c r="C187" s="15" t="s">
        <v>2334</v>
      </c>
      <c r="D187" s="15" t="s">
        <v>2552</v>
      </c>
      <c r="E187" s="14" t="n">
        <v>5</v>
      </c>
      <c r="F187" s="20" t="s">
        <v>2328</v>
      </c>
      <c r="G187" s="15" t="s">
        <v>2329</v>
      </c>
      <c r="H187" s="14" t="s">
        <v>77</v>
      </c>
      <c r="I187" s="15"/>
      <c r="J187" s="14" t="s">
        <v>2330</v>
      </c>
      <c r="K187" s="14"/>
      <c r="L187" s="14" t="n">
        <f aca="false">IF(E187="","",IF(OR(AND(K187="Plan A",'All weeks'!$C$5="B"),AND(K187="Plan B",'All weeks'!$C$5="A")),0,IF(H187="Yes",E187,E187*IF(B187="Year 7",'All weeks'!$C$3,'All weeks'!$C$4))))</f>
        <v>5</v>
      </c>
    </row>
    <row r="188" customFormat="false" ht="15" hidden="false" customHeight="false" outlineLevel="0" collapsed="false">
      <c r="A188" s="14" t="n">
        <v>6</v>
      </c>
      <c r="B188" s="15" t="s">
        <v>39</v>
      </c>
      <c r="C188" s="15" t="s">
        <v>2334</v>
      </c>
      <c r="D188" s="15" t="s">
        <v>2553</v>
      </c>
      <c r="E188" s="14" t="n">
        <v>5</v>
      </c>
      <c r="F188" s="15" t="s">
        <v>2342</v>
      </c>
      <c r="G188" s="15" t="s">
        <v>2329</v>
      </c>
      <c r="H188" s="14" t="s">
        <v>77</v>
      </c>
      <c r="I188" s="15"/>
      <c r="J188" s="14" t="s">
        <v>2330</v>
      </c>
      <c r="K188" s="14" t="s">
        <v>956</v>
      </c>
      <c r="L188" s="14" t="n">
        <f aca="false">IF(E188="","",IF(OR(AND(K188="Plan A",'All weeks'!$C$5="B"),AND(K188="Plan B",'All weeks'!$C$5="A")),0,IF(H188="Yes",E188,E188*IF(B188="Year 7",'All weeks'!$C$3,'All weeks'!$C$4))))</f>
        <v>5</v>
      </c>
    </row>
    <row r="189" customFormat="false" ht="23.85" hidden="false" customHeight="false" outlineLevel="0" collapsed="false">
      <c r="A189" s="14" t="n">
        <v>6</v>
      </c>
      <c r="B189" s="15" t="s">
        <v>39</v>
      </c>
      <c r="C189" s="15" t="s">
        <v>2334</v>
      </c>
      <c r="D189" s="15" t="s">
        <v>2554</v>
      </c>
      <c r="E189" s="14" t="n">
        <v>5</v>
      </c>
      <c r="F189" s="15" t="s">
        <v>2342</v>
      </c>
      <c r="G189" s="15" t="s">
        <v>2329</v>
      </c>
      <c r="H189" s="14" t="s">
        <v>77</v>
      </c>
      <c r="I189" s="15"/>
      <c r="J189" s="14" t="s">
        <v>2330</v>
      </c>
      <c r="K189" s="14" t="s">
        <v>956</v>
      </c>
      <c r="L189" s="14" t="n">
        <f aca="false">IF(E189="","",IF(OR(AND(K189="Plan A",'All weeks'!$C$5="B"),AND(K189="Plan B",'All weeks'!$C$5="A")),0,IF(H189="Yes",E189,E189*IF(B189="Year 7",'All weeks'!$C$3,'All weeks'!$C$4))))</f>
        <v>5</v>
      </c>
    </row>
    <row r="190" customFormat="false" ht="35.05" hidden="false" customHeight="false" outlineLevel="0" collapsed="false">
      <c r="A190" s="14" t="n">
        <v>6</v>
      </c>
      <c r="B190" s="15" t="s">
        <v>39</v>
      </c>
      <c r="C190" s="15" t="s">
        <v>2350</v>
      </c>
      <c r="D190" s="15" t="s">
        <v>2555</v>
      </c>
      <c r="E190" s="14" t="n">
        <v>10</v>
      </c>
      <c r="F190" s="20" t="s">
        <v>2328</v>
      </c>
      <c r="G190" s="15" t="s">
        <v>2332</v>
      </c>
      <c r="H190" s="14" t="s">
        <v>2330</v>
      </c>
      <c r="I190" s="15" t="s">
        <v>2556</v>
      </c>
      <c r="J190" s="14" t="s">
        <v>2330</v>
      </c>
      <c r="K190" s="14"/>
      <c r="L190" s="14" t="n">
        <f aca="false">IF(E190="","",IF(OR(AND(K190="Plan A",'All weeks'!$C$5="B"),AND(K190="Plan B",'All weeks'!$C$5="A")),0,IF(H190="Yes",E190,E190*IF(B190="Year 7",'All weeks'!$C$3,'All weeks'!$C$4))))</f>
        <v>10</v>
      </c>
    </row>
    <row r="191" customFormat="false" ht="15" hidden="false" customHeight="false" outlineLevel="0" collapsed="false">
      <c r="A191" s="14" t="n">
        <v>6</v>
      </c>
      <c r="B191" s="15" t="s">
        <v>39</v>
      </c>
      <c r="C191" s="15" t="s">
        <v>2350</v>
      </c>
      <c r="D191" s="15" t="s">
        <v>2557</v>
      </c>
      <c r="E191" s="14" t="n">
        <v>5</v>
      </c>
      <c r="F191" s="15" t="s">
        <v>2342</v>
      </c>
      <c r="G191" s="15" t="s">
        <v>2329</v>
      </c>
      <c r="H191" s="14" t="s">
        <v>2330</v>
      </c>
      <c r="I191" s="15"/>
      <c r="J191" s="14" t="s">
        <v>2330</v>
      </c>
      <c r="K191" s="14" t="s">
        <v>964</v>
      </c>
      <c r="L191" s="14" t="n">
        <f aca="false">IF(E191="","",IF(OR(AND(K191="Plan A",'All weeks'!$C$5="B"),AND(K191="Plan B",'All weeks'!$C$5="A")),0,IF(H191="Yes",E191,E191*IF(B191="Year 7",'All weeks'!$C$3,'All weeks'!$C$4))))</f>
        <v>5</v>
      </c>
    </row>
    <row r="192" customFormat="false" ht="46.25" hidden="false" customHeight="false" outlineLevel="0" collapsed="false">
      <c r="A192" s="14" t="n">
        <v>6</v>
      </c>
      <c r="B192" s="15" t="s">
        <v>39</v>
      </c>
      <c r="C192" s="15" t="s">
        <v>2350</v>
      </c>
      <c r="D192" s="15" t="s">
        <v>2558</v>
      </c>
      <c r="E192" s="14" t="n">
        <v>10</v>
      </c>
      <c r="F192" s="15" t="s">
        <v>2342</v>
      </c>
      <c r="G192" s="15" t="s">
        <v>2329</v>
      </c>
      <c r="H192" s="14" t="s">
        <v>2330</v>
      </c>
      <c r="I192" s="15"/>
      <c r="J192" s="14" t="s">
        <v>2330</v>
      </c>
      <c r="K192" s="14" t="s">
        <v>964</v>
      </c>
      <c r="L192" s="14" t="n">
        <f aca="false">IF(E192="","",IF(OR(AND(K192="Plan A",'All weeks'!$C$5="B"),AND(K192="Plan B",'All weeks'!$C$5="A")),0,IF(H192="Yes",E192,E192*IF(B192="Year 7",'All weeks'!$C$3,'All weeks'!$C$4))))</f>
        <v>10</v>
      </c>
    </row>
    <row r="193" customFormat="false" ht="46.25" hidden="false" customHeight="false" outlineLevel="0" collapsed="false">
      <c r="A193" s="14" t="n">
        <v>6</v>
      </c>
      <c r="B193" s="15" t="s">
        <v>39</v>
      </c>
      <c r="C193" s="15" t="s">
        <v>2350</v>
      </c>
      <c r="D193" s="15" t="s">
        <v>2559</v>
      </c>
      <c r="E193" s="14" t="n">
        <v>5</v>
      </c>
      <c r="F193" s="15" t="s">
        <v>2342</v>
      </c>
      <c r="G193" s="15" t="s">
        <v>2329</v>
      </c>
      <c r="H193" s="14" t="s">
        <v>2330</v>
      </c>
      <c r="I193" s="15"/>
      <c r="J193" s="14" t="s">
        <v>2330</v>
      </c>
      <c r="K193" s="14" t="s">
        <v>956</v>
      </c>
      <c r="L193" s="14" t="n">
        <f aca="false">IF(E193="","",IF(OR(AND(K193="Plan A",'All weeks'!$C$5="B"),AND(K193="Plan B",'All weeks'!$C$5="A")),0,IF(H193="Yes",E193,E193*IF(B193="Year 7",'All weeks'!$C$3,'All weeks'!$C$4))))</f>
        <v>5</v>
      </c>
    </row>
    <row r="194" customFormat="false" ht="23.85" hidden="false" customHeight="false" outlineLevel="0" collapsed="false">
      <c r="A194" s="14" t="n">
        <v>6</v>
      </c>
      <c r="B194" s="15" t="s">
        <v>39</v>
      </c>
      <c r="C194" s="15" t="s">
        <v>2352</v>
      </c>
      <c r="D194" s="15" t="s">
        <v>2560</v>
      </c>
      <c r="E194" s="14" t="n">
        <v>10</v>
      </c>
      <c r="F194" s="15" t="s">
        <v>2342</v>
      </c>
      <c r="G194" s="15" t="s">
        <v>2329</v>
      </c>
      <c r="H194" s="14" t="s">
        <v>2330</v>
      </c>
      <c r="I194" s="15"/>
      <c r="J194" s="14" t="s">
        <v>2330</v>
      </c>
      <c r="K194" s="14" t="s">
        <v>964</v>
      </c>
      <c r="L194" s="14" t="n">
        <f aca="false">IF(E194="","",IF(OR(AND(K194="Plan A",'All weeks'!$C$5="B"),AND(K194="Plan B",'All weeks'!$C$5="A")),0,IF(H194="Yes",E194,E194*IF(B194="Year 7",'All weeks'!$C$3,'All weeks'!$C$4))))</f>
        <v>10</v>
      </c>
    </row>
    <row r="195" customFormat="false" ht="46.25" hidden="false" customHeight="false" outlineLevel="0" collapsed="false">
      <c r="A195" s="14" t="n">
        <v>6</v>
      </c>
      <c r="B195" s="15" t="s">
        <v>39</v>
      </c>
      <c r="C195" s="15" t="s">
        <v>2352</v>
      </c>
      <c r="D195" s="15" t="s">
        <v>2561</v>
      </c>
      <c r="E195" s="14" t="n">
        <v>5</v>
      </c>
      <c r="F195" s="20" t="s">
        <v>2328</v>
      </c>
      <c r="G195" s="15" t="s">
        <v>2332</v>
      </c>
      <c r="H195" s="14" t="s">
        <v>2330</v>
      </c>
      <c r="I195" s="15"/>
      <c r="J195" s="14" t="s">
        <v>2330</v>
      </c>
      <c r="K195" s="14"/>
      <c r="L195" s="14" t="n">
        <f aca="false">IF(E195="","",IF(OR(AND(K195="Plan A",'All weeks'!$C$5="B"),AND(K195="Plan B",'All weeks'!$C$5="A")),0,IF(H195="Yes",E195,E195*IF(B195="Year 7",'All weeks'!$C$3,'All weeks'!$C$4))))</f>
        <v>5</v>
      </c>
    </row>
    <row r="196" customFormat="false" ht="35.05" hidden="false" customHeight="false" outlineLevel="0" collapsed="false">
      <c r="A196" s="14" t="n">
        <v>6</v>
      </c>
      <c r="B196" s="15" t="s">
        <v>39</v>
      </c>
      <c r="C196" s="15" t="s">
        <v>2352</v>
      </c>
      <c r="D196" s="15" t="s">
        <v>2562</v>
      </c>
      <c r="E196" s="14" t="n">
        <v>5</v>
      </c>
      <c r="F196" s="15" t="s">
        <v>2342</v>
      </c>
      <c r="G196" s="15" t="s">
        <v>2332</v>
      </c>
      <c r="H196" s="14" t="s">
        <v>2330</v>
      </c>
      <c r="I196" s="15"/>
      <c r="J196" s="14" t="s">
        <v>2330</v>
      </c>
      <c r="K196" s="14" t="s">
        <v>956</v>
      </c>
      <c r="L196" s="14" t="n">
        <f aca="false">IF(E196="","",IF(OR(AND(K196="Plan A",'All weeks'!$C$5="B"),AND(K196="Plan B",'All weeks'!$C$5="A")),0,IF(H196="Yes",E196,E196*IF(B196="Year 7",'All weeks'!$C$3,'All weeks'!$C$4))))</f>
        <v>5</v>
      </c>
    </row>
    <row r="197" customFormat="false" ht="35.05" hidden="false" customHeight="false" outlineLevel="0" collapsed="false">
      <c r="A197" s="14" t="n">
        <v>6</v>
      </c>
      <c r="B197" s="15" t="s">
        <v>39</v>
      </c>
      <c r="C197" s="15" t="s">
        <v>2358</v>
      </c>
      <c r="D197" s="15" t="s">
        <v>2563</v>
      </c>
      <c r="E197" s="14" t="n">
        <v>3</v>
      </c>
      <c r="F197" s="20" t="s">
        <v>2328</v>
      </c>
      <c r="G197" s="15" t="s">
        <v>2357</v>
      </c>
      <c r="H197" s="14" t="s">
        <v>2330</v>
      </c>
      <c r="I197" s="15"/>
      <c r="J197" s="14" t="s">
        <v>2330</v>
      </c>
      <c r="K197" s="14" t="s">
        <v>964</v>
      </c>
      <c r="L197" s="14" t="n">
        <f aca="false">IF(E197="","",IF(OR(AND(K197="Plan A",'All weeks'!$C$5="B"),AND(K197="Plan B",'All weeks'!$C$5="A")),0,IF(H197="Yes",E197,E197*IF(B197="Year 7",'All weeks'!$C$3,'All weeks'!$C$4))))</f>
        <v>3</v>
      </c>
    </row>
    <row r="198" customFormat="false" ht="15" hidden="false" customHeight="false" outlineLevel="0" collapsed="false">
      <c r="A198" s="14" t="n">
        <v>6</v>
      </c>
      <c r="B198" s="15" t="s">
        <v>39</v>
      </c>
      <c r="C198" s="15" t="s">
        <v>2358</v>
      </c>
      <c r="D198" s="15" t="s">
        <v>2564</v>
      </c>
      <c r="E198" s="14" t="n">
        <v>2</v>
      </c>
      <c r="F198" s="20" t="s">
        <v>2328</v>
      </c>
      <c r="G198" s="15" t="s">
        <v>2332</v>
      </c>
      <c r="H198" s="14" t="s">
        <v>2330</v>
      </c>
      <c r="I198" s="15"/>
      <c r="J198" s="14" t="s">
        <v>2330</v>
      </c>
      <c r="K198" s="14" t="s">
        <v>956</v>
      </c>
      <c r="L198" s="14" t="n">
        <f aca="false">IF(E198="","",IF(OR(AND(K198="Plan A",'All weeks'!$C$5="B"),AND(K198="Plan B",'All weeks'!$C$5="A")),0,IF(H198="Yes",E198,E198*IF(B198="Year 7",'All weeks'!$C$3,'All weeks'!$C$4))))</f>
        <v>2</v>
      </c>
    </row>
    <row r="199" customFormat="false" ht="35.05" hidden="false" customHeight="false" outlineLevel="0" collapsed="false">
      <c r="A199" s="14" t="n">
        <v>6</v>
      </c>
      <c r="B199" s="15" t="s">
        <v>39</v>
      </c>
      <c r="C199" s="15" t="s">
        <v>2358</v>
      </c>
      <c r="D199" s="15" t="s">
        <v>2565</v>
      </c>
      <c r="E199" s="14" t="n">
        <v>3</v>
      </c>
      <c r="F199" s="20" t="s">
        <v>2328</v>
      </c>
      <c r="G199" s="15" t="s">
        <v>2357</v>
      </c>
      <c r="H199" s="14" t="s">
        <v>2330</v>
      </c>
      <c r="I199" s="15"/>
      <c r="J199" s="14" t="s">
        <v>2330</v>
      </c>
      <c r="K199" s="14" t="s">
        <v>956</v>
      </c>
      <c r="L199" s="14" t="n">
        <f aca="false">IF(E199="","",IF(OR(AND(K199="Plan A",'All weeks'!$C$5="B"),AND(K199="Plan B",'All weeks'!$C$5="A")),0,IF(H199="Yes",E199,E199*IF(B199="Year 7",'All weeks'!$C$3,'All weeks'!$C$4))))</f>
        <v>3</v>
      </c>
    </row>
    <row r="200" customFormat="false" ht="35.05" hidden="false" customHeight="false" outlineLevel="0" collapsed="false">
      <c r="A200" s="14" t="n">
        <v>6</v>
      </c>
      <c r="B200" s="15" t="s">
        <v>39</v>
      </c>
      <c r="C200" s="15" t="s">
        <v>2358</v>
      </c>
      <c r="D200" s="15" t="s">
        <v>2566</v>
      </c>
      <c r="E200" s="14" t="n">
        <v>10</v>
      </c>
      <c r="F200" s="20" t="s">
        <v>2328</v>
      </c>
      <c r="G200" s="15" t="s">
        <v>2329</v>
      </c>
      <c r="H200" s="14" t="s">
        <v>2330</v>
      </c>
      <c r="I200" s="15" t="s">
        <v>2567</v>
      </c>
      <c r="J200" s="14" t="s">
        <v>2330</v>
      </c>
      <c r="K200" s="14"/>
      <c r="L200" s="14" t="n">
        <f aca="false">IF(E200="","",IF(OR(AND(K200="Plan A",'All weeks'!$C$5="B"),AND(K200="Plan B",'All weeks'!$C$5="A")),0,IF(H200="Yes",E200,E200*IF(B200="Year 7",'All weeks'!$C$3,'All weeks'!$C$4))))</f>
        <v>10</v>
      </c>
    </row>
    <row r="201" customFormat="false" ht="35.05" hidden="false" customHeight="false" outlineLevel="0" collapsed="false">
      <c r="A201" s="14" t="n">
        <v>6</v>
      </c>
      <c r="B201" s="15" t="s">
        <v>39</v>
      </c>
      <c r="C201" s="15" t="s">
        <v>2358</v>
      </c>
      <c r="D201" s="15" t="s">
        <v>2568</v>
      </c>
      <c r="E201" s="14" t="n">
        <v>15</v>
      </c>
      <c r="F201" s="20" t="s">
        <v>2328</v>
      </c>
      <c r="G201" s="15" t="s">
        <v>2332</v>
      </c>
      <c r="H201" s="14" t="s">
        <v>2330</v>
      </c>
      <c r="I201" s="15" t="s">
        <v>2569</v>
      </c>
      <c r="J201" s="14" t="s">
        <v>2330</v>
      </c>
      <c r="K201" s="14"/>
      <c r="L201" s="14" t="n">
        <f aca="false">IF(E201="","",IF(OR(AND(K201="Plan A",'All weeks'!$C$5="B"),AND(K201="Plan B",'All weeks'!$C$5="A")),0,IF(H201="Yes",E201,E201*IF(B201="Year 7",'All weeks'!$C$3,'All weeks'!$C$4))))</f>
        <v>15</v>
      </c>
    </row>
    <row r="202" customFormat="false" ht="35.05" hidden="false" customHeight="false" outlineLevel="0" collapsed="false">
      <c r="A202" s="14" t="n">
        <v>6</v>
      </c>
      <c r="B202" s="15" t="s">
        <v>153</v>
      </c>
      <c r="C202" s="15" t="s">
        <v>2334</v>
      </c>
      <c r="D202" s="15" t="s">
        <v>2570</v>
      </c>
      <c r="E202" s="14" t="n">
        <v>30</v>
      </c>
      <c r="F202" s="15" t="s">
        <v>2377</v>
      </c>
      <c r="G202" s="15" t="s">
        <v>2332</v>
      </c>
      <c r="H202" s="14" t="s">
        <v>77</v>
      </c>
      <c r="I202" s="15"/>
      <c r="J202" s="14" t="s">
        <v>2330</v>
      </c>
      <c r="K202" s="14"/>
      <c r="L202" s="14" t="n">
        <f aca="false">IF(E202="","",IF(OR(AND(K202="Plan A",'All weeks'!$C$5="B"),AND(K202="Plan B",'All weeks'!$C$5="A")),0,IF(H202="Yes",E202,E202*IF(B202="Year 7",'All weeks'!$C$3,'All weeks'!$C$4))))</f>
        <v>30</v>
      </c>
    </row>
    <row r="203" customFormat="false" ht="23.85" hidden="false" customHeight="false" outlineLevel="0" collapsed="false">
      <c r="A203" s="14" t="n">
        <v>6</v>
      </c>
      <c r="B203" s="15" t="s">
        <v>153</v>
      </c>
      <c r="C203" s="15" t="s">
        <v>2334</v>
      </c>
      <c r="D203" s="15" t="s">
        <v>2571</v>
      </c>
      <c r="E203" s="14" t="n">
        <v>20</v>
      </c>
      <c r="F203" s="20" t="s">
        <v>2328</v>
      </c>
      <c r="G203" s="15" t="s">
        <v>2332</v>
      </c>
      <c r="H203" s="14" t="s">
        <v>77</v>
      </c>
      <c r="I203" s="15"/>
      <c r="J203" s="14" t="s">
        <v>2330</v>
      </c>
      <c r="K203" s="14"/>
      <c r="L203" s="14" t="n">
        <f aca="false">IF(E203="","",IF(OR(AND(K203="Plan A",'All weeks'!$C$5="B"),AND(K203="Plan B",'All weeks'!$C$5="A")),0,IF(H203="Yes",E203,E203*IF(B203="Year 7",'All weeks'!$C$3,'All weeks'!$C$4))))</f>
        <v>20</v>
      </c>
    </row>
    <row r="204" customFormat="false" ht="46.25" hidden="false" customHeight="false" outlineLevel="0" collapsed="false">
      <c r="A204" s="14" t="n">
        <v>6</v>
      </c>
      <c r="B204" s="15" t="s">
        <v>153</v>
      </c>
      <c r="C204" s="15" t="s">
        <v>2334</v>
      </c>
      <c r="D204" s="15" t="s">
        <v>2572</v>
      </c>
      <c r="E204" s="14" t="n">
        <v>5</v>
      </c>
      <c r="F204" s="20" t="s">
        <v>2328</v>
      </c>
      <c r="G204" s="15" t="s">
        <v>2340</v>
      </c>
      <c r="H204" s="14" t="s">
        <v>77</v>
      </c>
      <c r="I204" s="15"/>
      <c r="J204" s="14" t="s">
        <v>2330</v>
      </c>
      <c r="K204" s="14"/>
      <c r="L204" s="14" t="n">
        <f aca="false">IF(E204="","",IF(OR(AND(K204="Plan A",'All weeks'!$C$5="B"),AND(K204="Plan B",'All weeks'!$C$5="A")),0,IF(H204="Yes",E204,E204*IF(B204="Year 7",'All weeks'!$C$3,'All weeks'!$C$4))))</f>
        <v>5</v>
      </c>
    </row>
    <row r="205" customFormat="false" ht="35.05" hidden="false" customHeight="false" outlineLevel="0" collapsed="false">
      <c r="A205" s="14" t="n">
        <v>6</v>
      </c>
      <c r="B205" s="15" t="s">
        <v>153</v>
      </c>
      <c r="C205" s="15" t="s">
        <v>2334</v>
      </c>
      <c r="D205" s="15" t="s">
        <v>2573</v>
      </c>
      <c r="E205" s="14" t="n">
        <v>5</v>
      </c>
      <c r="F205" s="20" t="s">
        <v>2328</v>
      </c>
      <c r="G205" s="15" t="s">
        <v>2329</v>
      </c>
      <c r="H205" s="14" t="s">
        <v>2330</v>
      </c>
      <c r="I205" s="15"/>
      <c r="J205" s="14" t="s">
        <v>2330</v>
      </c>
      <c r="K205" s="14"/>
      <c r="L205" s="14" t="n">
        <f aca="false">IF(E205="","",IF(OR(AND(K205="Plan A",'All weeks'!$C$5="B"),AND(K205="Plan B",'All weeks'!$C$5="A")),0,IF(H205="Yes",E205,E205*IF(B205="Year 7",'All weeks'!$C$3,'All weeks'!$C$4))))</f>
        <v>5</v>
      </c>
    </row>
    <row r="206" customFormat="false" ht="15" hidden="false" customHeight="false" outlineLevel="0" collapsed="false">
      <c r="A206" s="14" t="n">
        <v>6</v>
      </c>
      <c r="B206" s="15" t="s">
        <v>153</v>
      </c>
      <c r="C206" s="15" t="s">
        <v>2334</v>
      </c>
      <c r="D206" s="15" t="s">
        <v>2574</v>
      </c>
      <c r="E206" s="14" t="n">
        <v>10</v>
      </c>
      <c r="F206" s="20" t="s">
        <v>2328</v>
      </c>
      <c r="G206" s="15" t="s">
        <v>2329</v>
      </c>
      <c r="H206" s="14" t="s">
        <v>77</v>
      </c>
      <c r="I206" s="15"/>
      <c r="J206" s="14" t="s">
        <v>105</v>
      </c>
      <c r="K206" s="14"/>
      <c r="L206" s="14" t="n">
        <f aca="false">IF(E206="","",IF(OR(AND(K206="Plan A",'All weeks'!$C$5="B"),AND(K206="Plan B",'All weeks'!$C$5="A")),0,IF(H206="Yes",E206,E206*IF(B206="Year 7",'All weeks'!$C$3,'All weeks'!$C$4))))</f>
        <v>10</v>
      </c>
    </row>
    <row r="207" customFormat="false" ht="15" hidden="false" customHeight="false" outlineLevel="0" collapsed="false">
      <c r="A207" s="14" t="n">
        <v>6</v>
      </c>
      <c r="B207" s="15" t="s">
        <v>153</v>
      </c>
      <c r="C207" s="15" t="s">
        <v>2334</v>
      </c>
      <c r="D207" s="15" t="s">
        <v>2575</v>
      </c>
      <c r="E207" s="14" t="n">
        <v>10</v>
      </c>
      <c r="F207" s="20" t="s">
        <v>2328</v>
      </c>
      <c r="G207" s="15" t="s">
        <v>2329</v>
      </c>
      <c r="H207" s="14" t="s">
        <v>77</v>
      </c>
      <c r="I207" s="15"/>
      <c r="J207" s="14" t="s">
        <v>2330</v>
      </c>
      <c r="K207" s="14"/>
      <c r="L207" s="14" t="n">
        <f aca="false">IF(E207="","",IF(OR(AND(K207="Plan A",'All weeks'!$C$5="B"),AND(K207="Plan B",'All weeks'!$C$5="A")),0,IF(H207="Yes",E207,E207*IF(B207="Year 7",'All weeks'!$C$3,'All weeks'!$C$4))))</f>
        <v>10</v>
      </c>
    </row>
    <row r="208" customFormat="false" ht="35.05" hidden="false" customHeight="false" outlineLevel="0" collapsed="false">
      <c r="A208" s="14" t="n">
        <v>6</v>
      </c>
      <c r="B208" s="15" t="s">
        <v>153</v>
      </c>
      <c r="C208" s="15" t="s">
        <v>2334</v>
      </c>
      <c r="D208" s="15" t="s">
        <v>2576</v>
      </c>
      <c r="E208" s="14" t="n">
        <v>10</v>
      </c>
      <c r="F208" s="20" t="s">
        <v>2328</v>
      </c>
      <c r="G208" s="15" t="s">
        <v>2329</v>
      </c>
      <c r="H208" s="14" t="s">
        <v>77</v>
      </c>
      <c r="I208" s="15"/>
      <c r="J208" s="14" t="s">
        <v>2330</v>
      </c>
      <c r="K208" s="14"/>
      <c r="L208" s="14" t="n">
        <f aca="false">IF(E208="","",IF(OR(AND(K208="Plan A",'All weeks'!$C$5="B"),AND(K208="Plan B",'All weeks'!$C$5="A")),0,IF(H208="Yes",E208,E208*IF(B208="Year 7",'All weeks'!$C$3,'All weeks'!$C$4))))</f>
        <v>10</v>
      </c>
    </row>
    <row r="209" customFormat="false" ht="23.85" hidden="false" customHeight="false" outlineLevel="0" collapsed="false">
      <c r="A209" s="14" t="n">
        <v>6</v>
      </c>
      <c r="B209" s="15" t="s">
        <v>153</v>
      </c>
      <c r="C209" s="15" t="s">
        <v>2334</v>
      </c>
      <c r="D209" s="15" t="s">
        <v>2577</v>
      </c>
      <c r="E209" s="14" t="n">
        <v>5</v>
      </c>
      <c r="F209" s="20" t="s">
        <v>2328</v>
      </c>
      <c r="G209" s="15" t="s">
        <v>2332</v>
      </c>
      <c r="H209" s="14" t="s">
        <v>2330</v>
      </c>
      <c r="I209" s="15" t="s">
        <v>2578</v>
      </c>
      <c r="J209" s="14" t="s">
        <v>2330</v>
      </c>
      <c r="K209" s="14"/>
      <c r="L209" s="14" t="n">
        <f aca="false">IF(E209="","",IF(OR(AND(K209="Plan A",'All weeks'!$C$5="B"),AND(K209="Plan B",'All weeks'!$C$5="A")),0,IF(H209="Yes",E209,E209*IF(B209="Year 7",'All weeks'!$C$3,'All weeks'!$C$4))))</f>
        <v>5</v>
      </c>
    </row>
    <row r="210" customFormat="false" ht="57.45" hidden="false" customHeight="false" outlineLevel="0" collapsed="false">
      <c r="A210" s="14" t="n">
        <v>6</v>
      </c>
      <c r="B210" s="15" t="s">
        <v>153</v>
      </c>
      <c r="C210" s="15" t="s">
        <v>2350</v>
      </c>
      <c r="D210" s="15" t="s">
        <v>2579</v>
      </c>
      <c r="E210" s="14" t="n">
        <v>8</v>
      </c>
      <c r="F210" s="20" t="s">
        <v>2328</v>
      </c>
      <c r="G210" s="15" t="s">
        <v>2329</v>
      </c>
      <c r="H210" s="14" t="s">
        <v>77</v>
      </c>
      <c r="I210" s="15" t="s">
        <v>2580</v>
      </c>
      <c r="J210" s="14" t="s">
        <v>2330</v>
      </c>
      <c r="K210" s="14"/>
      <c r="L210" s="14" t="n">
        <f aca="false">IF(E210="","",IF(OR(AND(K210="Plan A",'All weeks'!$C$5="B"),AND(K210="Plan B",'All weeks'!$C$5="A")),0,IF(H210="Yes",E210,E210*IF(B210="Year 7",'All weeks'!$C$3,'All weeks'!$C$4))))</f>
        <v>8</v>
      </c>
    </row>
    <row r="211" customFormat="false" ht="15" hidden="false" customHeight="false" outlineLevel="0" collapsed="false">
      <c r="A211" s="14" t="n">
        <v>6</v>
      </c>
      <c r="B211" s="15" t="s">
        <v>153</v>
      </c>
      <c r="C211" s="15" t="s">
        <v>2350</v>
      </c>
      <c r="D211" s="15" t="s">
        <v>2581</v>
      </c>
      <c r="E211" s="14" t="n">
        <v>3</v>
      </c>
      <c r="F211" s="20" t="s">
        <v>2328</v>
      </c>
      <c r="G211" s="15" t="s">
        <v>2332</v>
      </c>
      <c r="H211" s="14" t="s">
        <v>77</v>
      </c>
      <c r="I211" s="15"/>
      <c r="J211" s="14" t="s">
        <v>2330</v>
      </c>
      <c r="K211" s="14"/>
      <c r="L211" s="14" t="n">
        <f aca="false">IF(E211="","",IF(OR(AND(K211="Plan A",'All weeks'!$C$5="B"),AND(K211="Plan B",'All weeks'!$C$5="A")),0,IF(H211="Yes",E211,E211*IF(B211="Year 7",'All weeks'!$C$3,'All weeks'!$C$4))))</f>
        <v>3</v>
      </c>
    </row>
    <row r="212" customFormat="false" ht="35.05" hidden="false" customHeight="false" outlineLevel="0" collapsed="false">
      <c r="A212" s="14" t="n">
        <v>6</v>
      </c>
      <c r="B212" s="15" t="s">
        <v>153</v>
      </c>
      <c r="C212" s="15" t="s">
        <v>2352</v>
      </c>
      <c r="D212" s="15" t="s">
        <v>2582</v>
      </c>
      <c r="E212" s="14" t="n">
        <v>2</v>
      </c>
      <c r="F212" s="20" t="s">
        <v>2328</v>
      </c>
      <c r="G212" s="15" t="s">
        <v>2332</v>
      </c>
      <c r="H212" s="14" t="s">
        <v>2330</v>
      </c>
      <c r="I212" s="15"/>
      <c r="J212" s="14" t="s">
        <v>2330</v>
      </c>
      <c r="K212" s="14"/>
      <c r="L212" s="14" t="n">
        <f aca="false">IF(E212="","",IF(OR(AND(K212="Plan A",'All weeks'!$C$5="B"),AND(K212="Plan B",'All weeks'!$C$5="A")),0,IF(H212="Yes",E212,E212*IF(B212="Year 7",'All weeks'!$C$3,'All weeks'!$C$4))))</f>
        <v>2</v>
      </c>
    </row>
    <row r="213" customFormat="false" ht="46.25" hidden="false" customHeight="false" outlineLevel="0" collapsed="false">
      <c r="A213" s="14" t="n">
        <v>6</v>
      </c>
      <c r="B213" s="15" t="s">
        <v>153</v>
      </c>
      <c r="C213" s="15" t="s">
        <v>2352</v>
      </c>
      <c r="D213" s="15" t="s">
        <v>2583</v>
      </c>
      <c r="E213" s="14" t="n">
        <v>5</v>
      </c>
      <c r="F213" s="20" t="s">
        <v>2328</v>
      </c>
      <c r="G213" s="15" t="s">
        <v>2329</v>
      </c>
      <c r="H213" s="14" t="s">
        <v>2330</v>
      </c>
      <c r="I213" s="15"/>
      <c r="J213" s="14" t="s">
        <v>2330</v>
      </c>
      <c r="K213" s="14"/>
      <c r="L213" s="14" t="n">
        <f aca="false">IF(E213="","",IF(OR(AND(K213="Plan A",'All weeks'!$C$5="B"),AND(K213="Plan B",'All weeks'!$C$5="A")),0,IF(H213="Yes",E213,E213*IF(B213="Year 7",'All weeks'!$C$3,'All weeks'!$C$4))))</f>
        <v>5</v>
      </c>
    </row>
    <row r="214" customFormat="false" ht="35.05" hidden="false" customHeight="false" outlineLevel="0" collapsed="false">
      <c r="A214" s="14" t="n">
        <v>6</v>
      </c>
      <c r="B214" s="15" t="s">
        <v>153</v>
      </c>
      <c r="C214" s="15" t="s">
        <v>2358</v>
      </c>
      <c r="D214" s="15" t="s">
        <v>2584</v>
      </c>
      <c r="E214" s="14" t="n">
        <v>3</v>
      </c>
      <c r="F214" s="20" t="s">
        <v>2328</v>
      </c>
      <c r="G214" s="15" t="s">
        <v>2357</v>
      </c>
      <c r="H214" s="14" t="s">
        <v>2330</v>
      </c>
      <c r="I214" s="15"/>
      <c r="J214" s="14" t="s">
        <v>2330</v>
      </c>
      <c r="K214" s="14"/>
      <c r="L214" s="14" t="n">
        <f aca="false">IF(E214="","",IF(OR(AND(K214="Plan A",'All weeks'!$C$5="B"),AND(K214="Plan B",'All weeks'!$C$5="A")),0,IF(H214="Yes",E214,E214*IF(B214="Year 7",'All weeks'!$C$3,'All weeks'!$C$4))))</f>
        <v>3</v>
      </c>
    </row>
    <row r="215" customFormat="false" ht="35.05" hidden="false" customHeight="false" outlineLevel="0" collapsed="false">
      <c r="A215" s="14" t="n">
        <v>6</v>
      </c>
      <c r="B215" s="15" t="s">
        <v>153</v>
      </c>
      <c r="C215" s="15" t="s">
        <v>2358</v>
      </c>
      <c r="D215" s="15" t="s">
        <v>2585</v>
      </c>
      <c r="E215" s="14" t="n">
        <v>10</v>
      </c>
      <c r="F215" s="20" t="s">
        <v>2328</v>
      </c>
      <c r="G215" s="15" t="s">
        <v>2329</v>
      </c>
      <c r="H215" s="14" t="s">
        <v>77</v>
      </c>
      <c r="I215" s="15"/>
      <c r="J215" s="14" t="s">
        <v>2330</v>
      </c>
      <c r="K215" s="14"/>
      <c r="L215" s="14" t="n">
        <f aca="false">IF(E215="","",IF(OR(AND(K215="Plan A",'All weeks'!$C$5="B"),AND(K215="Plan B",'All weeks'!$C$5="A")),0,IF(H215="Yes",E215,E215*IF(B215="Year 7",'All weeks'!$C$3,'All weeks'!$C$4))))</f>
        <v>10</v>
      </c>
    </row>
    <row r="216" customFormat="false" ht="57.45" hidden="false" customHeight="false" outlineLevel="0" collapsed="false">
      <c r="A216" s="14" t="n">
        <v>6</v>
      </c>
      <c r="B216" s="15" t="s">
        <v>153</v>
      </c>
      <c r="C216" s="15" t="s">
        <v>2358</v>
      </c>
      <c r="D216" s="15" t="s">
        <v>2586</v>
      </c>
      <c r="E216" s="14" t="n">
        <v>15</v>
      </c>
      <c r="F216" s="20" t="s">
        <v>2328</v>
      </c>
      <c r="G216" s="15" t="s">
        <v>2332</v>
      </c>
      <c r="H216" s="14" t="s">
        <v>2330</v>
      </c>
      <c r="I216" s="15" t="s">
        <v>2587</v>
      </c>
      <c r="J216" s="14" t="s">
        <v>2330</v>
      </c>
      <c r="K216" s="14"/>
      <c r="L216" s="14" t="n">
        <f aca="false">IF(E216="","",IF(OR(AND(K216="Plan A",'All weeks'!$C$5="B"),AND(K216="Plan B",'All weeks'!$C$5="A")),0,IF(H216="Yes",E216,E216*IF(B216="Year 7",'All weeks'!$C$3,'All weeks'!$C$4))))</f>
        <v>15</v>
      </c>
    </row>
    <row r="217" customFormat="false" ht="46.25" hidden="false" customHeight="false" outlineLevel="0" collapsed="false">
      <c r="A217" s="11" t="n">
        <v>7</v>
      </c>
      <c r="B217" s="12" t="s">
        <v>39</v>
      </c>
      <c r="C217" s="12" t="s">
        <v>2326</v>
      </c>
      <c r="D217" s="12" t="s">
        <v>2588</v>
      </c>
      <c r="E217" s="11" t="n">
        <v>5</v>
      </c>
      <c r="F217" s="19" t="s">
        <v>2328</v>
      </c>
      <c r="G217" s="12" t="s">
        <v>2340</v>
      </c>
      <c r="H217" s="11" t="s">
        <v>77</v>
      </c>
      <c r="I217" s="12" t="s">
        <v>2589</v>
      </c>
      <c r="J217" s="11" t="s">
        <v>2330</v>
      </c>
      <c r="K217" s="11"/>
      <c r="L217" s="11" t="n">
        <f aca="false">IF(E217="","",IF(OR(AND(K217="Plan A",'All weeks'!$C$5="B"),AND(K217="Plan B",'All weeks'!$C$5="A")),0,IF(H217="Yes",E217,E217*IF(B217="Year 7",'All weeks'!$C$3,'All weeks'!$C$4))))</f>
        <v>5</v>
      </c>
    </row>
    <row r="218" customFormat="false" ht="57.45" hidden="false" customHeight="false" outlineLevel="0" collapsed="false">
      <c r="A218" s="11" t="n">
        <v>7</v>
      </c>
      <c r="B218" s="12" t="s">
        <v>39</v>
      </c>
      <c r="C218" s="12" t="s">
        <v>2334</v>
      </c>
      <c r="D218" s="12" t="s">
        <v>2590</v>
      </c>
      <c r="E218" s="11" t="n">
        <v>15</v>
      </c>
      <c r="F218" s="19" t="s">
        <v>2328</v>
      </c>
      <c r="G218" s="12" t="s">
        <v>2329</v>
      </c>
      <c r="H218" s="11" t="s">
        <v>77</v>
      </c>
      <c r="I218" s="12"/>
      <c r="J218" s="11" t="s">
        <v>2330</v>
      </c>
      <c r="K218" s="11"/>
      <c r="L218" s="11" t="n">
        <f aca="false">IF(E218="","",IF(OR(AND(K218="Plan A",'All weeks'!$C$5="B"),AND(K218="Plan B",'All weeks'!$C$5="A")),0,IF(H218="Yes",E218,E218*IF(B218="Year 7",'All weeks'!$C$3,'All weeks'!$C$4))))</f>
        <v>15</v>
      </c>
    </row>
    <row r="219" customFormat="false" ht="23.85" hidden="false" customHeight="false" outlineLevel="0" collapsed="false">
      <c r="A219" s="11" t="n">
        <v>7</v>
      </c>
      <c r="B219" s="12" t="s">
        <v>39</v>
      </c>
      <c r="C219" s="12" t="s">
        <v>2334</v>
      </c>
      <c r="D219" s="12" t="s">
        <v>2591</v>
      </c>
      <c r="E219" s="11" t="n">
        <v>5</v>
      </c>
      <c r="F219" s="19" t="s">
        <v>2328</v>
      </c>
      <c r="G219" s="12" t="s">
        <v>2332</v>
      </c>
      <c r="H219" s="11" t="s">
        <v>77</v>
      </c>
      <c r="I219" s="12" t="s">
        <v>2592</v>
      </c>
      <c r="J219" s="11" t="s">
        <v>2330</v>
      </c>
      <c r="K219" s="11" t="s">
        <v>964</v>
      </c>
      <c r="L219" s="11" t="n">
        <f aca="false">IF(E219="","",IF(OR(AND(K219="Plan A",'All weeks'!$C$5="B"),AND(K219="Plan B",'All weeks'!$C$5="A")),0,IF(H219="Yes",E219,E219*IF(B219="Year 7",'All weeks'!$C$3,'All weeks'!$C$4))))</f>
        <v>5</v>
      </c>
    </row>
    <row r="220" customFormat="false" ht="23.85" hidden="false" customHeight="false" outlineLevel="0" collapsed="false">
      <c r="A220" s="11" t="n">
        <v>7</v>
      </c>
      <c r="B220" s="12" t="s">
        <v>39</v>
      </c>
      <c r="C220" s="12" t="s">
        <v>2334</v>
      </c>
      <c r="D220" s="12" t="s">
        <v>2593</v>
      </c>
      <c r="E220" s="11" t="n">
        <v>5</v>
      </c>
      <c r="F220" s="12" t="s">
        <v>2342</v>
      </c>
      <c r="G220" s="12" t="s">
        <v>2332</v>
      </c>
      <c r="H220" s="11" t="s">
        <v>2330</v>
      </c>
      <c r="I220" s="12"/>
      <c r="J220" s="11" t="s">
        <v>2330</v>
      </c>
      <c r="K220" s="11" t="s">
        <v>956</v>
      </c>
      <c r="L220" s="11" t="n">
        <f aca="false">IF(E220="","",IF(OR(AND(K220="Plan A",'All weeks'!$C$5="B"),AND(K220="Plan B",'All weeks'!$C$5="A")),0,IF(H220="Yes",E220,E220*IF(B220="Year 7",'All weeks'!$C$3,'All weeks'!$C$4))))</f>
        <v>5</v>
      </c>
    </row>
    <row r="221" customFormat="false" ht="23.85" hidden="false" customHeight="false" outlineLevel="0" collapsed="false">
      <c r="A221" s="11" t="n">
        <v>7</v>
      </c>
      <c r="B221" s="12" t="s">
        <v>39</v>
      </c>
      <c r="C221" s="12" t="s">
        <v>2334</v>
      </c>
      <c r="D221" s="12" t="s">
        <v>2594</v>
      </c>
      <c r="E221" s="11" t="n">
        <v>10</v>
      </c>
      <c r="F221" s="19" t="s">
        <v>2328</v>
      </c>
      <c r="G221" s="12" t="s">
        <v>2332</v>
      </c>
      <c r="H221" s="11" t="s">
        <v>2330</v>
      </c>
      <c r="I221" s="12"/>
      <c r="J221" s="11" t="s">
        <v>2330</v>
      </c>
      <c r="K221" s="11"/>
      <c r="L221" s="11" t="n">
        <f aca="false">IF(E221="","",IF(OR(AND(K221="Plan A",'All weeks'!$C$5="B"),AND(K221="Plan B",'All weeks'!$C$5="A")),0,IF(H221="Yes",E221,E221*IF(B221="Year 7",'All weeks'!$C$3,'All weeks'!$C$4))))</f>
        <v>10</v>
      </c>
    </row>
    <row r="222" customFormat="false" ht="35.05" hidden="false" customHeight="false" outlineLevel="0" collapsed="false">
      <c r="A222" s="11" t="n">
        <v>7</v>
      </c>
      <c r="B222" s="12" t="s">
        <v>39</v>
      </c>
      <c r="C222" s="12" t="s">
        <v>2334</v>
      </c>
      <c r="D222" s="12" t="s">
        <v>2595</v>
      </c>
      <c r="E222" s="11" t="n">
        <v>25</v>
      </c>
      <c r="F222" s="12" t="s">
        <v>2342</v>
      </c>
      <c r="G222" s="12" t="s">
        <v>2329</v>
      </c>
      <c r="H222" s="11" t="s">
        <v>2330</v>
      </c>
      <c r="I222" s="12"/>
      <c r="J222" s="11" t="s">
        <v>2330</v>
      </c>
      <c r="K222" s="11"/>
      <c r="L222" s="11" t="n">
        <f aca="false">IF(E222="","",IF(OR(AND(K222="Plan A",'All weeks'!$C$5="B"),AND(K222="Plan B",'All weeks'!$C$5="A")),0,IF(H222="Yes",E222,E222*IF(B222="Year 7",'All weeks'!$C$3,'All weeks'!$C$4))))</f>
        <v>25</v>
      </c>
    </row>
    <row r="223" customFormat="false" ht="15" hidden="false" customHeight="false" outlineLevel="0" collapsed="false">
      <c r="A223" s="11" t="n">
        <v>7</v>
      </c>
      <c r="B223" s="12" t="s">
        <v>39</v>
      </c>
      <c r="C223" s="12" t="s">
        <v>2334</v>
      </c>
      <c r="D223" s="12" t="s">
        <v>2596</v>
      </c>
      <c r="E223" s="11" t="n">
        <v>5</v>
      </c>
      <c r="F223" s="19" t="s">
        <v>2328</v>
      </c>
      <c r="G223" s="12" t="s">
        <v>2329</v>
      </c>
      <c r="H223" s="11" t="s">
        <v>2330</v>
      </c>
      <c r="I223" s="12" t="s">
        <v>2597</v>
      </c>
      <c r="J223" s="11" t="s">
        <v>105</v>
      </c>
      <c r="K223" s="11"/>
      <c r="L223" s="11" t="n">
        <f aca="false">IF(E223="","",IF(OR(AND(K223="Plan A",'All weeks'!$C$5="B"),AND(K223="Plan B",'All weeks'!$C$5="A")),0,IF(H223="Yes",E223,E223*IF(B223="Year 7",'All weeks'!$C$3,'All weeks'!$C$4))))</f>
        <v>5</v>
      </c>
    </row>
    <row r="224" customFormat="false" ht="15" hidden="false" customHeight="false" outlineLevel="0" collapsed="false">
      <c r="A224" s="11" t="n">
        <v>7</v>
      </c>
      <c r="B224" s="12" t="s">
        <v>39</v>
      </c>
      <c r="C224" s="12" t="s">
        <v>2334</v>
      </c>
      <c r="D224" s="12" t="s">
        <v>2598</v>
      </c>
      <c r="E224" s="11" t="n">
        <v>10</v>
      </c>
      <c r="F224" s="19" t="s">
        <v>2328</v>
      </c>
      <c r="G224" s="12" t="s">
        <v>2329</v>
      </c>
      <c r="H224" s="11" t="s">
        <v>2330</v>
      </c>
      <c r="I224" s="12"/>
      <c r="J224" s="11" t="s">
        <v>2330</v>
      </c>
      <c r="K224" s="11"/>
      <c r="L224" s="11" t="n">
        <f aca="false">IF(E224="","",IF(OR(AND(K224="Plan A",'All weeks'!$C$5="B"),AND(K224="Plan B",'All weeks'!$C$5="A")),0,IF(H224="Yes",E224,E224*IF(B224="Year 7",'All weeks'!$C$3,'All weeks'!$C$4))))</f>
        <v>10</v>
      </c>
    </row>
    <row r="225" customFormat="false" ht="23.85" hidden="false" customHeight="false" outlineLevel="0" collapsed="false">
      <c r="A225" s="11" t="n">
        <v>7</v>
      </c>
      <c r="B225" s="12" t="s">
        <v>39</v>
      </c>
      <c r="C225" s="12" t="s">
        <v>2334</v>
      </c>
      <c r="D225" s="12" t="s">
        <v>2599</v>
      </c>
      <c r="E225" s="11" t="n">
        <v>10</v>
      </c>
      <c r="F225" s="19" t="s">
        <v>2328</v>
      </c>
      <c r="G225" s="12" t="s">
        <v>2329</v>
      </c>
      <c r="H225" s="11" t="s">
        <v>77</v>
      </c>
      <c r="I225" s="12"/>
      <c r="J225" s="11" t="s">
        <v>2330</v>
      </c>
      <c r="K225" s="11"/>
      <c r="L225" s="11" t="n">
        <f aca="false">IF(E225="","",IF(OR(AND(K225="Plan A",'All weeks'!$C$5="B"),AND(K225="Plan B",'All weeks'!$C$5="A")),0,IF(H225="Yes",E225,E225*IF(B225="Year 7",'All weeks'!$C$3,'All weeks'!$C$4))))</f>
        <v>10</v>
      </c>
    </row>
    <row r="226" customFormat="false" ht="46.25" hidden="false" customHeight="false" outlineLevel="0" collapsed="false">
      <c r="A226" s="11" t="n">
        <v>7</v>
      </c>
      <c r="B226" s="12" t="s">
        <v>39</v>
      </c>
      <c r="C226" s="12" t="s">
        <v>2350</v>
      </c>
      <c r="D226" s="12" t="s">
        <v>2600</v>
      </c>
      <c r="E226" s="11" t="n">
        <v>20</v>
      </c>
      <c r="F226" s="12" t="s">
        <v>2342</v>
      </c>
      <c r="G226" s="12" t="s">
        <v>2329</v>
      </c>
      <c r="H226" s="11" t="s">
        <v>2330</v>
      </c>
      <c r="I226" s="12"/>
      <c r="J226" s="11" t="s">
        <v>2330</v>
      </c>
      <c r="K226" s="11" t="s">
        <v>964</v>
      </c>
      <c r="L226" s="11" t="n">
        <f aca="false">IF(E226="","",IF(OR(AND(K226="Plan A",'All weeks'!$C$5="B"),AND(K226="Plan B",'All weeks'!$C$5="A")),0,IF(H226="Yes",E226,E226*IF(B226="Year 7",'All weeks'!$C$3,'All weeks'!$C$4))))</f>
        <v>20</v>
      </c>
    </row>
    <row r="227" customFormat="false" ht="23.85" hidden="false" customHeight="false" outlineLevel="0" collapsed="false">
      <c r="A227" s="11" t="n">
        <v>7</v>
      </c>
      <c r="B227" s="12" t="s">
        <v>39</v>
      </c>
      <c r="C227" s="12" t="s">
        <v>2350</v>
      </c>
      <c r="D227" s="12" t="s">
        <v>2601</v>
      </c>
      <c r="E227" s="11" t="n">
        <v>10</v>
      </c>
      <c r="F227" s="12" t="s">
        <v>2342</v>
      </c>
      <c r="G227" s="12" t="s">
        <v>2329</v>
      </c>
      <c r="H227" s="11" t="s">
        <v>2330</v>
      </c>
      <c r="I227" s="12"/>
      <c r="J227" s="11" t="s">
        <v>2330</v>
      </c>
      <c r="K227" s="11" t="s">
        <v>956</v>
      </c>
      <c r="L227" s="11" t="n">
        <f aca="false">IF(E227="","",IF(OR(AND(K227="Plan A",'All weeks'!$C$5="B"),AND(K227="Plan B",'All weeks'!$C$5="A")),0,IF(H227="Yes",E227,E227*IF(B227="Year 7",'All weeks'!$C$3,'All weeks'!$C$4))))</f>
        <v>10</v>
      </c>
    </row>
    <row r="228" customFormat="false" ht="23.85" hidden="false" customHeight="false" outlineLevel="0" collapsed="false">
      <c r="A228" s="11" t="n">
        <v>7</v>
      </c>
      <c r="B228" s="12" t="s">
        <v>39</v>
      </c>
      <c r="C228" s="12" t="s">
        <v>2350</v>
      </c>
      <c r="D228" s="12" t="s">
        <v>2602</v>
      </c>
      <c r="E228" s="11" t="n">
        <v>5</v>
      </c>
      <c r="F228" s="12" t="s">
        <v>2342</v>
      </c>
      <c r="G228" s="12" t="s">
        <v>2332</v>
      </c>
      <c r="H228" s="11" t="s">
        <v>2330</v>
      </c>
      <c r="I228" s="12" t="s">
        <v>2592</v>
      </c>
      <c r="J228" s="11" t="s">
        <v>2330</v>
      </c>
      <c r="K228" s="11" t="s">
        <v>964</v>
      </c>
      <c r="L228" s="11" t="n">
        <f aca="false">IF(E228="","",IF(OR(AND(K228="Plan A",'All weeks'!$C$5="B"),AND(K228="Plan B",'All weeks'!$C$5="A")),0,IF(H228="Yes",E228,E228*IF(B228="Year 7",'All weeks'!$C$3,'All weeks'!$C$4))))</f>
        <v>5</v>
      </c>
    </row>
    <row r="229" customFormat="false" ht="23.85" hidden="false" customHeight="false" outlineLevel="0" collapsed="false">
      <c r="A229" s="11" t="n">
        <v>7</v>
      </c>
      <c r="B229" s="12" t="s">
        <v>39</v>
      </c>
      <c r="C229" s="12" t="s">
        <v>2350</v>
      </c>
      <c r="D229" s="12" t="s">
        <v>2603</v>
      </c>
      <c r="E229" s="11" t="n">
        <v>5</v>
      </c>
      <c r="F229" s="19" t="s">
        <v>2328</v>
      </c>
      <c r="G229" s="12" t="s">
        <v>2329</v>
      </c>
      <c r="H229" s="11" t="s">
        <v>2330</v>
      </c>
      <c r="I229" s="12" t="s">
        <v>2592</v>
      </c>
      <c r="J229" s="11" t="s">
        <v>2330</v>
      </c>
      <c r="K229" s="11" t="s">
        <v>956</v>
      </c>
      <c r="L229" s="11" t="n">
        <f aca="false">IF(E229="","",IF(OR(AND(K229="Plan A",'All weeks'!$C$5="B"),AND(K229="Plan B",'All weeks'!$C$5="A")),0,IF(H229="Yes",E229,E229*IF(B229="Year 7",'All weeks'!$C$3,'All weeks'!$C$4))))</f>
        <v>5</v>
      </c>
    </row>
    <row r="230" customFormat="false" ht="35.05" hidden="false" customHeight="false" outlineLevel="0" collapsed="false">
      <c r="A230" s="11" t="n">
        <v>7</v>
      </c>
      <c r="B230" s="12" t="s">
        <v>39</v>
      </c>
      <c r="C230" s="12" t="s">
        <v>2350</v>
      </c>
      <c r="D230" s="12" t="s">
        <v>2604</v>
      </c>
      <c r="E230" s="11" t="n">
        <v>5</v>
      </c>
      <c r="F230" s="19" t="s">
        <v>2328</v>
      </c>
      <c r="G230" s="12" t="s">
        <v>2332</v>
      </c>
      <c r="H230" s="11" t="s">
        <v>2330</v>
      </c>
      <c r="I230" s="12" t="s">
        <v>2597</v>
      </c>
      <c r="J230" s="11" t="s">
        <v>2330</v>
      </c>
      <c r="K230" s="11"/>
      <c r="L230" s="11" t="n">
        <f aca="false">IF(E230="","",IF(OR(AND(K230="Plan A",'All weeks'!$C$5="B"),AND(K230="Plan B",'All weeks'!$C$5="A")),0,IF(H230="Yes",E230,E230*IF(B230="Year 7",'All weeks'!$C$3,'All weeks'!$C$4))))</f>
        <v>5</v>
      </c>
    </row>
    <row r="231" customFormat="false" ht="35.05" hidden="false" customHeight="false" outlineLevel="0" collapsed="false">
      <c r="A231" s="11" t="n">
        <v>7</v>
      </c>
      <c r="B231" s="12" t="s">
        <v>39</v>
      </c>
      <c r="C231" s="12" t="s">
        <v>2352</v>
      </c>
      <c r="D231" s="12" t="s">
        <v>2605</v>
      </c>
      <c r="E231" s="11" t="n">
        <v>20</v>
      </c>
      <c r="F231" s="12" t="s">
        <v>2342</v>
      </c>
      <c r="G231" s="12" t="s">
        <v>2329</v>
      </c>
      <c r="H231" s="11" t="s">
        <v>2330</v>
      </c>
      <c r="I231" s="12"/>
      <c r="J231" s="11" t="s">
        <v>2330</v>
      </c>
      <c r="K231" s="11" t="s">
        <v>956</v>
      </c>
      <c r="L231" s="11" t="n">
        <f aca="false">IF(E231="","",IF(OR(AND(K231="Plan A",'All weeks'!$C$5="B"),AND(K231="Plan B",'All weeks'!$C$5="A")),0,IF(H231="Yes",E231,E231*IF(B231="Year 7",'All weeks'!$C$3,'All weeks'!$C$4))))</f>
        <v>20</v>
      </c>
    </row>
    <row r="232" customFormat="false" ht="46.25" hidden="false" customHeight="false" outlineLevel="0" collapsed="false">
      <c r="A232" s="11" t="n">
        <v>7</v>
      </c>
      <c r="B232" s="12" t="s">
        <v>39</v>
      </c>
      <c r="C232" s="12" t="s">
        <v>2352</v>
      </c>
      <c r="D232" s="12" t="s">
        <v>2606</v>
      </c>
      <c r="E232" s="11" t="n">
        <v>10</v>
      </c>
      <c r="F232" s="19" t="s">
        <v>2328</v>
      </c>
      <c r="G232" s="12" t="s">
        <v>2329</v>
      </c>
      <c r="H232" s="11" t="s">
        <v>2330</v>
      </c>
      <c r="I232" s="12"/>
      <c r="J232" s="11" t="s">
        <v>2330</v>
      </c>
      <c r="K232" s="11" t="s">
        <v>964</v>
      </c>
      <c r="L232" s="11" t="n">
        <f aca="false">IF(E232="","",IF(OR(AND(K232="Plan A",'All weeks'!$C$5="B"),AND(K232="Plan B",'All weeks'!$C$5="A")),0,IF(H232="Yes",E232,E232*IF(B232="Year 7",'All weeks'!$C$3,'All weeks'!$C$4))))</f>
        <v>10</v>
      </c>
    </row>
    <row r="233" customFormat="false" ht="35.05" hidden="false" customHeight="false" outlineLevel="0" collapsed="false">
      <c r="A233" s="11" t="n">
        <v>7</v>
      </c>
      <c r="B233" s="12" t="s">
        <v>39</v>
      </c>
      <c r="C233" s="12" t="s">
        <v>2352</v>
      </c>
      <c r="D233" s="12" t="s">
        <v>2607</v>
      </c>
      <c r="E233" s="11" t="n">
        <v>10</v>
      </c>
      <c r="F233" s="19" t="s">
        <v>2328</v>
      </c>
      <c r="G233" s="12" t="s">
        <v>2329</v>
      </c>
      <c r="H233" s="11" t="s">
        <v>2330</v>
      </c>
      <c r="I233" s="12"/>
      <c r="J233" s="11" t="s">
        <v>2330</v>
      </c>
      <c r="K233" s="11" t="s">
        <v>956</v>
      </c>
      <c r="L233" s="11" t="n">
        <f aca="false">IF(E233="","",IF(OR(AND(K233="Plan A",'All weeks'!$C$5="B"),AND(K233="Plan B",'All weeks'!$C$5="A")),0,IF(H233="Yes",E233,E233*IF(B233="Year 7",'All weeks'!$C$3,'All weeks'!$C$4))))</f>
        <v>10</v>
      </c>
    </row>
    <row r="234" customFormat="false" ht="46.25" hidden="false" customHeight="false" outlineLevel="0" collapsed="false">
      <c r="A234" s="11" t="n">
        <v>7</v>
      </c>
      <c r="B234" s="12" t="s">
        <v>39</v>
      </c>
      <c r="C234" s="12" t="s">
        <v>2358</v>
      </c>
      <c r="D234" s="12" t="s">
        <v>2608</v>
      </c>
      <c r="E234" s="11" t="n">
        <v>2</v>
      </c>
      <c r="F234" s="12" t="s">
        <v>2417</v>
      </c>
      <c r="G234" s="12" t="s">
        <v>2357</v>
      </c>
      <c r="H234" s="11" t="s">
        <v>2330</v>
      </c>
      <c r="I234" s="12"/>
      <c r="J234" s="11" t="s">
        <v>2330</v>
      </c>
      <c r="K234" s="11"/>
      <c r="L234" s="11" t="n">
        <f aca="false">IF(E234="","",IF(OR(AND(K234="Plan A",'All weeks'!$C$5="B"),AND(K234="Plan B",'All weeks'!$C$5="A")),0,IF(H234="Yes",E234,E234*IF(B234="Year 7",'All weeks'!$C$3,'All weeks'!$C$4))))</f>
        <v>2</v>
      </c>
    </row>
    <row r="235" customFormat="false" ht="23.85" hidden="false" customHeight="false" outlineLevel="0" collapsed="false">
      <c r="A235" s="11" t="n">
        <v>7</v>
      </c>
      <c r="B235" s="12" t="s">
        <v>39</v>
      </c>
      <c r="C235" s="12" t="s">
        <v>2358</v>
      </c>
      <c r="D235" s="12" t="s">
        <v>2609</v>
      </c>
      <c r="E235" s="11" t="n">
        <v>5</v>
      </c>
      <c r="F235" s="19" t="s">
        <v>2328</v>
      </c>
      <c r="G235" s="12" t="s">
        <v>2332</v>
      </c>
      <c r="H235" s="11" t="s">
        <v>2330</v>
      </c>
      <c r="I235" s="12" t="s">
        <v>2610</v>
      </c>
      <c r="J235" s="11" t="s">
        <v>2330</v>
      </c>
      <c r="K235" s="11" t="s">
        <v>964</v>
      </c>
      <c r="L235" s="11" t="n">
        <f aca="false">IF(E235="","",IF(OR(AND(K235="Plan A",'All weeks'!$C$5="B"),AND(K235="Plan B",'All weeks'!$C$5="A")),0,IF(H235="Yes",E235,E235*IF(B235="Year 7",'All weeks'!$C$3,'All weeks'!$C$4))))</f>
        <v>5</v>
      </c>
    </row>
    <row r="236" customFormat="false" ht="15" hidden="false" customHeight="false" outlineLevel="0" collapsed="false">
      <c r="A236" s="11" t="n">
        <v>7</v>
      </c>
      <c r="B236" s="12" t="s">
        <v>39</v>
      </c>
      <c r="C236" s="12" t="s">
        <v>2358</v>
      </c>
      <c r="D236" s="12" t="s">
        <v>2611</v>
      </c>
      <c r="E236" s="11" t="n">
        <v>3</v>
      </c>
      <c r="F236" s="19" t="s">
        <v>2328</v>
      </c>
      <c r="G236" s="12" t="s">
        <v>2332</v>
      </c>
      <c r="H236" s="11" t="s">
        <v>2330</v>
      </c>
      <c r="I236" s="12" t="s">
        <v>2610</v>
      </c>
      <c r="J236" s="11" t="s">
        <v>2330</v>
      </c>
      <c r="K236" s="11" t="s">
        <v>956</v>
      </c>
      <c r="L236" s="11" t="n">
        <f aca="false">IF(E236="","",IF(OR(AND(K236="Plan A",'All weeks'!$C$5="B"),AND(K236="Plan B",'All weeks'!$C$5="A")),0,IF(H236="Yes",E236,E236*IF(B236="Year 7",'All weeks'!$C$3,'All weeks'!$C$4))))</f>
        <v>3</v>
      </c>
    </row>
    <row r="237" customFormat="false" ht="15" hidden="false" customHeight="false" outlineLevel="0" collapsed="false">
      <c r="A237" s="11" t="n">
        <v>7</v>
      </c>
      <c r="B237" s="12" t="s">
        <v>39</v>
      </c>
      <c r="C237" s="12" t="s">
        <v>2358</v>
      </c>
      <c r="D237" s="12" t="s">
        <v>2612</v>
      </c>
      <c r="E237" s="11" t="n">
        <v>10</v>
      </c>
      <c r="F237" s="19" t="s">
        <v>2328</v>
      </c>
      <c r="G237" s="12" t="s">
        <v>2332</v>
      </c>
      <c r="H237" s="11" t="s">
        <v>2330</v>
      </c>
      <c r="I237" s="12"/>
      <c r="J237" s="11" t="s">
        <v>2330</v>
      </c>
      <c r="K237" s="11" t="s">
        <v>956</v>
      </c>
      <c r="L237" s="11" t="n">
        <f aca="false">IF(E237="","",IF(OR(AND(K237="Plan A",'All weeks'!$C$5="B"),AND(K237="Plan B",'All weeks'!$C$5="A")),0,IF(H237="Yes",E237,E237*IF(B237="Year 7",'All weeks'!$C$3,'All weeks'!$C$4))))</f>
        <v>10</v>
      </c>
    </row>
    <row r="238" customFormat="false" ht="23.85" hidden="false" customHeight="false" outlineLevel="0" collapsed="false">
      <c r="A238" s="11" t="n">
        <v>7</v>
      </c>
      <c r="B238" s="12" t="s">
        <v>39</v>
      </c>
      <c r="C238" s="12" t="s">
        <v>2358</v>
      </c>
      <c r="D238" s="12" t="s">
        <v>2613</v>
      </c>
      <c r="E238" s="11" t="n">
        <v>5</v>
      </c>
      <c r="F238" s="19" t="s">
        <v>2328</v>
      </c>
      <c r="G238" s="12" t="s">
        <v>2329</v>
      </c>
      <c r="H238" s="11" t="s">
        <v>2330</v>
      </c>
      <c r="I238" s="12"/>
      <c r="J238" s="11" t="s">
        <v>2330</v>
      </c>
      <c r="K238" s="11"/>
      <c r="L238" s="11" t="n">
        <f aca="false">IF(E238="","",IF(OR(AND(K238="Plan A",'All weeks'!$C$5="B"),AND(K238="Plan B",'All weeks'!$C$5="A")),0,IF(H238="Yes",E238,E238*IF(B238="Year 7",'All weeks'!$C$3,'All weeks'!$C$4))))</f>
        <v>5</v>
      </c>
    </row>
    <row r="239" customFormat="false" ht="23.85" hidden="false" customHeight="false" outlineLevel="0" collapsed="false">
      <c r="A239" s="11" t="n">
        <v>7</v>
      </c>
      <c r="B239" s="12" t="s">
        <v>39</v>
      </c>
      <c r="C239" s="12" t="s">
        <v>2358</v>
      </c>
      <c r="D239" s="12" t="s">
        <v>2614</v>
      </c>
      <c r="E239" s="11" t="n">
        <v>5</v>
      </c>
      <c r="F239" s="19" t="s">
        <v>2328</v>
      </c>
      <c r="G239" s="12" t="s">
        <v>2332</v>
      </c>
      <c r="H239" s="11" t="s">
        <v>2330</v>
      </c>
      <c r="I239" s="12" t="s">
        <v>2615</v>
      </c>
      <c r="J239" s="11" t="s">
        <v>2330</v>
      </c>
      <c r="K239" s="11"/>
      <c r="L239" s="11" t="n">
        <f aca="false">IF(E239="","",IF(OR(AND(K239="Plan A",'All weeks'!$C$5="B"),AND(K239="Plan B",'All weeks'!$C$5="A")),0,IF(H239="Yes",E239,E239*IF(B239="Year 7",'All weeks'!$C$3,'All weeks'!$C$4))))</f>
        <v>5</v>
      </c>
    </row>
    <row r="240" customFormat="false" ht="23.85" hidden="false" customHeight="false" outlineLevel="0" collapsed="false">
      <c r="A240" s="11" t="n">
        <v>7</v>
      </c>
      <c r="B240" s="12" t="s">
        <v>39</v>
      </c>
      <c r="C240" s="12" t="s">
        <v>2358</v>
      </c>
      <c r="D240" s="12" t="s">
        <v>2616</v>
      </c>
      <c r="E240" s="11" t="n">
        <v>10</v>
      </c>
      <c r="F240" s="19" t="s">
        <v>2328</v>
      </c>
      <c r="G240" s="12" t="s">
        <v>2332</v>
      </c>
      <c r="H240" s="11" t="s">
        <v>2330</v>
      </c>
      <c r="I240" s="12"/>
      <c r="J240" s="11" t="s">
        <v>2330</v>
      </c>
      <c r="K240" s="11"/>
      <c r="L240" s="11" t="n">
        <f aca="false">IF(E240="","",IF(OR(AND(K240="Plan A",'All weeks'!$C$5="B"),AND(K240="Plan B",'All weeks'!$C$5="A")),0,IF(H240="Yes",E240,E240*IF(B240="Year 7",'All weeks'!$C$3,'All weeks'!$C$4))))</f>
        <v>10</v>
      </c>
    </row>
    <row r="241" customFormat="false" ht="46.25" hidden="false" customHeight="false" outlineLevel="0" collapsed="false">
      <c r="A241" s="11" t="n">
        <v>7</v>
      </c>
      <c r="B241" s="12" t="s">
        <v>153</v>
      </c>
      <c r="C241" s="12" t="s">
        <v>2326</v>
      </c>
      <c r="D241" s="12" t="s">
        <v>2617</v>
      </c>
      <c r="E241" s="11" t="n">
        <v>5</v>
      </c>
      <c r="F241" s="19" t="s">
        <v>2328</v>
      </c>
      <c r="G241" s="12" t="s">
        <v>2340</v>
      </c>
      <c r="H241" s="11" t="s">
        <v>77</v>
      </c>
      <c r="I241" s="12" t="s">
        <v>2618</v>
      </c>
      <c r="J241" s="11" t="s">
        <v>2330</v>
      </c>
      <c r="K241" s="11"/>
      <c r="L241" s="11" t="n">
        <f aca="false">IF(E241="","",IF(OR(AND(K241="Plan A",'All weeks'!$C$5="B"),AND(K241="Plan B",'All weeks'!$C$5="A")),0,IF(H241="Yes",E241,E241*IF(B241="Year 7",'All weeks'!$C$3,'All weeks'!$C$4))))</f>
        <v>5</v>
      </c>
    </row>
    <row r="242" customFormat="false" ht="124.6" hidden="false" customHeight="false" outlineLevel="0" collapsed="false">
      <c r="A242" s="11" t="n">
        <v>7</v>
      </c>
      <c r="B242" s="12" t="s">
        <v>153</v>
      </c>
      <c r="C242" s="12" t="s">
        <v>2334</v>
      </c>
      <c r="D242" s="12" t="s">
        <v>2619</v>
      </c>
      <c r="E242" s="11" t="n">
        <v>30</v>
      </c>
      <c r="F242" s="12" t="s">
        <v>2342</v>
      </c>
      <c r="G242" s="12" t="s">
        <v>2332</v>
      </c>
      <c r="H242" s="11" t="s">
        <v>2330</v>
      </c>
      <c r="I242" s="12" t="s">
        <v>2620</v>
      </c>
      <c r="J242" s="11" t="s">
        <v>2330</v>
      </c>
      <c r="K242" s="11"/>
      <c r="L242" s="11" t="n">
        <f aca="false">IF(E242="","",IF(OR(AND(K242="Plan A",'All weeks'!$C$5="B"),AND(K242="Plan B",'All weeks'!$C$5="A")),0,IF(H242="Yes",E242,E242*IF(B242="Year 7",'All weeks'!$C$3,'All weeks'!$C$4))))</f>
        <v>30</v>
      </c>
    </row>
    <row r="243" customFormat="false" ht="35.05" hidden="false" customHeight="false" outlineLevel="0" collapsed="false">
      <c r="A243" s="11" t="n">
        <v>7</v>
      </c>
      <c r="B243" s="12" t="s">
        <v>153</v>
      </c>
      <c r="C243" s="12" t="s">
        <v>2334</v>
      </c>
      <c r="D243" s="12" t="s">
        <v>2621</v>
      </c>
      <c r="E243" s="11" t="n">
        <v>10</v>
      </c>
      <c r="F243" s="19" t="s">
        <v>2328</v>
      </c>
      <c r="G243" s="12" t="s">
        <v>2329</v>
      </c>
      <c r="H243" s="11" t="s">
        <v>2330</v>
      </c>
      <c r="I243" s="12" t="s">
        <v>2622</v>
      </c>
      <c r="J243" s="11" t="s">
        <v>105</v>
      </c>
      <c r="K243" s="11"/>
      <c r="L243" s="11" t="n">
        <f aca="false">IF(E243="","",IF(OR(AND(K243="Plan A",'All weeks'!$C$5="B"),AND(K243="Plan B",'All weeks'!$C$5="A")),0,IF(H243="Yes",E243,E243*IF(B243="Year 7",'All weeks'!$C$3,'All weeks'!$C$4))))</f>
        <v>10</v>
      </c>
    </row>
    <row r="244" customFormat="false" ht="35.05" hidden="false" customHeight="false" outlineLevel="0" collapsed="false">
      <c r="A244" s="11" t="n">
        <v>7</v>
      </c>
      <c r="B244" s="12" t="s">
        <v>153</v>
      </c>
      <c r="C244" s="12" t="s">
        <v>2334</v>
      </c>
      <c r="D244" s="12" t="s">
        <v>2623</v>
      </c>
      <c r="E244" s="11" t="n">
        <v>5</v>
      </c>
      <c r="F244" s="19" t="s">
        <v>2328</v>
      </c>
      <c r="G244" s="12" t="s">
        <v>2329</v>
      </c>
      <c r="H244" s="11" t="s">
        <v>77</v>
      </c>
      <c r="I244" s="12"/>
      <c r="J244" s="11" t="s">
        <v>2330</v>
      </c>
      <c r="K244" s="11"/>
      <c r="L244" s="11" t="n">
        <f aca="false">IF(E244="","",IF(OR(AND(K244="Plan A",'All weeks'!$C$5="B"),AND(K244="Plan B",'All weeks'!$C$5="A")),0,IF(H244="Yes",E244,E244*IF(B244="Year 7",'All weeks'!$C$3,'All weeks'!$C$4))))</f>
        <v>5</v>
      </c>
    </row>
    <row r="245" customFormat="false" ht="23.85" hidden="false" customHeight="false" outlineLevel="0" collapsed="false">
      <c r="A245" s="11" t="n">
        <v>7</v>
      </c>
      <c r="B245" s="12" t="s">
        <v>153</v>
      </c>
      <c r="C245" s="12" t="s">
        <v>2334</v>
      </c>
      <c r="D245" s="12" t="s">
        <v>2624</v>
      </c>
      <c r="E245" s="11" t="n">
        <v>5</v>
      </c>
      <c r="F245" s="19" t="s">
        <v>2328</v>
      </c>
      <c r="G245" s="12" t="s">
        <v>2332</v>
      </c>
      <c r="H245" s="11" t="s">
        <v>77</v>
      </c>
      <c r="I245" s="12"/>
      <c r="J245" s="11" t="s">
        <v>2330</v>
      </c>
      <c r="K245" s="11"/>
      <c r="L245" s="11" t="n">
        <f aca="false">IF(E245="","",IF(OR(AND(K245="Plan A",'All weeks'!$C$5="B"),AND(K245="Plan B",'All weeks'!$C$5="A")),0,IF(H245="Yes",E245,E245*IF(B245="Year 7",'All weeks'!$C$3,'All weeks'!$C$4))))</f>
        <v>5</v>
      </c>
    </row>
    <row r="246" customFormat="false" ht="57.45" hidden="false" customHeight="false" outlineLevel="0" collapsed="false">
      <c r="A246" s="11" t="n">
        <v>7</v>
      </c>
      <c r="B246" s="12" t="s">
        <v>153</v>
      </c>
      <c r="C246" s="12" t="s">
        <v>2334</v>
      </c>
      <c r="D246" s="12" t="s">
        <v>2625</v>
      </c>
      <c r="E246" s="11" t="n">
        <v>45</v>
      </c>
      <c r="F246" s="12" t="s">
        <v>2342</v>
      </c>
      <c r="G246" s="12" t="s">
        <v>2329</v>
      </c>
      <c r="H246" s="11" t="s">
        <v>77</v>
      </c>
      <c r="I246" s="12" t="s">
        <v>2626</v>
      </c>
      <c r="J246" s="11" t="s">
        <v>105</v>
      </c>
      <c r="K246" s="11"/>
      <c r="L246" s="11" t="n">
        <f aca="false">IF(E246="","",IF(OR(AND(K246="Plan A",'All weeks'!$C$5="B"),AND(K246="Plan B",'All weeks'!$C$5="A")),0,IF(H246="Yes",E246,E246*IF(B246="Year 7",'All weeks'!$C$3,'All weeks'!$C$4))))</f>
        <v>45</v>
      </c>
    </row>
    <row r="247" customFormat="false" ht="46.25" hidden="false" customHeight="false" outlineLevel="0" collapsed="false">
      <c r="A247" s="11" t="n">
        <v>7</v>
      </c>
      <c r="B247" s="12" t="s">
        <v>153</v>
      </c>
      <c r="C247" s="12" t="s">
        <v>2352</v>
      </c>
      <c r="D247" s="12" t="s">
        <v>2627</v>
      </c>
      <c r="E247" s="11" t="n">
        <v>5</v>
      </c>
      <c r="F247" s="19" t="s">
        <v>2328</v>
      </c>
      <c r="G247" s="12" t="s">
        <v>2332</v>
      </c>
      <c r="H247" s="11" t="s">
        <v>2330</v>
      </c>
      <c r="I247" s="12"/>
      <c r="J247" s="11" t="s">
        <v>2330</v>
      </c>
      <c r="K247" s="11"/>
      <c r="L247" s="11" t="n">
        <f aca="false">IF(E247="","",IF(OR(AND(K247="Plan A",'All weeks'!$C$5="B"),AND(K247="Plan B",'All weeks'!$C$5="A")),0,IF(H247="Yes",E247,E247*IF(B247="Year 7",'All weeks'!$C$3,'All weeks'!$C$4))))</f>
        <v>5</v>
      </c>
    </row>
    <row r="248" customFormat="false" ht="35.05" hidden="false" customHeight="false" outlineLevel="0" collapsed="false">
      <c r="A248" s="11" t="n">
        <v>7</v>
      </c>
      <c r="B248" s="12" t="s">
        <v>153</v>
      </c>
      <c r="C248" s="12" t="s">
        <v>2358</v>
      </c>
      <c r="D248" s="12" t="s">
        <v>2628</v>
      </c>
      <c r="E248" s="11" t="n">
        <v>3</v>
      </c>
      <c r="F248" s="19" t="s">
        <v>2328</v>
      </c>
      <c r="G248" s="12" t="s">
        <v>2357</v>
      </c>
      <c r="H248" s="11" t="s">
        <v>2330</v>
      </c>
      <c r="I248" s="12" t="s">
        <v>2629</v>
      </c>
      <c r="J248" s="11" t="s">
        <v>2330</v>
      </c>
      <c r="K248" s="11"/>
      <c r="L248" s="11" t="n">
        <f aca="false">IF(E248="","",IF(OR(AND(K248="Plan A",'All weeks'!$C$5="B"),AND(K248="Plan B",'All weeks'!$C$5="A")),0,IF(H248="Yes",E248,E248*IF(B248="Year 7",'All weeks'!$C$3,'All weeks'!$C$4))))</f>
        <v>3</v>
      </c>
    </row>
    <row r="249" customFormat="false" ht="35.05" hidden="false" customHeight="false" outlineLevel="0" collapsed="false">
      <c r="A249" s="11" t="n">
        <v>7</v>
      </c>
      <c r="B249" s="12" t="s">
        <v>153</v>
      </c>
      <c r="C249" s="12" t="s">
        <v>2358</v>
      </c>
      <c r="D249" s="12" t="s">
        <v>2630</v>
      </c>
      <c r="E249" s="11" t="n">
        <v>30</v>
      </c>
      <c r="F249" s="19" t="s">
        <v>2328</v>
      </c>
      <c r="G249" s="12" t="s">
        <v>2332</v>
      </c>
      <c r="H249" s="11" t="s">
        <v>2330</v>
      </c>
      <c r="I249" s="12" t="s">
        <v>2631</v>
      </c>
      <c r="J249" s="11" t="s">
        <v>2330</v>
      </c>
      <c r="K249" s="11"/>
      <c r="L249" s="11" t="n">
        <f aca="false">IF(E249="","",IF(OR(AND(K249="Plan A",'All weeks'!$C$5="B"),AND(K249="Plan B",'All weeks'!$C$5="A")),0,IF(H249="Yes",E249,E249*IF(B249="Year 7",'All weeks'!$C$3,'All weeks'!$C$4))))</f>
        <v>30</v>
      </c>
    </row>
    <row r="250" customFormat="false" ht="23.85" hidden="false" customHeight="false" outlineLevel="0" collapsed="false">
      <c r="A250" s="11" t="n">
        <v>7</v>
      </c>
      <c r="B250" s="12" t="s">
        <v>153</v>
      </c>
      <c r="C250" s="12" t="s">
        <v>2358</v>
      </c>
      <c r="D250" s="12" t="s">
        <v>2632</v>
      </c>
      <c r="E250" s="11" t="n">
        <v>10</v>
      </c>
      <c r="F250" s="19" t="s">
        <v>2328</v>
      </c>
      <c r="G250" s="12" t="s">
        <v>2332</v>
      </c>
      <c r="H250" s="11" t="s">
        <v>2330</v>
      </c>
      <c r="I250" s="12" t="s">
        <v>2633</v>
      </c>
      <c r="J250" s="11" t="s">
        <v>2330</v>
      </c>
      <c r="K250" s="11"/>
      <c r="L250" s="11" t="n">
        <f aca="false">IF(E250="","",IF(OR(AND(K250="Plan A",'All weeks'!$C$5="B"),AND(K250="Plan B",'All weeks'!$C$5="A")),0,IF(H250="Yes",E250,E250*IF(B250="Year 7",'All weeks'!$C$3,'All weeks'!$C$4))))</f>
        <v>10</v>
      </c>
    </row>
    <row r="251" customFormat="false" ht="35.05" hidden="false" customHeight="false" outlineLevel="0" collapsed="false">
      <c r="A251" s="14" t="n">
        <v>8</v>
      </c>
      <c r="B251" s="15" t="s">
        <v>39</v>
      </c>
      <c r="C251" s="15" t="s">
        <v>2326</v>
      </c>
      <c r="D251" s="15" t="s">
        <v>2634</v>
      </c>
      <c r="E251" s="14" t="n">
        <v>2</v>
      </c>
      <c r="F251" s="20" t="s">
        <v>2328</v>
      </c>
      <c r="G251" s="15" t="s">
        <v>2332</v>
      </c>
      <c r="H251" s="14" t="s">
        <v>77</v>
      </c>
      <c r="I251" s="15"/>
      <c r="J251" s="14" t="s">
        <v>2330</v>
      </c>
      <c r="K251" s="14"/>
      <c r="L251" s="14" t="n">
        <f aca="false">IF(E251="","",IF(OR(AND(K251="Plan A",'All weeks'!$C$5="B"),AND(K251="Plan B",'All weeks'!$C$5="A")),0,IF(H251="Yes",E251,E251*IF(B251="Year 7",'All weeks'!$C$3,'All weeks'!$C$4))))</f>
        <v>2</v>
      </c>
    </row>
    <row r="252" customFormat="false" ht="46.25" hidden="false" customHeight="false" outlineLevel="0" collapsed="false">
      <c r="A252" s="14" t="n">
        <v>8</v>
      </c>
      <c r="B252" s="15" t="s">
        <v>39</v>
      </c>
      <c r="C252" s="15" t="s">
        <v>2334</v>
      </c>
      <c r="D252" s="15" t="s">
        <v>2635</v>
      </c>
      <c r="E252" s="14" t="n">
        <v>30</v>
      </c>
      <c r="F252" s="20" t="s">
        <v>2328</v>
      </c>
      <c r="G252" s="15" t="s">
        <v>2329</v>
      </c>
      <c r="H252" s="14" t="s">
        <v>77</v>
      </c>
      <c r="I252" s="15"/>
      <c r="J252" s="14" t="s">
        <v>2330</v>
      </c>
      <c r="K252" s="14"/>
      <c r="L252" s="14" t="n">
        <f aca="false">IF(E252="","",IF(OR(AND(K252="Plan A",'All weeks'!$C$5="B"),AND(K252="Plan B",'All weeks'!$C$5="A")),0,IF(H252="Yes",E252,E252*IF(B252="Year 7",'All weeks'!$C$3,'All weeks'!$C$4))))</f>
        <v>30</v>
      </c>
    </row>
    <row r="253" customFormat="false" ht="35.05" hidden="false" customHeight="false" outlineLevel="0" collapsed="false">
      <c r="A253" s="14" t="n">
        <v>8</v>
      </c>
      <c r="B253" s="15" t="s">
        <v>39</v>
      </c>
      <c r="C253" s="15" t="s">
        <v>2334</v>
      </c>
      <c r="D253" s="15" t="s">
        <v>2636</v>
      </c>
      <c r="E253" s="14" t="n">
        <v>15</v>
      </c>
      <c r="F253" s="20" t="s">
        <v>2328</v>
      </c>
      <c r="G253" s="15" t="s">
        <v>2329</v>
      </c>
      <c r="H253" s="14" t="s">
        <v>77</v>
      </c>
      <c r="I253" s="15"/>
      <c r="J253" s="14" t="s">
        <v>2330</v>
      </c>
      <c r="K253" s="14" t="s">
        <v>964</v>
      </c>
      <c r="L253" s="14" t="n">
        <f aca="false">IF(E253="","",IF(OR(AND(K253="Plan A",'All weeks'!$C$5="B"),AND(K253="Plan B",'All weeks'!$C$5="A")),0,IF(H253="Yes",E253,E253*IF(B253="Year 7",'All weeks'!$C$3,'All weeks'!$C$4))))</f>
        <v>15</v>
      </c>
    </row>
    <row r="254" customFormat="false" ht="23.85" hidden="false" customHeight="false" outlineLevel="0" collapsed="false">
      <c r="A254" s="14" t="n">
        <v>8</v>
      </c>
      <c r="B254" s="15" t="s">
        <v>39</v>
      </c>
      <c r="C254" s="15" t="s">
        <v>2334</v>
      </c>
      <c r="D254" s="15" t="s">
        <v>2637</v>
      </c>
      <c r="E254" s="14" t="n">
        <v>15</v>
      </c>
      <c r="F254" s="20" t="s">
        <v>2328</v>
      </c>
      <c r="G254" s="15" t="s">
        <v>2329</v>
      </c>
      <c r="H254" s="14" t="s">
        <v>77</v>
      </c>
      <c r="I254" s="15"/>
      <c r="J254" s="14" t="s">
        <v>105</v>
      </c>
      <c r="K254" s="14" t="s">
        <v>964</v>
      </c>
      <c r="L254" s="14" t="n">
        <f aca="false">IF(E254="","",IF(OR(AND(K254="Plan A",'All weeks'!$C$5="B"),AND(K254="Plan B",'All weeks'!$C$5="A")),0,IF(H254="Yes",E254,E254*IF(B254="Year 7",'All weeks'!$C$3,'All weeks'!$C$4))))</f>
        <v>15</v>
      </c>
    </row>
    <row r="255" customFormat="false" ht="35.05" hidden="false" customHeight="false" outlineLevel="0" collapsed="false">
      <c r="A255" s="14" t="n">
        <v>8</v>
      </c>
      <c r="B255" s="15" t="s">
        <v>39</v>
      </c>
      <c r="C255" s="15" t="s">
        <v>2334</v>
      </c>
      <c r="D255" s="15" t="s">
        <v>2638</v>
      </c>
      <c r="E255" s="14" t="n">
        <v>10</v>
      </c>
      <c r="F255" s="15" t="s">
        <v>2342</v>
      </c>
      <c r="G255" s="15" t="s">
        <v>2329</v>
      </c>
      <c r="H255" s="14" t="s">
        <v>77</v>
      </c>
      <c r="I255" s="15"/>
      <c r="J255" s="14" t="s">
        <v>2330</v>
      </c>
      <c r="K255" s="14"/>
      <c r="L255" s="14" t="n">
        <f aca="false">IF(E255="","",IF(OR(AND(K255="Plan A",'All weeks'!$C$5="B"),AND(K255="Plan B",'All weeks'!$C$5="A")),0,IF(H255="Yes",E255,E255*IF(B255="Year 7",'All weeks'!$C$3,'All weeks'!$C$4))))</f>
        <v>10</v>
      </c>
    </row>
    <row r="256" customFormat="false" ht="15" hidden="false" customHeight="false" outlineLevel="0" collapsed="false">
      <c r="A256" s="14" t="n">
        <v>8</v>
      </c>
      <c r="B256" s="15" t="s">
        <v>39</v>
      </c>
      <c r="C256" s="15" t="s">
        <v>2334</v>
      </c>
      <c r="D256" s="15" t="s">
        <v>2639</v>
      </c>
      <c r="E256" s="14" t="n">
        <v>5</v>
      </c>
      <c r="F256" s="15" t="s">
        <v>2342</v>
      </c>
      <c r="G256" s="15" t="s">
        <v>2329</v>
      </c>
      <c r="H256" s="14" t="s">
        <v>77</v>
      </c>
      <c r="I256" s="15"/>
      <c r="J256" s="14" t="s">
        <v>2330</v>
      </c>
      <c r="K256" s="14"/>
      <c r="L256" s="14" t="n">
        <f aca="false">IF(E256="","",IF(OR(AND(K256="Plan A",'All weeks'!$C$5="B"),AND(K256="Plan B",'All weeks'!$C$5="A")),0,IF(H256="Yes",E256,E256*IF(B256="Year 7",'All weeks'!$C$3,'All weeks'!$C$4))))</f>
        <v>5</v>
      </c>
    </row>
    <row r="257" customFormat="false" ht="23.85" hidden="false" customHeight="false" outlineLevel="0" collapsed="false">
      <c r="A257" s="14" t="n">
        <v>8</v>
      </c>
      <c r="B257" s="15" t="s">
        <v>39</v>
      </c>
      <c r="C257" s="15" t="s">
        <v>2334</v>
      </c>
      <c r="D257" s="15" t="s">
        <v>2640</v>
      </c>
      <c r="E257" s="14" t="n">
        <v>10</v>
      </c>
      <c r="F257" s="20" t="s">
        <v>2328</v>
      </c>
      <c r="G257" s="15" t="s">
        <v>2340</v>
      </c>
      <c r="H257" s="14" t="s">
        <v>2330</v>
      </c>
      <c r="I257" s="15" t="s">
        <v>2641</v>
      </c>
      <c r="J257" s="14" t="s">
        <v>2330</v>
      </c>
      <c r="K257" s="14" t="s">
        <v>964</v>
      </c>
      <c r="L257" s="14" t="n">
        <f aca="false">IF(E257="","",IF(OR(AND(K257="Plan A",'All weeks'!$C$5="B"),AND(K257="Plan B",'All weeks'!$C$5="A")),0,IF(H257="Yes",E257,E257*IF(B257="Year 7",'All weeks'!$C$3,'All weeks'!$C$4))))</f>
        <v>10</v>
      </c>
    </row>
    <row r="258" customFormat="false" ht="23.85" hidden="false" customHeight="false" outlineLevel="0" collapsed="false">
      <c r="A258" s="14" t="n">
        <v>8</v>
      </c>
      <c r="B258" s="15" t="s">
        <v>39</v>
      </c>
      <c r="C258" s="15" t="s">
        <v>2334</v>
      </c>
      <c r="D258" s="15" t="s">
        <v>2642</v>
      </c>
      <c r="E258" s="14" t="n">
        <v>10</v>
      </c>
      <c r="F258" s="20" t="s">
        <v>2328</v>
      </c>
      <c r="G258" s="15" t="s">
        <v>2340</v>
      </c>
      <c r="H258" s="14" t="s">
        <v>2330</v>
      </c>
      <c r="I258" s="15" t="s">
        <v>2641</v>
      </c>
      <c r="J258" s="14" t="s">
        <v>2330</v>
      </c>
      <c r="K258" s="14" t="s">
        <v>956</v>
      </c>
      <c r="L258" s="14" t="n">
        <f aca="false">IF(E258="","",IF(OR(AND(K258="Plan A",'All weeks'!$C$5="B"),AND(K258="Plan B",'All weeks'!$C$5="A")),0,IF(H258="Yes",E258,E258*IF(B258="Year 7",'All weeks'!$C$3,'All weeks'!$C$4))))</f>
        <v>10</v>
      </c>
    </row>
    <row r="259" customFormat="false" ht="23.85" hidden="false" customHeight="false" outlineLevel="0" collapsed="false">
      <c r="A259" s="14" t="n">
        <v>8</v>
      </c>
      <c r="B259" s="15" t="s">
        <v>39</v>
      </c>
      <c r="C259" s="15" t="s">
        <v>2334</v>
      </c>
      <c r="D259" s="15" t="s">
        <v>2643</v>
      </c>
      <c r="E259" s="14" t="n">
        <v>15</v>
      </c>
      <c r="F259" s="20" t="s">
        <v>2328</v>
      </c>
      <c r="G259" s="15" t="s">
        <v>2329</v>
      </c>
      <c r="H259" s="14" t="s">
        <v>77</v>
      </c>
      <c r="I259" s="15"/>
      <c r="J259" s="14" t="s">
        <v>2330</v>
      </c>
      <c r="K259" s="14"/>
      <c r="L259" s="14" t="n">
        <f aca="false">IF(E259="","",IF(OR(AND(K259="Plan A",'All weeks'!$C$5="B"),AND(K259="Plan B",'All weeks'!$C$5="A")),0,IF(H259="Yes",E259,E259*IF(B259="Year 7",'All weeks'!$C$3,'All weeks'!$C$4))))</f>
        <v>15</v>
      </c>
    </row>
    <row r="260" customFormat="false" ht="15" hidden="false" customHeight="false" outlineLevel="0" collapsed="false">
      <c r="A260" s="14" t="n">
        <v>8</v>
      </c>
      <c r="B260" s="15" t="s">
        <v>39</v>
      </c>
      <c r="C260" s="15" t="s">
        <v>2334</v>
      </c>
      <c r="D260" s="15" t="s">
        <v>2644</v>
      </c>
      <c r="E260" s="14" t="n">
        <v>5</v>
      </c>
      <c r="F260" s="20" t="s">
        <v>2328</v>
      </c>
      <c r="G260" s="15" t="s">
        <v>2329</v>
      </c>
      <c r="H260" s="14" t="s">
        <v>77</v>
      </c>
      <c r="I260" s="15"/>
      <c r="J260" s="14" t="s">
        <v>2330</v>
      </c>
      <c r="K260" s="14" t="s">
        <v>964</v>
      </c>
      <c r="L260" s="14" t="n">
        <f aca="false">IF(E260="","",IF(OR(AND(K260="Plan A",'All weeks'!$C$5="B"),AND(K260="Plan B",'All weeks'!$C$5="A")),0,IF(H260="Yes",E260,E260*IF(B260="Year 7",'All weeks'!$C$3,'All weeks'!$C$4))))</f>
        <v>5</v>
      </c>
    </row>
    <row r="261" customFormat="false" ht="15" hidden="false" customHeight="false" outlineLevel="0" collapsed="false">
      <c r="A261" s="14" t="n">
        <v>8</v>
      </c>
      <c r="B261" s="15" t="s">
        <v>39</v>
      </c>
      <c r="C261" s="15" t="s">
        <v>2334</v>
      </c>
      <c r="D261" s="15" t="s">
        <v>2645</v>
      </c>
      <c r="E261" s="14" t="n">
        <v>2</v>
      </c>
      <c r="F261" s="20" t="s">
        <v>2328</v>
      </c>
      <c r="G261" s="15" t="s">
        <v>2332</v>
      </c>
      <c r="H261" s="14" t="s">
        <v>77</v>
      </c>
      <c r="I261" s="15"/>
      <c r="J261" s="14" t="s">
        <v>2330</v>
      </c>
      <c r="K261" s="14"/>
      <c r="L261" s="14" t="n">
        <f aca="false">IF(E261="","",IF(OR(AND(K261="Plan A",'All weeks'!$C$5="B"),AND(K261="Plan B",'All weeks'!$C$5="A")),0,IF(H261="Yes",E261,E261*IF(B261="Year 7",'All weeks'!$C$3,'All weeks'!$C$4))))</f>
        <v>2</v>
      </c>
    </row>
    <row r="262" customFormat="false" ht="35.05" hidden="false" customHeight="false" outlineLevel="0" collapsed="false">
      <c r="A262" s="14" t="n">
        <v>8</v>
      </c>
      <c r="B262" s="15" t="s">
        <v>39</v>
      </c>
      <c r="C262" s="15" t="s">
        <v>2350</v>
      </c>
      <c r="D262" s="15" t="s">
        <v>2646</v>
      </c>
      <c r="E262" s="14" t="n">
        <v>5</v>
      </c>
      <c r="F262" s="20" t="s">
        <v>2328</v>
      </c>
      <c r="G262" s="15" t="s">
        <v>2332</v>
      </c>
      <c r="H262" s="14" t="s">
        <v>2330</v>
      </c>
      <c r="I262" s="15"/>
      <c r="J262" s="14" t="s">
        <v>2330</v>
      </c>
      <c r="K262" s="14"/>
      <c r="L262" s="14" t="n">
        <f aca="false">IF(E262="","",IF(OR(AND(K262="Plan A",'All weeks'!$C$5="B"),AND(K262="Plan B",'All weeks'!$C$5="A")),0,IF(H262="Yes",E262,E262*IF(B262="Year 7",'All weeks'!$C$3,'All weeks'!$C$4))))</f>
        <v>5</v>
      </c>
    </row>
    <row r="263" customFormat="false" ht="23.85" hidden="false" customHeight="false" outlineLevel="0" collapsed="false">
      <c r="A263" s="14" t="n">
        <v>8</v>
      </c>
      <c r="B263" s="15" t="s">
        <v>39</v>
      </c>
      <c r="C263" s="15" t="s">
        <v>2350</v>
      </c>
      <c r="D263" s="15" t="s">
        <v>2647</v>
      </c>
      <c r="E263" s="14" t="n">
        <v>5</v>
      </c>
      <c r="F263" s="15" t="s">
        <v>2342</v>
      </c>
      <c r="G263" s="15" t="s">
        <v>2332</v>
      </c>
      <c r="H263" s="14" t="s">
        <v>2330</v>
      </c>
      <c r="I263" s="15"/>
      <c r="J263" s="14" t="s">
        <v>2330</v>
      </c>
      <c r="K263" s="14" t="s">
        <v>956</v>
      </c>
      <c r="L263" s="14" t="n">
        <f aca="false">IF(E263="","",IF(OR(AND(K263="Plan A",'All weeks'!$C$5="B"),AND(K263="Plan B",'All weeks'!$C$5="A")),0,IF(H263="Yes",E263,E263*IF(B263="Year 7",'All weeks'!$C$3,'All weeks'!$C$4))))</f>
        <v>5</v>
      </c>
    </row>
    <row r="264" customFormat="false" ht="23.85" hidden="false" customHeight="false" outlineLevel="0" collapsed="false">
      <c r="A264" s="14" t="n">
        <v>8</v>
      </c>
      <c r="B264" s="15" t="s">
        <v>39</v>
      </c>
      <c r="C264" s="15" t="s">
        <v>2350</v>
      </c>
      <c r="D264" s="15" t="s">
        <v>2648</v>
      </c>
      <c r="E264" s="14" t="n">
        <v>2</v>
      </c>
      <c r="F264" s="20" t="s">
        <v>2328</v>
      </c>
      <c r="G264" s="15" t="s">
        <v>2332</v>
      </c>
      <c r="H264" s="14" t="s">
        <v>2330</v>
      </c>
      <c r="I264" s="15"/>
      <c r="J264" s="14" t="s">
        <v>2330</v>
      </c>
      <c r="K264" s="14" t="s">
        <v>956</v>
      </c>
      <c r="L264" s="14" t="n">
        <f aca="false">IF(E264="","",IF(OR(AND(K264="Plan A",'All weeks'!$C$5="B"),AND(K264="Plan B",'All weeks'!$C$5="A")),0,IF(H264="Yes",E264,E264*IF(B264="Year 7",'All weeks'!$C$3,'All weeks'!$C$4))))</f>
        <v>2</v>
      </c>
    </row>
    <row r="265" customFormat="false" ht="23.85" hidden="false" customHeight="false" outlineLevel="0" collapsed="false">
      <c r="A265" s="14" t="n">
        <v>8</v>
      </c>
      <c r="B265" s="15" t="s">
        <v>39</v>
      </c>
      <c r="C265" s="15" t="s">
        <v>2350</v>
      </c>
      <c r="D265" s="15" t="s">
        <v>2649</v>
      </c>
      <c r="E265" s="14" t="n">
        <v>5</v>
      </c>
      <c r="F265" s="20" t="s">
        <v>2328</v>
      </c>
      <c r="G265" s="15" t="s">
        <v>2332</v>
      </c>
      <c r="H265" s="14" t="s">
        <v>2330</v>
      </c>
      <c r="I265" s="15"/>
      <c r="J265" s="14" t="s">
        <v>2330</v>
      </c>
      <c r="K265" s="14"/>
      <c r="L265" s="14" t="n">
        <f aca="false">IF(E265="","",IF(OR(AND(K265="Plan A",'All weeks'!$C$5="B"),AND(K265="Plan B",'All weeks'!$C$5="A")),0,IF(H265="Yes",E265,E265*IF(B265="Year 7",'All weeks'!$C$3,'All weeks'!$C$4))))</f>
        <v>5</v>
      </c>
    </row>
    <row r="266" customFormat="false" ht="57.45" hidden="false" customHeight="false" outlineLevel="0" collapsed="false">
      <c r="A266" s="14" t="n">
        <v>8</v>
      </c>
      <c r="B266" s="15" t="s">
        <v>39</v>
      </c>
      <c r="C266" s="15" t="s">
        <v>2352</v>
      </c>
      <c r="D266" s="15" t="s">
        <v>2650</v>
      </c>
      <c r="E266" s="14" t="n">
        <v>15</v>
      </c>
      <c r="F266" s="20" t="s">
        <v>2328</v>
      </c>
      <c r="G266" s="15" t="s">
        <v>2329</v>
      </c>
      <c r="H266" s="14" t="s">
        <v>2330</v>
      </c>
      <c r="I266" s="15"/>
      <c r="J266" s="14" t="s">
        <v>2330</v>
      </c>
      <c r="K266" s="14"/>
      <c r="L266" s="14" t="n">
        <f aca="false">IF(E266="","",IF(OR(AND(K266="Plan A",'All weeks'!$C$5="B"),AND(K266="Plan B",'All weeks'!$C$5="A")),0,IF(H266="Yes",E266,E266*IF(B266="Year 7",'All weeks'!$C$3,'All weeks'!$C$4))))</f>
        <v>15</v>
      </c>
    </row>
    <row r="267" customFormat="false" ht="23.85" hidden="false" customHeight="false" outlineLevel="0" collapsed="false">
      <c r="A267" s="14" t="n">
        <v>8</v>
      </c>
      <c r="B267" s="15" t="s">
        <v>39</v>
      </c>
      <c r="C267" s="15" t="s">
        <v>2352</v>
      </c>
      <c r="D267" s="15" t="s">
        <v>2651</v>
      </c>
      <c r="E267" s="14" t="n">
        <v>5</v>
      </c>
      <c r="F267" s="15" t="s">
        <v>2342</v>
      </c>
      <c r="G267" s="15" t="s">
        <v>2332</v>
      </c>
      <c r="H267" s="14" t="s">
        <v>2330</v>
      </c>
      <c r="I267" s="15"/>
      <c r="J267" s="14" t="s">
        <v>2330</v>
      </c>
      <c r="K267" s="14"/>
      <c r="L267" s="14" t="n">
        <f aca="false">IF(E267="","",IF(OR(AND(K267="Plan A",'All weeks'!$C$5="B"),AND(K267="Plan B",'All weeks'!$C$5="A")),0,IF(H267="Yes",E267,E267*IF(B267="Year 7",'All weeks'!$C$3,'All weeks'!$C$4))))</f>
        <v>5</v>
      </c>
    </row>
    <row r="268" customFormat="false" ht="23.85" hidden="false" customHeight="false" outlineLevel="0" collapsed="false">
      <c r="A268" s="14" t="n">
        <v>8</v>
      </c>
      <c r="B268" s="15" t="s">
        <v>39</v>
      </c>
      <c r="C268" s="15" t="s">
        <v>2352</v>
      </c>
      <c r="D268" s="15" t="s">
        <v>2652</v>
      </c>
      <c r="E268" s="14" t="n">
        <v>5</v>
      </c>
      <c r="F268" s="15" t="s">
        <v>2342</v>
      </c>
      <c r="G268" s="15" t="s">
        <v>2332</v>
      </c>
      <c r="H268" s="14" t="s">
        <v>2330</v>
      </c>
      <c r="I268" s="15"/>
      <c r="J268" s="14" t="s">
        <v>2330</v>
      </c>
      <c r="K268" s="14" t="s">
        <v>964</v>
      </c>
      <c r="L268" s="14" t="n">
        <f aca="false">IF(E268="","",IF(OR(AND(K268="Plan A",'All weeks'!$C$5="B"),AND(K268="Plan B",'All weeks'!$C$5="A")),0,IF(H268="Yes",E268,E268*IF(B268="Year 7",'All weeks'!$C$3,'All weeks'!$C$4))))</f>
        <v>5</v>
      </c>
    </row>
    <row r="269" customFormat="false" ht="23.85" hidden="false" customHeight="false" outlineLevel="0" collapsed="false">
      <c r="A269" s="14" t="n">
        <v>8</v>
      </c>
      <c r="B269" s="15" t="s">
        <v>39</v>
      </c>
      <c r="C269" s="15" t="s">
        <v>2358</v>
      </c>
      <c r="D269" s="15" t="s">
        <v>2653</v>
      </c>
      <c r="E269" s="14" t="n">
        <v>2</v>
      </c>
      <c r="F269" s="20" t="s">
        <v>2328</v>
      </c>
      <c r="G269" s="15" t="s">
        <v>2332</v>
      </c>
      <c r="H269" s="14" t="s">
        <v>2330</v>
      </c>
      <c r="I269" s="15" t="s">
        <v>2578</v>
      </c>
      <c r="J269" s="14" t="s">
        <v>2330</v>
      </c>
      <c r="K269" s="14"/>
      <c r="L269" s="14" t="n">
        <f aca="false">IF(E269="","",IF(OR(AND(K269="Plan A",'All weeks'!$C$5="B"),AND(K269="Plan B",'All weeks'!$C$5="A")),0,IF(H269="Yes",E269,E269*IF(B269="Year 7",'All weeks'!$C$3,'All weeks'!$C$4))))</f>
        <v>2</v>
      </c>
    </row>
    <row r="270" customFormat="false" ht="35.05" hidden="false" customHeight="false" outlineLevel="0" collapsed="false">
      <c r="A270" s="14" t="n">
        <v>8</v>
      </c>
      <c r="B270" s="15" t="s">
        <v>39</v>
      </c>
      <c r="C270" s="15" t="s">
        <v>2358</v>
      </c>
      <c r="D270" s="15" t="s">
        <v>2654</v>
      </c>
      <c r="E270" s="14" t="n">
        <v>10</v>
      </c>
      <c r="F270" s="20" t="s">
        <v>2328</v>
      </c>
      <c r="G270" s="15" t="s">
        <v>2332</v>
      </c>
      <c r="H270" s="14" t="s">
        <v>2330</v>
      </c>
      <c r="I270" s="15" t="s">
        <v>2578</v>
      </c>
      <c r="J270" s="14" t="s">
        <v>2330</v>
      </c>
      <c r="K270" s="14"/>
      <c r="L270" s="14" t="n">
        <f aca="false">IF(E270="","",IF(OR(AND(K270="Plan A",'All weeks'!$C$5="B"),AND(K270="Plan B",'All weeks'!$C$5="A")),0,IF(H270="Yes",E270,E270*IF(B270="Year 7",'All weeks'!$C$3,'All weeks'!$C$4))))</f>
        <v>10</v>
      </c>
    </row>
    <row r="271" customFormat="false" ht="35.05" hidden="false" customHeight="false" outlineLevel="0" collapsed="false">
      <c r="A271" s="14" t="n">
        <v>8</v>
      </c>
      <c r="B271" s="15" t="s">
        <v>39</v>
      </c>
      <c r="C271" s="15" t="s">
        <v>2358</v>
      </c>
      <c r="D271" s="15" t="s">
        <v>2655</v>
      </c>
      <c r="E271" s="14" t="n">
        <v>15</v>
      </c>
      <c r="F271" s="20" t="s">
        <v>2328</v>
      </c>
      <c r="G271" s="15" t="s">
        <v>2329</v>
      </c>
      <c r="H271" s="14" t="s">
        <v>2330</v>
      </c>
      <c r="I271" s="15"/>
      <c r="J271" s="14" t="s">
        <v>2330</v>
      </c>
      <c r="K271" s="14"/>
      <c r="L271" s="14" t="n">
        <f aca="false">IF(E271="","",IF(OR(AND(K271="Plan A",'All weeks'!$C$5="B"),AND(K271="Plan B",'All weeks'!$C$5="A")),0,IF(H271="Yes",E271,E271*IF(B271="Year 7",'All weeks'!$C$3,'All weeks'!$C$4))))</f>
        <v>15</v>
      </c>
    </row>
    <row r="272" customFormat="false" ht="46.25" hidden="false" customHeight="false" outlineLevel="0" collapsed="false">
      <c r="A272" s="14" t="n">
        <v>8</v>
      </c>
      <c r="B272" s="15" t="s">
        <v>153</v>
      </c>
      <c r="C272" s="15" t="s">
        <v>2326</v>
      </c>
      <c r="D272" s="15" t="s">
        <v>2656</v>
      </c>
      <c r="E272" s="14" t="n">
        <v>5</v>
      </c>
      <c r="F272" s="20" t="s">
        <v>2328</v>
      </c>
      <c r="G272" s="15" t="s">
        <v>2340</v>
      </c>
      <c r="H272" s="14" t="s">
        <v>77</v>
      </c>
      <c r="I272" s="15"/>
      <c r="J272" s="14" t="s">
        <v>2330</v>
      </c>
      <c r="K272" s="14"/>
      <c r="L272" s="14" t="n">
        <f aca="false">IF(E272="","",IF(OR(AND(K272="Plan A",'All weeks'!$C$5="B"),AND(K272="Plan B",'All weeks'!$C$5="A")),0,IF(H272="Yes",E272,E272*IF(B272="Year 7",'All weeks'!$C$3,'All weeks'!$C$4))))</f>
        <v>5</v>
      </c>
    </row>
    <row r="273" customFormat="false" ht="46.25" hidden="false" customHeight="false" outlineLevel="0" collapsed="false">
      <c r="A273" s="14" t="n">
        <v>8</v>
      </c>
      <c r="B273" s="15" t="s">
        <v>153</v>
      </c>
      <c r="C273" s="15" t="s">
        <v>2326</v>
      </c>
      <c r="D273" s="15" t="s">
        <v>2657</v>
      </c>
      <c r="E273" s="14" t="n">
        <v>15</v>
      </c>
      <c r="F273" s="20" t="s">
        <v>2328</v>
      </c>
      <c r="G273" s="15" t="s">
        <v>2332</v>
      </c>
      <c r="H273" s="14" t="s">
        <v>77</v>
      </c>
      <c r="I273" s="15"/>
      <c r="J273" s="14" t="s">
        <v>2330</v>
      </c>
      <c r="K273" s="14"/>
      <c r="L273" s="14" t="n">
        <f aca="false">IF(E273="","",IF(OR(AND(K273="Plan A",'All weeks'!$C$5="B"),AND(K273="Plan B",'All weeks'!$C$5="A")),0,IF(H273="Yes",E273,E273*IF(B273="Year 7",'All weeks'!$C$3,'All weeks'!$C$4))))</f>
        <v>15</v>
      </c>
    </row>
    <row r="274" customFormat="false" ht="35.05" hidden="false" customHeight="false" outlineLevel="0" collapsed="false">
      <c r="A274" s="14" t="n">
        <v>8</v>
      </c>
      <c r="B274" s="15" t="s">
        <v>153</v>
      </c>
      <c r="C274" s="15" t="s">
        <v>2326</v>
      </c>
      <c r="D274" s="15" t="s">
        <v>2658</v>
      </c>
      <c r="E274" s="14" t="n">
        <v>15</v>
      </c>
      <c r="F274" s="20" t="s">
        <v>2328</v>
      </c>
      <c r="G274" s="15" t="s">
        <v>2329</v>
      </c>
      <c r="H274" s="14" t="s">
        <v>77</v>
      </c>
      <c r="I274" s="15" t="s">
        <v>2659</v>
      </c>
      <c r="J274" s="14" t="s">
        <v>2330</v>
      </c>
      <c r="K274" s="14"/>
      <c r="L274" s="14" t="n">
        <f aca="false">IF(E274="","",IF(OR(AND(K274="Plan A",'All weeks'!$C$5="B"),AND(K274="Plan B",'All weeks'!$C$5="A")),0,IF(H274="Yes",E274,E274*IF(B274="Year 7",'All weeks'!$C$3,'All weeks'!$C$4))))</f>
        <v>15</v>
      </c>
    </row>
    <row r="275" customFormat="false" ht="57.45" hidden="false" customHeight="false" outlineLevel="0" collapsed="false">
      <c r="A275" s="14" t="n">
        <v>8</v>
      </c>
      <c r="B275" s="15" t="s">
        <v>153</v>
      </c>
      <c r="C275" s="15" t="s">
        <v>2334</v>
      </c>
      <c r="D275" s="15" t="s">
        <v>2660</v>
      </c>
      <c r="E275" s="14" t="n">
        <v>5</v>
      </c>
      <c r="F275" s="20" t="s">
        <v>2328</v>
      </c>
      <c r="G275" s="15" t="s">
        <v>2340</v>
      </c>
      <c r="H275" s="14" t="s">
        <v>77</v>
      </c>
      <c r="I275" s="15"/>
      <c r="J275" s="14" t="s">
        <v>2330</v>
      </c>
      <c r="K275" s="14"/>
      <c r="L275" s="14" t="n">
        <f aca="false">IF(E275="","",IF(OR(AND(K275="Plan A",'All weeks'!$C$5="B"),AND(K275="Plan B",'All weeks'!$C$5="A")),0,IF(H275="Yes",E275,E275*IF(B275="Year 7",'All weeks'!$C$3,'All weeks'!$C$4))))</f>
        <v>5</v>
      </c>
    </row>
    <row r="276" customFormat="false" ht="23.85" hidden="false" customHeight="false" outlineLevel="0" collapsed="false">
      <c r="A276" s="14" t="n">
        <v>8</v>
      </c>
      <c r="B276" s="15" t="s">
        <v>153</v>
      </c>
      <c r="C276" s="15" t="s">
        <v>2334</v>
      </c>
      <c r="D276" s="15" t="s">
        <v>2661</v>
      </c>
      <c r="E276" s="14" t="n">
        <v>10</v>
      </c>
      <c r="F276" s="20" t="s">
        <v>2328</v>
      </c>
      <c r="G276" s="15" t="s">
        <v>2332</v>
      </c>
      <c r="H276" s="14" t="s">
        <v>2330</v>
      </c>
      <c r="I276" s="15"/>
      <c r="J276" s="14" t="s">
        <v>2330</v>
      </c>
      <c r="K276" s="14"/>
      <c r="L276" s="14" t="n">
        <f aca="false">IF(E276="","",IF(OR(AND(K276="Plan A",'All weeks'!$C$5="B"),AND(K276="Plan B",'All weeks'!$C$5="A")),0,IF(H276="Yes",E276,E276*IF(B276="Year 7",'All weeks'!$C$3,'All weeks'!$C$4))))</f>
        <v>10</v>
      </c>
    </row>
    <row r="277" customFormat="false" ht="46.25" hidden="false" customHeight="false" outlineLevel="0" collapsed="false">
      <c r="A277" s="14" t="n">
        <v>8</v>
      </c>
      <c r="B277" s="15" t="s">
        <v>153</v>
      </c>
      <c r="C277" s="15" t="s">
        <v>2334</v>
      </c>
      <c r="D277" s="15" t="s">
        <v>2662</v>
      </c>
      <c r="E277" s="14" t="n">
        <v>20</v>
      </c>
      <c r="F277" s="20" t="s">
        <v>2328</v>
      </c>
      <c r="G277" s="15" t="s">
        <v>2329</v>
      </c>
      <c r="H277" s="14" t="s">
        <v>77</v>
      </c>
      <c r="I277" s="15"/>
      <c r="J277" s="14" t="s">
        <v>2330</v>
      </c>
      <c r="K277" s="14"/>
      <c r="L277" s="14" t="n">
        <f aca="false">IF(E277="","",IF(OR(AND(K277="Plan A",'All weeks'!$C$5="B"),AND(K277="Plan B",'All weeks'!$C$5="A")),0,IF(H277="Yes",E277,E277*IF(B277="Year 7",'All weeks'!$C$3,'All weeks'!$C$4))))</f>
        <v>20</v>
      </c>
    </row>
    <row r="278" customFormat="false" ht="68.65" hidden="false" customHeight="false" outlineLevel="0" collapsed="false">
      <c r="A278" s="14" t="n">
        <v>8</v>
      </c>
      <c r="B278" s="15" t="s">
        <v>153</v>
      </c>
      <c r="C278" s="15" t="s">
        <v>2334</v>
      </c>
      <c r="D278" s="15" t="s">
        <v>2663</v>
      </c>
      <c r="E278" s="14" t="n">
        <v>30</v>
      </c>
      <c r="F278" s="15" t="s">
        <v>2342</v>
      </c>
      <c r="G278" s="15" t="s">
        <v>2329</v>
      </c>
      <c r="H278" s="14" t="s">
        <v>77</v>
      </c>
      <c r="I278" s="15"/>
      <c r="J278" s="14" t="s">
        <v>2330</v>
      </c>
      <c r="K278" s="14"/>
      <c r="L278" s="14" t="n">
        <f aca="false">IF(E278="","",IF(OR(AND(K278="Plan A",'All weeks'!$C$5="B"),AND(K278="Plan B",'All weeks'!$C$5="A")),0,IF(H278="Yes",E278,E278*IF(B278="Year 7",'All weeks'!$C$3,'All weeks'!$C$4))))</f>
        <v>30</v>
      </c>
    </row>
    <row r="279" customFormat="false" ht="15" hidden="false" customHeight="false" outlineLevel="0" collapsed="false">
      <c r="A279" s="14" t="n">
        <v>8</v>
      </c>
      <c r="B279" s="15" t="s">
        <v>153</v>
      </c>
      <c r="C279" s="15" t="s">
        <v>2334</v>
      </c>
      <c r="D279" s="15" t="s">
        <v>2664</v>
      </c>
      <c r="E279" s="14" t="n">
        <v>5</v>
      </c>
      <c r="F279" s="20" t="s">
        <v>2328</v>
      </c>
      <c r="G279" s="15" t="s">
        <v>2329</v>
      </c>
      <c r="H279" s="14" t="s">
        <v>77</v>
      </c>
      <c r="I279" s="15"/>
      <c r="J279" s="14" t="s">
        <v>105</v>
      </c>
      <c r="K279" s="14"/>
      <c r="L279" s="14" t="n">
        <f aca="false">IF(E279="","",IF(OR(AND(K279="Plan A",'All weeks'!$C$5="B"),AND(K279="Plan B",'All weeks'!$C$5="A")),0,IF(H279="Yes",E279,E279*IF(B279="Year 7",'All weeks'!$C$3,'All weeks'!$C$4))))</f>
        <v>5</v>
      </c>
    </row>
    <row r="280" customFormat="false" ht="57.45" hidden="false" customHeight="false" outlineLevel="0" collapsed="false">
      <c r="A280" s="14" t="n">
        <v>8</v>
      </c>
      <c r="B280" s="15" t="s">
        <v>153</v>
      </c>
      <c r="C280" s="15" t="s">
        <v>2334</v>
      </c>
      <c r="D280" s="15" t="s">
        <v>2665</v>
      </c>
      <c r="E280" s="14" t="n">
        <v>30</v>
      </c>
      <c r="F280" s="15" t="s">
        <v>2342</v>
      </c>
      <c r="G280" s="15" t="s">
        <v>2332</v>
      </c>
      <c r="H280" s="14" t="s">
        <v>77</v>
      </c>
      <c r="I280" s="15" t="s">
        <v>2666</v>
      </c>
      <c r="J280" s="14" t="s">
        <v>2330</v>
      </c>
      <c r="K280" s="14"/>
      <c r="L280" s="14" t="n">
        <f aca="false">IF(E280="","",IF(OR(AND(K280="Plan A",'All weeks'!$C$5="B"),AND(K280="Plan B",'All weeks'!$C$5="A")),0,IF(H280="Yes",E280,E280*IF(B280="Year 7",'All weeks'!$C$3,'All weeks'!$C$4))))</f>
        <v>30</v>
      </c>
    </row>
    <row r="281" customFormat="false" ht="23.85" hidden="false" customHeight="false" outlineLevel="0" collapsed="false">
      <c r="A281" s="14" t="n">
        <v>8</v>
      </c>
      <c r="B281" s="15" t="s">
        <v>153</v>
      </c>
      <c r="C281" s="15" t="s">
        <v>2350</v>
      </c>
      <c r="D281" s="15" t="s">
        <v>2667</v>
      </c>
      <c r="E281" s="14" t="n">
        <v>5</v>
      </c>
      <c r="F281" s="20" t="s">
        <v>2328</v>
      </c>
      <c r="G281" s="15" t="s">
        <v>2332</v>
      </c>
      <c r="H281" s="14" t="s">
        <v>77</v>
      </c>
      <c r="I281" s="15" t="s">
        <v>2668</v>
      </c>
      <c r="J281" s="14" t="s">
        <v>2330</v>
      </c>
      <c r="K281" s="14"/>
      <c r="L281" s="14" t="n">
        <f aca="false">IF(E281="","",IF(OR(AND(K281="Plan A",'All weeks'!$C$5="B"),AND(K281="Plan B",'All weeks'!$C$5="A")),0,IF(H281="Yes",E281,E281*IF(B281="Year 7",'All weeks'!$C$3,'All weeks'!$C$4))))</f>
        <v>5</v>
      </c>
    </row>
    <row r="282" customFormat="false" ht="57.45" hidden="false" customHeight="false" outlineLevel="0" collapsed="false">
      <c r="A282" s="14" t="n">
        <v>8</v>
      </c>
      <c r="B282" s="15" t="s">
        <v>153</v>
      </c>
      <c r="C282" s="15" t="s">
        <v>2350</v>
      </c>
      <c r="D282" s="15" t="s">
        <v>2669</v>
      </c>
      <c r="E282" s="14" t="n">
        <v>20</v>
      </c>
      <c r="F282" s="15" t="s">
        <v>2342</v>
      </c>
      <c r="G282" s="15" t="s">
        <v>2332</v>
      </c>
      <c r="H282" s="14" t="s">
        <v>2330</v>
      </c>
      <c r="I282" s="15"/>
      <c r="J282" s="14" t="s">
        <v>2330</v>
      </c>
      <c r="K282" s="14"/>
      <c r="L282" s="14" t="n">
        <f aca="false">IF(E282="","",IF(OR(AND(K282="Plan A",'All weeks'!$C$5="B"),AND(K282="Plan B",'All weeks'!$C$5="A")),0,IF(H282="Yes",E282,E282*IF(B282="Year 7",'All weeks'!$C$3,'All weeks'!$C$4))))</f>
        <v>20</v>
      </c>
    </row>
    <row r="283" customFormat="false" ht="46.25" hidden="false" customHeight="false" outlineLevel="0" collapsed="false">
      <c r="A283" s="14" t="n">
        <v>8</v>
      </c>
      <c r="B283" s="15" t="s">
        <v>153</v>
      </c>
      <c r="C283" s="15" t="s">
        <v>2350</v>
      </c>
      <c r="D283" s="15" t="s">
        <v>2670</v>
      </c>
      <c r="E283" s="14" t="n">
        <v>15</v>
      </c>
      <c r="F283" s="15" t="s">
        <v>2342</v>
      </c>
      <c r="G283" s="15" t="s">
        <v>2329</v>
      </c>
      <c r="H283" s="14" t="s">
        <v>2330</v>
      </c>
      <c r="I283" s="15"/>
      <c r="J283" s="14" t="s">
        <v>2330</v>
      </c>
      <c r="K283" s="14"/>
      <c r="L283" s="14" t="n">
        <f aca="false">IF(E283="","",IF(OR(AND(K283="Plan A",'All weeks'!$C$5="B"),AND(K283="Plan B",'All weeks'!$C$5="A")),0,IF(H283="Yes",E283,E283*IF(B283="Year 7",'All weeks'!$C$3,'All weeks'!$C$4))))</f>
        <v>15</v>
      </c>
    </row>
    <row r="284" customFormat="false" ht="15" hidden="false" customHeight="false" outlineLevel="0" collapsed="false">
      <c r="A284" s="14" t="n">
        <v>8</v>
      </c>
      <c r="B284" s="15" t="s">
        <v>153</v>
      </c>
      <c r="C284" s="15" t="s">
        <v>2350</v>
      </c>
      <c r="D284" s="15" t="s">
        <v>2671</v>
      </c>
      <c r="E284" s="14" t="n">
        <v>10</v>
      </c>
      <c r="F284" s="15" t="s">
        <v>2342</v>
      </c>
      <c r="G284" s="15" t="s">
        <v>2329</v>
      </c>
      <c r="H284" s="14" t="s">
        <v>2330</v>
      </c>
      <c r="I284" s="15"/>
      <c r="J284" s="14" t="s">
        <v>105</v>
      </c>
      <c r="K284" s="14"/>
      <c r="L284" s="14" t="n">
        <f aca="false">IF(E284="","",IF(OR(AND(K284="Plan A",'All weeks'!$C$5="B"),AND(K284="Plan B",'All weeks'!$C$5="A")),0,IF(H284="Yes",E284,E284*IF(B284="Year 7",'All weeks'!$C$3,'All weeks'!$C$4))))</f>
        <v>10</v>
      </c>
    </row>
    <row r="285" customFormat="false" ht="35.05" hidden="false" customHeight="false" outlineLevel="0" collapsed="false">
      <c r="A285" s="14" t="n">
        <v>8</v>
      </c>
      <c r="B285" s="15" t="s">
        <v>153</v>
      </c>
      <c r="C285" s="15" t="s">
        <v>2350</v>
      </c>
      <c r="D285" s="15" t="s">
        <v>2672</v>
      </c>
      <c r="E285" s="14" t="n">
        <v>10</v>
      </c>
      <c r="F285" s="15" t="s">
        <v>2342</v>
      </c>
      <c r="G285" s="15" t="s">
        <v>2332</v>
      </c>
      <c r="H285" s="14" t="s">
        <v>2330</v>
      </c>
      <c r="I285" s="15"/>
      <c r="J285" s="14" t="s">
        <v>2330</v>
      </c>
      <c r="K285" s="14"/>
      <c r="L285" s="14" t="n">
        <f aca="false">IF(E285="","",IF(OR(AND(K285="Plan A",'All weeks'!$C$5="B"),AND(K285="Plan B",'All weeks'!$C$5="A")),0,IF(H285="Yes",E285,E285*IF(B285="Year 7",'All weeks'!$C$3,'All weeks'!$C$4))))</f>
        <v>10</v>
      </c>
    </row>
    <row r="286" customFormat="false" ht="23.85" hidden="false" customHeight="false" outlineLevel="0" collapsed="false">
      <c r="A286" s="14" t="n">
        <v>8</v>
      </c>
      <c r="B286" s="15" t="s">
        <v>153</v>
      </c>
      <c r="C286" s="15" t="s">
        <v>2352</v>
      </c>
      <c r="D286" s="15" t="s">
        <v>2673</v>
      </c>
      <c r="E286" s="14" t="n">
        <v>10</v>
      </c>
      <c r="F286" s="15" t="s">
        <v>2342</v>
      </c>
      <c r="G286" s="15" t="s">
        <v>2329</v>
      </c>
      <c r="H286" s="14" t="s">
        <v>2330</v>
      </c>
      <c r="I286" s="15"/>
      <c r="J286" s="14" t="s">
        <v>2330</v>
      </c>
      <c r="K286" s="14"/>
      <c r="L286" s="14" t="n">
        <f aca="false">IF(E286="","",IF(OR(AND(K286="Plan A",'All weeks'!$C$5="B"),AND(K286="Plan B",'All weeks'!$C$5="A")),0,IF(H286="Yes",E286,E286*IF(B286="Year 7",'All weeks'!$C$3,'All weeks'!$C$4))))</f>
        <v>10</v>
      </c>
    </row>
    <row r="287" customFormat="false" ht="79.85" hidden="false" customHeight="false" outlineLevel="0" collapsed="false">
      <c r="A287" s="14" t="n">
        <v>8</v>
      </c>
      <c r="B287" s="15" t="s">
        <v>153</v>
      </c>
      <c r="C287" s="15" t="s">
        <v>2352</v>
      </c>
      <c r="D287" s="15" t="s">
        <v>2674</v>
      </c>
      <c r="E287" s="14" t="n">
        <v>15</v>
      </c>
      <c r="F287" s="20" t="s">
        <v>2328</v>
      </c>
      <c r="G287" s="15" t="s">
        <v>2329</v>
      </c>
      <c r="H287" s="14" t="s">
        <v>2330</v>
      </c>
      <c r="I287" s="15"/>
      <c r="J287" s="14" t="s">
        <v>2330</v>
      </c>
      <c r="K287" s="14"/>
      <c r="L287" s="14" t="n">
        <f aca="false">IF(E287="","",IF(OR(AND(K287="Plan A",'All weeks'!$C$5="B"),AND(K287="Plan B",'All weeks'!$C$5="A")),0,IF(H287="Yes",E287,E287*IF(B287="Year 7",'All weeks'!$C$3,'All weeks'!$C$4))))</f>
        <v>15</v>
      </c>
    </row>
    <row r="288" customFormat="false" ht="57.45" hidden="false" customHeight="false" outlineLevel="0" collapsed="false">
      <c r="A288" s="14" t="n">
        <v>8</v>
      </c>
      <c r="B288" s="15" t="s">
        <v>153</v>
      </c>
      <c r="C288" s="15" t="s">
        <v>2358</v>
      </c>
      <c r="D288" s="15" t="s">
        <v>2675</v>
      </c>
      <c r="E288" s="14" t="n">
        <v>3</v>
      </c>
      <c r="F288" s="15" t="s">
        <v>2417</v>
      </c>
      <c r="G288" s="15" t="s">
        <v>2357</v>
      </c>
      <c r="H288" s="14" t="s">
        <v>2330</v>
      </c>
      <c r="I288" s="15" t="s">
        <v>2676</v>
      </c>
      <c r="J288" s="14" t="s">
        <v>2330</v>
      </c>
      <c r="K288" s="14"/>
      <c r="L288" s="14" t="n">
        <f aca="false">IF(E288="","",IF(OR(AND(K288="Plan A",'All weeks'!$C$5="B"),AND(K288="Plan B",'All weeks'!$C$5="A")),0,IF(H288="Yes",E288,E288*IF(B288="Year 7",'All weeks'!$C$3,'All weeks'!$C$4))))</f>
        <v>3</v>
      </c>
    </row>
    <row r="289" customFormat="false" ht="23.85" hidden="false" customHeight="false" outlineLevel="0" collapsed="false">
      <c r="A289" s="14" t="n">
        <v>8</v>
      </c>
      <c r="B289" s="15" t="s">
        <v>153</v>
      </c>
      <c r="C289" s="15" t="s">
        <v>2358</v>
      </c>
      <c r="D289" s="15" t="s">
        <v>2677</v>
      </c>
      <c r="E289" s="14" t="n">
        <v>15</v>
      </c>
      <c r="F289" s="20" t="s">
        <v>2328</v>
      </c>
      <c r="G289" s="15" t="s">
        <v>2329</v>
      </c>
      <c r="H289" s="14" t="s">
        <v>2330</v>
      </c>
      <c r="I289" s="15"/>
      <c r="J289" s="14" t="s">
        <v>2330</v>
      </c>
      <c r="K289" s="14"/>
      <c r="L289" s="14" t="n">
        <f aca="false">IF(E289="","",IF(OR(AND(K289="Plan A",'All weeks'!$C$5="B"),AND(K289="Plan B",'All weeks'!$C$5="A")),0,IF(H289="Yes",E289,E289*IF(B289="Year 7",'All weeks'!$C$3,'All weeks'!$C$4))))</f>
        <v>15</v>
      </c>
    </row>
    <row r="290" customFormat="false" ht="23.85" hidden="false" customHeight="false" outlineLevel="0" collapsed="false">
      <c r="A290" s="14" t="n">
        <v>8</v>
      </c>
      <c r="B290" s="15" t="s">
        <v>153</v>
      </c>
      <c r="C290" s="15" t="s">
        <v>2358</v>
      </c>
      <c r="D290" s="15" t="s">
        <v>2678</v>
      </c>
      <c r="E290" s="14" t="n">
        <v>5</v>
      </c>
      <c r="F290" s="20" t="s">
        <v>2328</v>
      </c>
      <c r="G290" s="15" t="s">
        <v>2329</v>
      </c>
      <c r="H290" s="14" t="s">
        <v>2330</v>
      </c>
      <c r="I290" s="15" t="s">
        <v>2679</v>
      </c>
      <c r="J290" s="14" t="s">
        <v>2330</v>
      </c>
      <c r="K290" s="14"/>
      <c r="L290" s="14" t="n">
        <f aca="false">IF(E290="","",IF(OR(AND(K290="Plan A",'All weeks'!$C$5="B"),AND(K290="Plan B",'All weeks'!$C$5="A")),0,IF(H290="Yes",E290,E290*IF(B290="Year 7",'All weeks'!$C$3,'All weeks'!$C$4))))</f>
        <v>5</v>
      </c>
    </row>
    <row r="291" customFormat="false" ht="23.85" hidden="false" customHeight="false" outlineLevel="0" collapsed="false">
      <c r="A291" s="14" t="n">
        <v>8</v>
      </c>
      <c r="B291" s="15" t="s">
        <v>153</v>
      </c>
      <c r="C291" s="15" t="s">
        <v>2358</v>
      </c>
      <c r="D291" s="15" t="s">
        <v>2680</v>
      </c>
      <c r="E291" s="14" t="n">
        <v>10</v>
      </c>
      <c r="F291" s="20" t="s">
        <v>2328</v>
      </c>
      <c r="G291" s="15" t="s">
        <v>2332</v>
      </c>
      <c r="H291" s="14" t="s">
        <v>2330</v>
      </c>
      <c r="I291" s="15" t="s">
        <v>2681</v>
      </c>
      <c r="J291" s="14" t="s">
        <v>2330</v>
      </c>
      <c r="K291" s="14"/>
      <c r="L291" s="14" t="n">
        <f aca="false">IF(E291="","",IF(OR(AND(K291="Plan A",'All weeks'!$C$5="B"),AND(K291="Plan B",'All weeks'!$C$5="A")),0,IF(H291="Yes",E291,E291*IF(B291="Year 7",'All weeks'!$C$3,'All weeks'!$C$4))))</f>
        <v>10</v>
      </c>
    </row>
    <row r="292" customFormat="false" ht="23.85" hidden="false" customHeight="false" outlineLevel="0" collapsed="false">
      <c r="A292" s="14" t="n">
        <v>8</v>
      </c>
      <c r="B292" s="15" t="s">
        <v>153</v>
      </c>
      <c r="C292" s="15" t="s">
        <v>2358</v>
      </c>
      <c r="D292" s="15" t="s">
        <v>2682</v>
      </c>
      <c r="E292" s="14" t="n">
        <v>5</v>
      </c>
      <c r="F292" s="20" t="s">
        <v>2328</v>
      </c>
      <c r="G292" s="15" t="s">
        <v>2332</v>
      </c>
      <c r="H292" s="14" t="s">
        <v>2330</v>
      </c>
      <c r="I292" s="15" t="s">
        <v>2578</v>
      </c>
      <c r="J292" s="14" t="s">
        <v>2330</v>
      </c>
      <c r="K292" s="14"/>
      <c r="L292" s="14" t="n">
        <f aca="false">IF(E292="","",IF(OR(AND(K292="Plan A",'All weeks'!$C$5="B"),AND(K292="Plan B",'All weeks'!$C$5="A")),0,IF(H292="Yes",E292,E292*IF(B292="Year 7",'All weeks'!$C$3,'All weeks'!$C$4))))</f>
        <v>5</v>
      </c>
    </row>
    <row r="293" customFormat="false" ht="35.05" hidden="false" customHeight="false" outlineLevel="0" collapsed="false">
      <c r="A293" s="14" t="n">
        <v>8</v>
      </c>
      <c r="B293" s="15" t="s">
        <v>153</v>
      </c>
      <c r="C293" s="15" t="s">
        <v>2358</v>
      </c>
      <c r="D293" s="15" t="s">
        <v>2683</v>
      </c>
      <c r="E293" s="14" t="n">
        <v>30</v>
      </c>
      <c r="F293" s="20" t="s">
        <v>2328</v>
      </c>
      <c r="G293" s="15" t="s">
        <v>2332</v>
      </c>
      <c r="H293" s="14" t="s">
        <v>2330</v>
      </c>
      <c r="I293" s="15" t="s">
        <v>2684</v>
      </c>
      <c r="J293" s="14" t="s">
        <v>2330</v>
      </c>
      <c r="K293" s="14"/>
      <c r="L293" s="14" t="n">
        <f aca="false">IF(E293="","",IF(OR(AND(K293="Plan A",'All weeks'!$C$5="B"),AND(K293="Plan B",'All weeks'!$C$5="A")),0,IF(H293="Yes",E293,E293*IF(B293="Year 7",'All weeks'!$C$3,'All weeks'!$C$4))))</f>
        <v>30</v>
      </c>
    </row>
    <row r="294" customFormat="false" ht="23.85" hidden="false" customHeight="false" outlineLevel="0" collapsed="false">
      <c r="A294" s="14" t="n">
        <v>8</v>
      </c>
      <c r="B294" s="15" t="s">
        <v>153</v>
      </c>
      <c r="C294" s="15" t="s">
        <v>2358</v>
      </c>
      <c r="D294" s="15" t="s">
        <v>2685</v>
      </c>
      <c r="E294" s="14" t="n">
        <v>10</v>
      </c>
      <c r="F294" s="20" t="s">
        <v>2328</v>
      </c>
      <c r="G294" s="15" t="s">
        <v>2329</v>
      </c>
      <c r="H294" s="14" t="s">
        <v>2330</v>
      </c>
      <c r="I294" s="15"/>
      <c r="J294" s="14" t="s">
        <v>2330</v>
      </c>
      <c r="K294" s="14"/>
      <c r="L294" s="14" t="n">
        <f aca="false">IF(E294="","",IF(OR(AND(K294="Plan A",'All weeks'!$C$5="B"),AND(K294="Plan B",'All weeks'!$C$5="A")),0,IF(H294="Yes",E294,E294*IF(B294="Year 7",'All weeks'!$C$3,'All weeks'!$C$4))))</f>
        <v>10</v>
      </c>
    </row>
    <row r="295" customFormat="false" ht="46.25" hidden="false" customHeight="false" outlineLevel="0" collapsed="false">
      <c r="A295" s="11" t="n">
        <v>9</v>
      </c>
      <c r="B295" s="12" t="s">
        <v>39</v>
      </c>
      <c r="C295" s="12" t="s">
        <v>2326</v>
      </c>
      <c r="D295" s="12" t="s">
        <v>2686</v>
      </c>
      <c r="E295" s="11" t="n">
        <v>5</v>
      </c>
      <c r="F295" s="19" t="s">
        <v>2328</v>
      </c>
      <c r="G295" s="12" t="s">
        <v>2332</v>
      </c>
      <c r="H295" s="11" t="s">
        <v>77</v>
      </c>
      <c r="I295" s="12"/>
      <c r="J295" s="11" t="s">
        <v>2330</v>
      </c>
      <c r="K295" s="11"/>
      <c r="L295" s="11" t="n">
        <f aca="false">IF(E295="","",IF(OR(AND(K295="Plan A",'All weeks'!$C$5="B"),AND(K295="Plan B",'All weeks'!$C$5="A")),0,IF(H295="Yes",E295,E295*IF(B295="Year 7",'All weeks'!$C$3,'All weeks'!$C$4))))</f>
        <v>5</v>
      </c>
    </row>
    <row r="296" customFormat="false" ht="46.25" hidden="false" customHeight="false" outlineLevel="0" collapsed="false">
      <c r="A296" s="11" t="n">
        <v>9</v>
      </c>
      <c r="B296" s="12" t="s">
        <v>39</v>
      </c>
      <c r="C296" s="12" t="s">
        <v>2334</v>
      </c>
      <c r="D296" s="12" t="s">
        <v>2687</v>
      </c>
      <c r="E296" s="11" t="n">
        <v>10</v>
      </c>
      <c r="F296" s="12" t="s">
        <v>2342</v>
      </c>
      <c r="G296" s="12" t="s">
        <v>2340</v>
      </c>
      <c r="H296" s="11" t="s">
        <v>2330</v>
      </c>
      <c r="I296" s="12" t="s">
        <v>2688</v>
      </c>
      <c r="J296" s="11" t="s">
        <v>2330</v>
      </c>
      <c r="K296" s="11"/>
      <c r="L296" s="11" t="n">
        <f aca="false">IF(E296="","",IF(OR(AND(K296="Plan A",'All weeks'!$C$5="B"),AND(K296="Plan B",'All weeks'!$C$5="A")),0,IF(H296="Yes",E296,E296*IF(B296="Year 7",'All weeks'!$C$3,'All weeks'!$C$4))))</f>
        <v>10</v>
      </c>
    </row>
    <row r="297" customFormat="false" ht="23.85" hidden="false" customHeight="false" outlineLevel="0" collapsed="false">
      <c r="A297" s="11" t="n">
        <v>9</v>
      </c>
      <c r="B297" s="12" t="s">
        <v>39</v>
      </c>
      <c r="C297" s="12" t="s">
        <v>2334</v>
      </c>
      <c r="D297" s="12" t="s">
        <v>2689</v>
      </c>
      <c r="E297" s="11" t="n">
        <v>5</v>
      </c>
      <c r="F297" s="19" t="s">
        <v>2328</v>
      </c>
      <c r="G297" s="12" t="s">
        <v>2340</v>
      </c>
      <c r="H297" s="11" t="s">
        <v>2330</v>
      </c>
      <c r="I297" s="12"/>
      <c r="J297" s="11" t="s">
        <v>2330</v>
      </c>
      <c r="K297" s="11"/>
      <c r="L297" s="11" t="n">
        <f aca="false">IF(E297="","",IF(OR(AND(K297="Plan A",'All weeks'!$C$5="B"),AND(K297="Plan B",'All weeks'!$C$5="A")),0,IF(H297="Yes",E297,E297*IF(B297="Year 7",'All weeks'!$C$3,'All weeks'!$C$4))))</f>
        <v>5</v>
      </c>
    </row>
    <row r="298" customFormat="false" ht="23.85" hidden="false" customHeight="false" outlineLevel="0" collapsed="false">
      <c r="A298" s="11" t="n">
        <v>9</v>
      </c>
      <c r="B298" s="12" t="s">
        <v>39</v>
      </c>
      <c r="C298" s="12" t="s">
        <v>2334</v>
      </c>
      <c r="D298" s="12" t="s">
        <v>2690</v>
      </c>
      <c r="E298" s="11" t="n">
        <v>10</v>
      </c>
      <c r="F298" s="19" t="s">
        <v>2328</v>
      </c>
      <c r="G298" s="12" t="s">
        <v>2329</v>
      </c>
      <c r="H298" s="11" t="s">
        <v>2330</v>
      </c>
      <c r="I298" s="12" t="s">
        <v>2691</v>
      </c>
      <c r="J298" s="11" t="s">
        <v>2330</v>
      </c>
      <c r="K298" s="11"/>
      <c r="L298" s="11" t="n">
        <f aca="false">IF(E298="","",IF(OR(AND(K298="Plan A",'All weeks'!$C$5="B"),AND(K298="Plan B",'All weeks'!$C$5="A")),0,IF(H298="Yes",E298,E298*IF(B298="Year 7",'All weeks'!$C$3,'All weeks'!$C$4))))</f>
        <v>10</v>
      </c>
    </row>
    <row r="299" customFormat="false" ht="46.25" hidden="false" customHeight="false" outlineLevel="0" collapsed="false">
      <c r="A299" s="11" t="n">
        <v>9</v>
      </c>
      <c r="B299" s="12" t="s">
        <v>39</v>
      </c>
      <c r="C299" s="12" t="s">
        <v>2334</v>
      </c>
      <c r="D299" s="12" t="s">
        <v>2692</v>
      </c>
      <c r="E299" s="11" t="n">
        <v>10</v>
      </c>
      <c r="F299" s="19" t="s">
        <v>2328</v>
      </c>
      <c r="G299" s="12" t="s">
        <v>2329</v>
      </c>
      <c r="H299" s="11" t="s">
        <v>77</v>
      </c>
      <c r="I299" s="12" t="s">
        <v>2693</v>
      </c>
      <c r="J299" s="11" t="s">
        <v>2330</v>
      </c>
      <c r="K299" s="11"/>
      <c r="L299" s="11" t="n">
        <f aca="false">IF(E299="","",IF(OR(AND(K299="Plan A",'All weeks'!$C$5="B"),AND(K299="Plan B",'All weeks'!$C$5="A")),0,IF(H299="Yes",E299,E299*IF(B299="Year 7",'All weeks'!$C$3,'All weeks'!$C$4))))</f>
        <v>10</v>
      </c>
    </row>
    <row r="300" customFormat="false" ht="46.25" hidden="false" customHeight="false" outlineLevel="0" collapsed="false">
      <c r="A300" s="11" t="n">
        <v>9</v>
      </c>
      <c r="B300" s="12" t="s">
        <v>39</v>
      </c>
      <c r="C300" s="12" t="s">
        <v>2334</v>
      </c>
      <c r="D300" s="12" t="s">
        <v>2694</v>
      </c>
      <c r="E300" s="11" t="n">
        <v>15</v>
      </c>
      <c r="F300" s="12" t="s">
        <v>2342</v>
      </c>
      <c r="G300" s="12" t="s">
        <v>2332</v>
      </c>
      <c r="H300" s="11" t="s">
        <v>2330</v>
      </c>
      <c r="I300" s="12"/>
      <c r="J300" s="11" t="s">
        <v>2330</v>
      </c>
      <c r="K300" s="11"/>
      <c r="L300" s="11" t="n">
        <f aca="false">IF(E300="","",IF(OR(AND(K300="Plan A",'All weeks'!$C$5="B"),AND(K300="Plan B",'All weeks'!$C$5="A")),0,IF(H300="Yes",E300,E300*IF(B300="Year 7",'All weeks'!$C$3,'All weeks'!$C$4))))</f>
        <v>15</v>
      </c>
    </row>
    <row r="301" customFormat="false" ht="23.85" hidden="false" customHeight="false" outlineLevel="0" collapsed="false">
      <c r="A301" s="11" t="n">
        <v>9</v>
      </c>
      <c r="B301" s="12" t="s">
        <v>39</v>
      </c>
      <c r="C301" s="12" t="s">
        <v>2334</v>
      </c>
      <c r="D301" s="12" t="s">
        <v>2695</v>
      </c>
      <c r="E301" s="11" t="n">
        <v>5</v>
      </c>
      <c r="F301" s="12" t="s">
        <v>2342</v>
      </c>
      <c r="G301" s="12" t="s">
        <v>2332</v>
      </c>
      <c r="H301" s="11" t="s">
        <v>77</v>
      </c>
      <c r="I301" s="12" t="s">
        <v>2696</v>
      </c>
      <c r="J301" s="11" t="s">
        <v>2330</v>
      </c>
      <c r="K301" s="11"/>
      <c r="L301" s="11" t="n">
        <f aca="false">IF(E301="","",IF(OR(AND(K301="Plan A",'All weeks'!$C$5="B"),AND(K301="Plan B",'All weeks'!$C$5="A")),0,IF(H301="Yes",E301,E301*IF(B301="Year 7",'All weeks'!$C$3,'All weeks'!$C$4))))</f>
        <v>5</v>
      </c>
    </row>
    <row r="302" customFormat="false" ht="23.85" hidden="false" customHeight="false" outlineLevel="0" collapsed="false">
      <c r="A302" s="11" t="n">
        <v>9</v>
      </c>
      <c r="B302" s="12" t="s">
        <v>39</v>
      </c>
      <c r="C302" s="12" t="s">
        <v>2350</v>
      </c>
      <c r="D302" s="12" t="s">
        <v>2697</v>
      </c>
      <c r="E302" s="11" t="n">
        <v>5</v>
      </c>
      <c r="F302" s="12" t="s">
        <v>2342</v>
      </c>
      <c r="G302" s="12" t="s">
        <v>2332</v>
      </c>
      <c r="H302" s="11" t="s">
        <v>2330</v>
      </c>
      <c r="I302" s="12"/>
      <c r="J302" s="11" t="s">
        <v>2330</v>
      </c>
      <c r="K302" s="11"/>
      <c r="L302" s="11" t="n">
        <f aca="false">IF(E302="","",IF(OR(AND(K302="Plan A",'All weeks'!$C$5="B"),AND(K302="Plan B",'All weeks'!$C$5="A")),0,IF(H302="Yes",E302,E302*IF(B302="Year 7",'All weeks'!$C$3,'All weeks'!$C$4))))</f>
        <v>5</v>
      </c>
    </row>
    <row r="303" customFormat="false" ht="57.45" hidden="false" customHeight="false" outlineLevel="0" collapsed="false">
      <c r="A303" s="11" t="n">
        <v>9</v>
      </c>
      <c r="B303" s="12" t="s">
        <v>39</v>
      </c>
      <c r="C303" s="12" t="s">
        <v>2352</v>
      </c>
      <c r="D303" s="12" t="s">
        <v>2698</v>
      </c>
      <c r="E303" s="11" t="n">
        <v>10</v>
      </c>
      <c r="F303" s="19" t="s">
        <v>2328</v>
      </c>
      <c r="G303" s="12" t="s">
        <v>2329</v>
      </c>
      <c r="H303" s="11" t="s">
        <v>2330</v>
      </c>
      <c r="I303" s="12"/>
      <c r="J303" s="11" t="s">
        <v>2330</v>
      </c>
      <c r="K303" s="11"/>
      <c r="L303" s="11" t="n">
        <f aca="false">IF(E303="","",IF(OR(AND(K303="Plan A",'All weeks'!$C$5="B"),AND(K303="Plan B",'All weeks'!$C$5="A")),0,IF(H303="Yes",E303,E303*IF(B303="Year 7",'All weeks'!$C$3,'All weeks'!$C$4))))</f>
        <v>10</v>
      </c>
    </row>
    <row r="304" customFormat="false" ht="35.05" hidden="false" customHeight="false" outlineLevel="0" collapsed="false">
      <c r="A304" s="11" t="n">
        <v>9</v>
      </c>
      <c r="B304" s="12" t="s">
        <v>39</v>
      </c>
      <c r="C304" s="12" t="s">
        <v>2358</v>
      </c>
      <c r="D304" s="12" t="s">
        <v>2699</v>
      </c>
      <c r="E304" s="11" t="n">
        <v>3</v>
      </c>
      <c r="F304" s="19" t="s">
        <v>2328</v>
      </c>
      <c r="G304" s="12" t="s">
        <v>2357</v>
      </c>
      <c r="H304" s="11" t="s">
        <v>2330</v>
      </c>
      <c r="I304" s="12"/>
      <c r="J304" s="11" t="s">
        <v>2330</v>
      </c>
      <c r="K304" s="11"/>
      <c r="L304" s="11" t="n">
        <f aca="false">IF(E304="","",IF(OR(AND(K304="Plan A",'All weeks'!$C$5="B"),AND(K304="Plan B",'All weeks'!$C$5="A")),0,IF(H304="Yes",E304,E304*IF(B304="Year 7",'All weeks'!$C$3,'All weeks'!$C$4))))</f>
        <v>3</v>
      </c>
    </row>
    <row r="305" customFormat="false" ht="23.85" hidden="false" customHeight="false" outlineLevel="0" collapsed="false">
      <c r="A305" s="11" t="n">
        <v>9</v>
      </c>
      <c r="B305" s="12" t="s">
        <v>39</v>
      </c>
      <c r="C305" s="12" t="s">
        <v>2358</v>
      </c>
      <c r="D305" s="12" t="s">
        <v>2700</v>
      </c>
      <c r="E305" s="11" t="n">
        <v>3</v>
      </c>
      <c r="F305" s="19" t="s">
        <v>2328</v>
      </c>
      <c r="G305" s="12" t="s">
        <v>2332</v>
      </c>
      <c r="H305" s="11" t="s">
        <v>2330</v>
      </c>
      <c r="I305" s="12" t="s">
        <v>2701</v>
      </c>
      <c r="J305" s="11" t="s">
        <v>2330</v>
      </c>
      <c r="K305" s="11"/>
      <c r="L305" s="11" t="n">
        <f aca="false">IF(E305="","",IF(OR(AND(K305="Plan A",'All weeks'!$C$5="B"),AND(K305="Plan B",'All weeks'!$C$5="A")),0,IF(H305="Yes",E305,E305*IF(B305="Year 7",'All weeks'!$C$3,'All weeks'!$C$4))))</f>
        <v>3</v>
      </c>
    </row>
    <row r="306" customFormat="false" ht="23.85" hidden="false" customHeight="false" outlineLevel="0" collapsed="false">
      <c r="A306" s="11" t="n">
        <v>9</v>
      </c>
      <c r="B306" s="12" t="s">
        <v>39</v>
      </c>
      <c r="C306" s="12" t="s">
        <v>2358</v>
      </c>
      <c r="D306" s="12" t="s">
        <v>2702</v>
      </c>
      <c r="E306" s="11" t="n">
        <v>30</v>
      </c>
      <c r="F306" s="19" t="s">
        <v>2328</v>
      </c>
      <c r="G306" s="12" t="s">
        <v>2332</v>
      </c>
      <c r="H306" s="11" t="s">
        <v>2330</v>
      </c>
      <c r="I306" s="12" t="s">
        <v>2703</v>
      </c>
      <c r="J306" s="11" t="s">
        <v>2330</v>
      </c>
      <c r="K306" s="11"/>
      <c r="L306" s="11" t="n">
        <f aca="false">IF(E306="","",IF(OR(AND(K306="Plan A",'All weeks'!$C$5="B"),AND(K306="Plan B",'All weeks'!$C$5="A")),0,IF(H306="Yes",E306,E306*IF(B306="Year 7",'All weeks'!$C$3,'All weeks'!$C$4))))</f>
        <v>30</v>
      </c>
    </row>
    <row r="307" customFormat="false" ht="46.25" hidden="false" customHeight="false" outlineLevel="0" collapsed="false">
      <c r="A307" s="11" t="n">
        <v>9</v>
      </c>
      <c r="B307" s="12" t="s">
        <v>39</v>
      </c>
      <c r="C307" s="12" t="s">
        <v>2358</v>
      </c>
      <c r="D307" s="12" t="s">
        <v>2704</v>
      </c>
      <c r="E307" s="11" t="n">
        <v>10</v>
      </c>
      <c r="F307" s="19" t="s">
        <v>2328</v>
      </c>
      <c r="G307" s="12" t="s">
        <v>2332</v>
      </c>
      <c r="H307" s="11" t="s">
        <v>2330</v>
      </c>
      <c r="I307" s="12" t="s">
        <v>2705</v>
      </c>
      <c r="J307" s="11" t="s">
        <v>2330</v>
      </c>
      <c r="K307" s="11"/>
      <c r="L307" s="11" t="n">
        <f aca="false">IF(E307="","",IF(OR(AND(K307="Plan A",'All weeks'!$C$5="B"),AND(K307="Plan B",'All weeks'!$C$5="A")),0,IF(H307="Yes",E307,E307*IF(B307="Year 7",'All weeks'!$C$3,'All weeks'!$C$4))))</f>
        <v>10</v>
      </c>
    </row>
    <row r="308" customFormat="false" ht="23.85" hidden="false" customHeight="false" outlineLevel="0" collapsed="false">
      <c r="A308" s="11" t="n">
        <v>9</v>
      </c>
      <c r="B308" s="12" t="s">
        <v>39</v>
      </c>
      <c r="C308" s="12" t="s">
        <v>2358</v>
      </c>
      <c r="D308" s="12" t="s">
        <v>2706</v>
      </c>
      <c r="E308" s="11" t="n">
        <v>5</v>
      </c>
      <c r="F308" s="19" t="s">
        <v>2328</v>
      </c>
      <c r="G308" s="12" t="s">
        <v>2332</v>
      </c>
      <c r="H308" s="11" t="s">
        <v>2330</v>
      </c>
      <c r="I308" s="12" t="s">
        <v>2707</v>
      </c>
      <c r="J308" s="11" t="s">
        <v>2330</v>
      </c>
      <c r="K308" s="11"/>
      <c r="L308" s="11" t="n">
        <f aca="false">IF(E308="","",IF(OR(AND(K308="Plan A",'All weeks'!$C$5="B"),AND(K308="Plan B",'All weeks'!$C$5="A")),0,IF(H308="Yes",E308,E308*IF(B308="Year 7",'All weeks'!$C$3,'All weeks'!$C$4))))</f>
        <v>5</v>
      </c>
    </row>
    <row r="309" customFormat="false" ht="68.65" hidden="false" customHeight="false" outlineLevel="0" collapsed="false">
      <c r="A309" s="11" t="n">
        <v>9</v>
      </c>
      <c r="B309" s="12" t="s">
        <v>153</v>
      </c>
      <c r="C309" s="12" t="s">
        <v>2326</v>
      </c>
      <c r="D309" s="12" t="s">
        <v>2708</v>
      </c>
      <c r="E309" s="11" t="n">
        <v>5</v>
      </c>
      <c r="F309" s="19" t="s">
        <v>2328</v>
      </c>
      <c r="G309" s="12" t="s">
        <v>2332</v>
      </c>
      <c r="H309" s="11" t="s">
        <v>77</v>
      </c>
      <c r="I309" s="12"/>
      <c r="J309" s="11" t="s">
        <v>2330</v>
      </c>
      <c r="K309" s="11"/>
      <c r="L309" s="11" t="n">
        <f aca="false">IF(E309="","",IF(OR(AND(K309="Plan A",'All weeks'!$C$5="B"),AND(K309="Plan B",'All weeks'!$C$5="A")),0,IF(H309="Yes",E309,E309*IF(B309="Year 7",'All weeks'!$C$3,'All weeks'!$C$4))))</f>
        <v>5</v>
      </c>
    </row>
    <row r="310" customFormat="false" ht="35.05" hidden="false" customHeight="false" outlineLevel="0" collapsed="false">
      <c r="A310" s="11" t="n">
        <v>9</v>
      </c>
      <c r="B310" s="12" t="s">
        <v>153</v>
      </c>
      <c r="C310" s="12" t="s">
        <v>2334</v>
      </c>
      <c r="D310" s="12" t="s">
        <v>2709</v>
      </c>
      <c r="E310" s="11" t="n">
        <v>15</v>
      </c>
      <c r="F310" s="19" t="s">
        <v>2328</v>
      </c>
      <c r="G310" s="12" t="s">
        <v>2332</v>
      </c>
      <c r="H310" s="11" t="s">
        <v>77</v>
      </c>
      <c r="I310" s="12"/>
      <c r="J310" s="11" t="s">
        <v>2330</v>
      </c>
      <c r="K310" s="11"/>
      <c r="L310" s="11" t="n">
        <f aca="false">IF(E310="","",IF(OR(AND(K310="Plan A",'All weeks'!$C$5="B"),AND(K310="Plan B",'All weeks'!$C$5="A")),0,IF(H310="Yes",E310,E310*IF(B310="Year 7",'All weeks'!$C$3,'All weeks'!$C$4))))</f>
        <v>15</v>
      </c>
    </row>
    <row r="311" customFormat="false" ht="15" hidden="false" customHeight="false" outlineLevel="0" collapsed="false">
      <c r="A311" s="11" t="n">
        <v>9</v>
      </c>
      <c r="B311" s="12" t="s">
        <v>153</v>
      </c>
      <c r="C311" s="12" t="s">
        <v>2334</v>
      </c>
      <c r="D311" s="12" t="s">
        <v>2710</v>
      </c>
      <c r="E311" s="11" t="n">
        <v>2</v>
      </c>
      <c r="F311" s="19" t="s">
        <v>2328</v>
      </c>
      <c r="G311" s="12" t="s">
        <v>2329</v>
      </c>
      <c r="H311" s="11" t="s">
        <v>77</v>
      </c>
      <c r="I311" s="12"/>
      <c r="J311" s="11" t="s">
        <v>2330</v>
      </c>
      <c r="K311" s="11"/>
      <c r="L311" s="11" t="n">
        <f aca="false">IF(E311="","",IF(OR(AND(K311="Plan A",'All weeks'!$C$5="B"),AND(K311="Plan B",'All weeks'!$C$5="A")),0,IF(H311="Yes",E311,E311*IF(B311="Year 7",'All weeks'!$C$3,'All weeks'!$C$4))))</f>
        <v>2</v>
      </c>
    </row>
    <row r="312" customFormat="false" ht="35.05" hidden="false" customHeight="false" outlineLevel="0" collapsed="false">
      <c r="A312" s="11" t="n">
        <v>9</v>
      </c>
      <c r="B312" s="12" t="s">
        <v>153</v>
      </c>
      <c r="C312" s="12" t="s">
        <v>2334</v>
      </c>
      <c r="D312" s="12" t="s">
        <v>2711</v>
      </c>
      <c r="E312" s="11" t="n">
        <v>5</v>
      </c>
      <c r="F312" s="12" t="s">
        <v>2342</v>
      </c>
      <c r="G312" s="12" t="s">
        <v>2340</v>
      </c>
      <c r="H312" s="11" t="s">
        <v>2330</v>
      </c>
      <c r="I312" s="12"/>
      <c r="J312" s="11" t="s">
        <v>2330</v>
      </c>
      <c r="K312" s="11"/>
      <c r="L312" s="11" t="n">
        <f aca="false">IF(E312="","",IF(OR(AND(K312="Plan A",'All weeks'!$C$5="B"),AND(K312="Plan B",'All weeks'!$C$5="A")),0,IF(H312="Yes",E312,E312*IF(B312="Year 7",'All weeks'!$C$3,'All weeks'!$C$4))))</f>
        <v>5</v>
      </c>
    </row>
    <row r="313" customFormat="false" ht="23.85" hidden="false" customHeight="false" outlineLevel="0" collapsed="false">
      <c r="A313" s="11" t="n">
        <v>9</v>
      </c>
      <c r="B313" s="12" t="s">
        <v>153</v>
      </c>
      <c r="C313" s="12" t="s">
        <v>2334</v>
      </c>
      <c r="D313" s="12" t="s">
        <v>2712</v>
      </c>
      <c r="E313" s="11" t="n">
        <v>10</v>
      </c>
      <c r="F313" s="12" t="s">
        <v>2342</v>
      </c>
      <c r="G313" s="12" t="s">
        <v>2329</v>
      </c>
      <c r="H313" s="11" t="s">
        <v>2330</v>
      </c>
      <c r="I313" s="12"/>
      <c r="J313" s="11" t="s">
        <v>2330</v>
      </c>
      <c r="K313" s="11"/>
      <c r="L313" s="11" t="n">
        <f aca="false">IF(E313="","",IF(OR(AND(K313="Plan A",'All weeks'!$C$5="B"),AND(K313="Plan B",'All weeks'!$C$5="A")),0,IF(H313="Yes",E313,E313*IF(B313="Year 7",'All weeks'!$C$3,'All weeks'!$C$4))))</f>
        <v>10</v>
      </c>
    </row>
    <row r="314" customFormat="false" ht="46.25" hidden="false" customHeight="false" outlineLevel="0" collapsed="false">
      <c r="A314" s="11" t="n">
        <v>9</v>
      </c>
      <c r="B314" s="12" t="s">
        <v>153</v>
      </c>
      <c r="C314" s="12" t="s">
        <v>2334</v>
      </c>
      <c r="D314" s="12" t="s">
        <v>2713</v>
      </c>
      <c r="E314" s="11" t="n">
        <v>5</v>
      </c>
      <c r="F314" s="12" t="s">
        <v>2342</v>
      </c>
      <c r="G314" s="12" t="s">
        <v>2332</v>
      </c>
      <c r="H314" s="11" t="s">
        <v>2330</v>
      </c>
      <c r="I314" s="12"/>
      <c r="J314" s="11" t="s">
        <v>2330</v>
      </c>
      <c r="K314" s="11"/>
      <c r="L314" s="11" t="n">
        <f aca="false">IF(E314="","",IF(OR(AND(K314="Plan A",'All weeks'!$C$5="B"),AND(K314="Plan B",'All weeks'!$C$5="A")),0,IF(H314="Yes",E314,E314*IF(B314="Year 7",'All weeks'!$C$3,'All weeks'!$C$4))))</f>
        <v>5</v>
      </c>
    </row>
    <row r="315" customFormat="false" ht="35.05" hidden="false" customHeight="false" outlineLevel="0" collapsed="false">
      <c r="A315" s="11" t="n">
        <v>9</v>
      </c>
      <c r="B315" s="12" t="s">
        <v>153</v>
      </c>
      <c r="C315" s="12" t="s">
        <v>2334</v>
      </c>
      <c r="D315" s="12" t="s">
        <v>2714</v>
      </c>
      <c r="E315" s="11" t="n">
        <v>2</v>
      </c>
      <c r="F315" s="12" t="s">
        <v>2342</v>
      </c>
      <c r="G315" s="12" t="s">
        <v>2332</v>
      </c>
      <c r="H315" s="11" t="s">
        <v>2330</v>
      </c>
      <c r="I315" s="12"/>
      <c r="J315" s="11" t="s">
        <v>2330</v>
      </c>
      <c r="K315" s="11"/>
      <c r="L315" s="11" t="n">
        <f aca="false">IF(E315="","",IF(OR(AND(K315="Plan A",'All weeks'!$C$5="B"),AND(K315="Plan B",'All weeks'!$C$5="A")),0,IF(H315="Yes",E315,E315*IF(B315="Year 7",'All weeks'!$C$3,'All weeks'!$C$4))))</f>
        <v>2</v>
      </c>
    </row>
    <row r="316" customFormat="false" ht="46.25" hidden="false" customHeight="false" outlineLevel="0" collapsed="false">
      <c r="A316" s="11" t="n">
        <v>9</v>
      </c>
      <c r="B316" s="12" t="s">
        <v>153</v>
      </c>
      <c r="C316" s="12" t="s">
        <v>2334</v>
      </c>
      <c r="D316" s="12" t="s">
        <v>2715</v>
      </c>
      <c r="E316" s="11" t="n">
        <v>3</v>
      </c>
      <c r="F316" s="12" t="s">
        <v>2342</v>
      </c>
      <c r="G316" s="12" t="s">
        <v>2332</v>
      </c>
      <c r="H316" s="11" t="s">
        <v>2330</v>
      </c>
      <c r="I316" s="12" t="s">
        <v>2716</v>
      </c>
      <c r="J316" s="11" t="s">
        <v>2330</v>
      </c>
      <c r="K316" s="11"/>
      <c r="L316" s="11" t="n">
        <f aca="false">IF(E316="","",IF(OR(AND(K316="Plan A",'All weeks'!$C$5="B"),AND(K316="Plan B",'All weeks'!$C$5="A")),0,IF(H316="Yes",E316,E316*IF(B316="Year 7",'All weeks'!$C$3,'All weeks'!$C$4))))</f>
        <v>3</v>
      </c>
    </row>
    <row r="317" customFormat="false" ht="23.85" hidden="false" customHeight="false" outlineLevel="0" collapsed="false">
      <c r="A317" s="11" t="n">
        <v>9</v>
      </c>
      <c r="B317" s="12" t="s">
        <v>153</v>
      </c>
      <c r="C317" s="12" t="s">
        <v>2334</v>
      </c>
      <c r="D317" s="12" t="s">
        <v>2717</v>
      </c>
      <c r="E317" s="11" t="n">
        <v>3</v>
      </c>
      <c r="F317" s="19" t="s">
        <v>2328</v>
      </c>
      <c r="G317" s="12" t="s">
        <v>2329</v>
      </c>
      <c r="H317" s="11" t="s">
        <v>2330</v>
      </c>
      <c r="I317" s="12"/>
      <c r="J317" s="11" t="s">
        <v>2330</v>
      </c>
      <c r="K317" s="11"/>
      <c r="L317" s="11" t="n">
        <f aca="false">IF(E317="","",IF(OR(AND(K317="Plan A",'All weeks'!$C$5="B"),AND(K317="Plan B",'All weeks'!$C$5="A")),0,IF(H317="Yes",E317,E317*IF(B317="Year 7",'All weeks'!$C$3,'All weeks'!$C$4))))</f>
        <v>3</v>
      </c>
    </row>
    <row r="318" customFormat="false" ht="23.85" hidden="false" customHeight="false" outlineLevel="0" collapsed="false">
      <c r="A318" s="11" t="n">
        <v>9</v>
      </c>
      <c r="B318" s="12" t="s">
        <v>153</v>
      </c>
      <c r="C318" s="12" t="s">
        <v>2334</v>
      </c>
      <c r="D318" s="12" t="s">
        <v>2718</v>
      </c>
      <c r="E318" s="11" t="n">
        <v>3</v>
      </c>
      <c r="F318" s="19" t="s">
        <v>2328</v>
      </c>
      <c r="G318" s="12" t="s">
        <v>2329</v>
      </c>
      <c r="H318" s="11" t="s">
        <v>2330</v>
      </c>
      <c r="I318" s="12" t="s">
        <v>2719</v>
      </c>
      <c r="J318" s="11" t="s">
        <v>2330</v>
      </c>
      <c r="K318" s="11"/>
      <c r="L318" s="11" t="n">
        <f aca="false">IF(E318="","",IF(OR(AND(K318="Plan A",'All weeks'!$C$5="B"),AND(K318="Plan B",'All weeks'!$C$5="A")),0,IF(H318="Yes",E318,E318*IF(B318="Year 7",'All weeks'!$C$3,'All weeks'!$C$4))))</f>
        <v>3</v>
      </c>
    </row>
    <row r="319" customFormat="false" ht="35.05" hidden="false" customHeight="false" outlineLevel="0" collapsed="false">
      <c r="A319" s="11" t="n">
        <v>9</v>
      </c>
      <c r="B319" s="12" t="s">
        <v>153</v>
      </c>
      <c r="C319" s="12" t="s">
        <v>2334</v>
      </c>
      <c r="D319" s="12" t="s">
        <v>2720</v>
      </c>
      <c r="E319" s="11" t="n">
        <v>10</v>
      </c>
      <c r="F319" s="19" t="s">
        <v>2328</v>
      </c>
      <c r="G319" s="12" t="s">
        <v>2332</v>
      </c>
      <c r="H319" s="11" t="s">
        <v>2330</v>
      </c>
      <c r="I319" s="12" t="s">
        <v>2721</v>
      </c>
      <c r="J319" s="11" t="s">
        <v>2330</v>
      </c>
      <c r="K319" s="11"/>
      <c r="L319" s="11" t="n">
        <f aca="false">IF(E319="","",IF(OR(AND(K319="Plan A",'All weeks'!$C$5="B"),AND(K319="Plan B",'All weeks'!$C$5="A")),0,IF(H319="Yes",E319,E319*IF(B319="Year 7",'All weeks'!$C$3,'All weeks'!$C$4))))</f>
        <v>10</v>
      </c>
    </row>
    <row r="320" customFormat="false" ht="15" hidden="false" customHeight="false" outlineLevel="0" collapsed="false">
      <c r="A320" s="11" t="n">
        <v>9</v>
      </c>
      <c r="B320" s="12" t="s">
        <v>153</v>
      </c>
      <c r="C320" s="12" t="s">
        <v>2350</v>
      </c>
      <c r="D320" s="12" t="s">
        <v>2722</v>
      </c>
      <c r="E320" s="11" t="n">
        <v>3</v>
      </c>
      <c r="F320" s="19" t="s">
        <v>2328</v>
      </c>
      <c r="G320" s="12" t="s">
        <v>2329</v>
      </c>
      <c r="H320" s="11" t="s">
        <v>77</v>
      </c>
      <c r="I320" s="12"/>
      <c r="J320" s="11" t="s">
        <v>105</v>
      </c>
      <c r="K320" s="11"/>
      <c r="L320" s="11" t="n">
        <f aca="false">IF(E320="","",IF(OR(AND(K320="Plan A",'All weeks'!$C$5="B"),AND(K320="Plan B",'All weeks'!$C$5="A")),0,IF(H320="Yes",E320,E320*IF(B320="Year 7",'All weeks'!$C$3,'All weeks'!$C$4))))</f>
        <v>3</v>
      </c>
    </row>
    <row r="321" customFormat="false" ht="23.85" hidden="false" customHeight="false" outlineLevel="0" collapsed="false">
      <c r="A321" s="11" t="n">
        <v>9</v>
      </c>
      <c r="B321" s="12" t="s">
        <v>153</v>
      </c>
      <c r="C321" s="12" t="s">
        <v>2350</v>
      </c>
      <c r="D321" s="12" t="s">
        <v>2723</v>
      </c>
      <c r="E321" s="11" t="n">
        <v>15</v>
      </c>
      <c r="F321" s="19" t="s">
        <v>2328</v>
      </c>
      <c r="G321" s="12" t="s">
        <v>2332</v>
      </c>
      <c r="H321" s="11" t="s">
        <v>2330</v>
      </c>
      <c r="I321" s="12"/>
      <c r="J321" s="11" t="s">
        <v>105</v>
      </c>
      <c r="K321" s="11"/>
      <c r="L321" s="11" t="n">
        <f aca="false">IF(E321="","",IF(OR(AND(K321="Plan A",'All weeks'!$C$5="B"),AND(K321="Plan B",'All weeks'!$C$5="A")),0,IF(H321="Yes",E321,E321*IF(B321="Year 7",'All weeks'!$C$3,'All weeks'!$C$4))))</f>
        <v>15</v>
      </c>
    </row>
    <row r="322" customFormat="false" ht="46.25" hidden="false" customHeight="false" outlineLevel="0" collapsed="false">
      <c r="A322" s="11" t="n">
        <v>9</v>
      </c>
      <c r="B322" s="12" t="s">
        <v>153</v>
      </c>
      <c r="C322" s="12" t="s">
        <v>2352</v>
      </c>
      <c r="D322" s="12" t="s">
        <v>2724</v>
      </c>
      <c r="E322" s="11" t="n">
        <v>5</v>
      </c>
      <c r="F322" s="19" t="s">
        <v>2328</v>
      </c>
      <c r="G322" s="12" t="s">
        <v>2332</v>
      </c>
      <c r="H322" s="11" t="s">
        <v>2330</v>
      </c>
      <c r="I322" s="12"/>
      <c r="J322" s="11" t="s">
        <v>2330</v>
      </c>
      <c r="K322" s="11"/>
      <c r="L322" s="11" t="n">
        <f aca="false">IF(E322="","",IF(OR(AND(K322="Plan A",'All weeks'!$C$5="B"),AND(K322="Plan B",'All weeks'!$C$5="A")),0,IF(H322="Yes",E322,E322*IF(B322="Year 7",'All weeks'!$C$3,'All weeks'!$C$4))))</f>
        <v>5</v>
      </c>
    </row>
    <row r="323" customFormat="false" ht="23.85" hidden="false" customHeight="false" outlineLevel="0" collapsed="false">
      <c r="A323" s="11" t="n">
        <v>9</v>
      </c>
      <c r="B323" s="12" t="s">
        <v>153</v>
      </c>
      <c r="C323" s="12" t="s">
        <v>2358</v>
      </c>
      <c r="D323" s="12" t="s">
        <v>2725</v>
      </c>
      <c r="E323" s="11" t="n">
        <v>5</v>
      </c>
      <c r="F323" s="19" t="s">
        <v>2328</v>
      </c>
      <c r="G323" s="12" t="s">
        <v>2332</v>
      </c>
      <c r="H323" s="11" t="s">
        <v>2330</v>
      </c>
      <c r="I323" s="12" t="s">
        <v>2726</v>
      </c>
      <c r="J323" s="11" t="s">
        <v>2330</v>
      </c>
      <c r="K323" s="11"/>
      <c r="L323" s="11" t="n">
        <f aca="false">IF(E323="","",IF(OR(AND(K323="Plan A",'All weeks'!$C$5="B"),AND(K323="Plan B",'All weeks'!$C$5="A")),0,IF(H323="Yes",E323,E323*IF(B323="Year 7",'All weeks'!$C$3,'All weeks'!$C$4))))</f>
        <v>5</v>
      </c>
    </row>
    <row r="324" customFormat="false" ht="35.05" hidden="false" customHeight="false" outlineLevel="0" collapsed="false">
      <c r="A324" s="11" t="n">
        <v>9</v>
      </c>
      <c r="B324" s="12" t="s">
        <v>153</v>
      </c>
      <c r="C324" s="12" t="s">
        <v>2358</v>
      </c>
      <c r="D324" s="12" t="s">
        <v>2727</v>
      </c>
      <c r="E324" s="11" t="n">
        <v>3</v>
      </c>
      <c r="F324" s="19" t="s">
        <v>2328</v>
      </c>
      <c r="G324" s="12" t="s">
        <v>2357</v>
      </c>
      <c r="H324" s="11" t="s">
        <v>2330</v>
      </c>
      <c r="I324" s="12" t="s">
        <v>2728</v>
      </c>
      <c r="J324" s="11" t="s">
        <v>2330</v>
      </c>
      <c r="K324" s="11"/>
      <c r="L324" s="11" t="n">
        <f aca="false">IF(E324="","",IF(OR(AND(K324="Plan A",'All weeks'!$C$5="B"),AND(K324="Plan B",'All weeks'!$C$5="A")),0,IF(H324="Yes",E324,E324*IF(B324="Year 7",'All weeks'!$C$3,'All weeks'!$C$4))))</f>
        <v>3</v>
      </c>
    </row>
    <row r="325" customFormat="false" ht="23.85" hidden="false" customHeight="false" outlineLevel="0" collapsed="false">
      <c r="A325" s="11" t="n">
        <v>9</v>
      </c>
      <c r="B325" s="12" t="s">
        <v>153</v>
      </c>
      <c r="C325" s="12" t="s">
        <v>2358</v>
      </c>
      <c r="D325" s="12" t="s">
        <v>2729</v>
      </c>
      <c r="E325" s="11" t="n">
        <v>10</v>
      </c>
      <c r="F325" s="19" t="s">
        <v>2328</v>
      </c>
      <c r="G325" s="12" t="s">
        <v>2329</v>
      </c>
      <c r="H325" s="11" t="s">
        <v>2330</v>
      </c>
      <c r="I325" s="12"/>
      <c r="J325" s="11" t="s">
        <v>2330</v>
      </c>
      <c r="K325" s="11"/>
      <c r="L325" s="11" t="n">
        <f aca="false">IF(E325="","",IF(OR(AND(K325="Plan A",'All weeks'!$C$5="B"),AND(K325="Plan B",'All weeks'!$C$5="A")),0,IF(H325="Yes",E325,E325*IF(B325="Year 7",'All weeks'!$C$3,'All weeks'!$C$4))))</f>
        <v>10</v>
      </c>
    </row>
    <row r="326" customFormat="false" ht="35.05" hidden="false" customHeight="false" outlineLevel="0" collapsed="false">
      <c r="A326" s="11" t="n">
        <v>9</v>
      </c>
      <c r="B326" s="12" t="s">
        <v>153</v>
      </c>
      <c r="C326" s="12" t="s">
        <v>2358</v>
      </c>
      <c r="D326" s="12" t="s">
        <v>2730</v>
      </c>
      <c r="E326" s="11" t="n">
        <v>90</v>
      </c>
      <c r="F326" s="19" t="s">
        <v>2328</v>
      </c>
      <c r="G326" s="12" t="s">
        <v>2332</v>
      </c>
      <c r="H326" s="11" t="s">
        <v>2330</v>
      </c>
      <c r="I326" s="12" t="s">
        <v>2731</v>
      </c>
      <c r="J326" s="11" t="s">
        <v>2330</v>
      </c>
      <c r="K326" s="11"/>
      <c r="L326" s="11" t="n">
        <f aca="false">IF(E326="","",IF(OR(AND(K326="Plan A",'All weeks'!$C$5="B"),AND(K326="Plan B",'All weeks'!$C$5="A")),0,IF(H326="Yes",E326,E326*IF(B326="Year 7",'All weeks'!$C$3,'All weeks'!$C$4))))</f>
        <v>90</v>
      </c>
    </row>
    <row r="327" customFormat="false" ht="46.25" hidden="false" customHeight="false" outlineLevel="0" collapsed="false">
      <c r="A327" s="14" t="n">
        <v>10</v>
      </c>
      <c r="B327" s="15" t="s">
        <v>39</v>
      </c>
      <c r="C327" s="15" t="s">
        <v>2326</v>
      </c>
      <c r="D327" s="15" t="s">
        <v>2732</v>
      </c>
      <c r="E327" s="14" t="n">
        <v>5</v>
      </c>
      <c r="F327" s="20" t="s">
        <v>2328</v>
      </c>
      <c r="G327" s="15" t="s">
        <v>2332</v>
      </c>
      <c r="H327" s="14" t="s">
        <v>77</v>
      </c>
      <c r="I327" s="15"/>
      <c r="J327" s="14" t="s">
        <v>2330</v>
      </c>
      <c r="K327" s="14"/>
      <c r="L327" s="14" t="n">
        <f aca="false">IF(E327="","",IF(OR(AND(K327="Plan A",'All weeks'!$C$5="B"),AND(K327="Plan B",'All weeks'!$C$5="A")),0,IF(H327="Yes",E327,E327*IF(B327="Year 7",'All weeks'!$C$3,'All weeks'!$C$4))))</f>
        <v>5</v>
      </c>
    </row>
    <row r="328" customFormat="false" ht="35.05" hidden="false" customHeight="false" outlineLevel="0" collapsed="false">
      <c r="A328" s="14" t="n">
        <v>10</v>
      </c>
      <c r="B328" s="15" t="s">
        <v>39</v>
      </c>
      <c r="C328" s="15" t="s">
        <v>2334</v>
      </c>
      <c r="D328" s="15" t="s">
        <v>2733</v>
      </c>
      <c r="E328" s="14" t="n">
        <v>5</v>
      </c>
      <c r="F328" s="20" t="s">
        <v>2328</v>
      </c>
      <c r="G328" s="15" t="s">
        <v>2332</v>
      </c>
      <c r="H328" s="14" t="s">
        <v>2330</v>
      </c>
      <c r="I328" s="15"/>
      <c r="J328" s="14" t="s">
        <v>2330</v>
      </c>
      <c r="K328" s="14"/>
      <c r="L328" s="14" t="n">
        <f aca="false">IF(E328="","",IF(OR(AND(K328="Plan A",'All weeks'!$C$5="B"),AND(K328="Plan B",'All weeks'!$C$5="A")),0,IF(H328="Yes",E328,E328*IF(B328="Year 7",'All weeks'!$C$3,'All weeks'!$C$4))))</f>
        <v>5</v>
      </c>
    </row>
    <row r="329" customFormat="false" ht="46.25" hidden="false" customHeight="false" outlineLevel="0" collapsed="false">
      <c r="A329" s="14" t="n">
        <v>10</v>
      </c>
      <c r="B329" s="15" t="s">
        <v>39</v>
      </c>
      <c r="C329" s="15" t="s">
        <v>2334</v>
      </c>
      <c r="D329" s="15" t="s">
        <v>2734</v>
      </c>
      <c r="E329" s="14" t="n">
        <v>10</v>
      </c>
      <c r="F329" s="15" t="s">
        <v>2342</v>
      </c>
      <c r="G329" s="15" t="s">
        <v>2332</v>
      </c>
      <c r="H329" s="14" t="s">
        <v>2330</v>
      </c>
      <c r="I329" s="15"/>
      <c r="J329" s="14" t="s">
        <v>2330</v>
      </c>
      <c r="K329" s="14"/>
      <c r="L329" s="14" t="n">
        <f aca="false">IF(E329="","",IF(OR(AND(K329="Plan A",'All weeks'!$C$5="B"),AND(K329="Plan B",'All weeks'!$C$5="A")),0,IF(H329="Yes",E329,E329*IF(B329="Year 7",'All weeks'!$C$3,'All weeks'!$C$4))))</f>
        <v>10</v>
      </c>
    </row>
    <row r="330" customFormat="false" ht="46.25" hidden="false" customHeight="false" outlineLevel="0" collapsed="false">
      <c r="A330" s="14" t="n">
        <v>10</v>
      </c>
      <c r="B330" s="15" t="s">
        <v>39</v>
      </c>
      <c r="C330" s="15" t="s">
        <v>2334</v>
      </c>
      <c r="D330" s="15" t="s">
        <v>2735</v>
      </c>
      <c r="E330" s="14" t="n">
        <v>5</v>
      </c>
      <c r="F330" s="20" t="s">
        <v>2328</v>
      </c>
      <c r="G330" s="15" t="s">
        <v>2340</v>
      </c>
      <c r="H330" s="14" t="s">
        <v>77</v>
      </c>
      <c r="I330" s="15"/>
      <c r="J330" s="14" t="s">
        <v>2330</v>
      </c>
      <c r="K330" s="14"/>
      <c r="L330" s="14" t="n">
        <f aca="false">IF(E330="","",IF(OR(AND(K330="Plan A",'All weeks'!$C$5="B"),AND(K330="Plan B",'All weeks'!$C$5="A")),0,IF(H330="Yes",E330,E330*IF(B330="Year 7",'All weeks'!$C$3,'All weeks'!$C$4))))</f>
        <v>5</v>
      </c>
    </row>
    <row r="331" customFormat="false" ht="15" hidden="false" customHeight="false" outlineLevel="0" collapsed="false">
      <c r="A331" s="14" t="n">
        <v>10</v>
      </c>
      <c r="B331" s="15" t="s">
        <v>39</v>
      </c>
      <c r="C331" s="15" t="s">
        <v>2334</v>
      </c>
      <c r="D331" s="15" t="s">
        <v>2736</v>
      </c>
      <c r="E331" s="14" t="n">
        <v>5</v>
      </c>
      <c r="F331" s="20" t="s">
        <v>2328</v>
      </c>
      <c r="G331" s="15" t="s">
        <v>2329</v>
      </c>
      <c r="H331" s="14" t="s">
        <v>2330</v>
      </c>
      <c r="I331" s="15"/>
      <c r="J331" s="14" t="s">
        <v>2330</v>
      </c>
      <c r="K331" s="14"/>
      <c r="L331" s="14" t="n">
        <f aca="false">IF(E331="","",IF(OR(AND(K331="Plan A",'All weeks'!$C$5="B"),AND(K331="Plan B",'All weeks'!$C$5="A")),0,IF(H331="Yes",E331,E331*IF(B331="Year 7",'All weeks'!$C$3,'All weeks'!$C$4))))</f>
        <v>5</v>
      </c>
    </row>
    <row r="332" customFormat="false" ht="23.85" hidden="false" customHeight="false" outlineLevel="0" collapsed="false">
      <c r="A332" s="14" t="n">
        <v>10</v>
      </c>
      <c r="B332" s="15" t="s">
        <v>39</v>
      </c>
      <c r="C332" s="15" t="s">
        <v>2334</v>
      </c>
      <c r="D332" s="15" t="s">
        <v>2737</v>
      </c>
      <c r="E332" s="14" t="n">
        <v>5</v>
      </c>
      <c r="F332" s="15" t="s">
        <v>2342</v>
      </c>
      <c r="G332" s="15" t="s">
        <v>2332</v>
      </c>
      <c r="H332" s="14" t="s">
        <v>2330</v>
      </c>
      <c r="I332" s="15"/>
      <c r="J332" s="14" t="s">
        <v>2330</v>
      </c>
      <c r="K332" s="14"/>
      <c r="L332" s="14" t="n">
        <f aca="false">IF(E332="","",IF(OR(AND(K332="Plan A",'All weeks'!$C$5="B"),AND(K332="Plan B",'All weeks'!$C$5="A")),0,IF(H332="Yes",E332,E332*IF(B332="Year 7",'All weeks'!$C$3,'All weeks'!$C$4))))</f>
        <v>5</v>
      </c>
    </row>
    <row r="333" customFormat="false" ht="46.25" hidden="false" customHeight="false" outlineLevel="0" collapsed="false">
      <c r="A333" s="14" t="n">
        <v>10</v>
      </c>
      <c r="B333" s="15" t="s">
        <v>39</v>
      </c>
      <c r="C333" s="15" t="s">
        <v>2350</v>
      </c>
      <c r="D333" s="15" t="s">
        <v>2738</v>
      </c>
      <c r="E333" s="14" t="n">
        <v>5</v>
      </c>
      <c r="F333" s="15" t="s">
        <v>2342</v>
      </c>
      <c r="G333" s="15" t="s">
        <v>2332</v>
      </c>
      <c r="H333" s="14" t="s">
        <v>2330</v>
      </c>
      <c r="I333" s="15"/>
      <c r="J333" s="14" t="s">
        <v>2330</v>
      </c>
      <c r="K333" s="14"/>
      <c r="L333" s="14" t="n">
        <f aca="false">IF(E333="","",IF(OR(AND(K333="Plan A",'All weeks'!$C$5="B"),AND(K333="Plan B",'All weeks'!$C$5="A")),0,IF(H333="Yes",E333,E333*IF(B333="Year 7",'All weeks'!$C$3,'All weeks'!$C$4))))</f>
        <v>5</v>
      </c>
    </row>
    <row r="334" customFormat="false" ht="35.05" hidden="false" customHeight="false" outlineLevel="0" collapsed="false">
      <c r="A334" s="14" t="n">
        <v>10</v>
      </c>
      <c r="B334" s="15" t="s">
        <v>39</v>
      </c>
      <c r="C334" s="15" t="s">
        <v>2350</v>
      </c>
      <c r="D334" s="15" t="s">
        <v>2739</v>
      </c>
      <c r="E334" s="14" t="n">
        <v>10</v>
      </c>
      <c r="F334" s="15" t="s">
        <v>2342</v>
      </c>
      <c r="G334" s="15" t="s">
        <v>2332</v>
      </c>
      <c r="H334" s="14" t="s">
        <v>2330</v>
      </c>
      <c r="I334" s="15" t="s">
        <v>2740</v>
      </c>
      <c r="J334" s="14" t="s">
        <v>2330</v>
      </c>
      <c r="K334" s="14"/>
      <c r="L334" s="14" t="n">
        <f aca="false">IF(E334="","",IF(OR(AND(K334="Plan A",'All weeks'!$C$5="B"),AND(K334="Plan B",'All weeks'!$C$5="A")),0,IF(H334="Yes",E334,E334*IF(B334="Year 7",'All weeks'!$C$3,'All weeks'!$C$4))))</f>
        <v>10</v>
      </c>
    </row>
    <row r="335" customFormat="false" ht="35.05" hidden="false" customHeight="false" outlineLevel="0" collapsed="false">
      <c r="A335" s="14" t="n">
        <v>10</v>
      </c>
      <c r="B335" s="15" t="s">
        <v>39</v>
      </c>
      <c r="C335" s="15" t="s">
        <v>2350</v>
      </c>
      <c r="D335" s="15" t="s">
        <v>2741</v>
      </c>
      <c r="E335" s="14" t="n">
        <v>15</v>
      </c>
      <c r="F335" s="20" t="s">
        <v>2328</v>
      </c>
      <c r="G335" s="15" t="s">
        <v>2332</v>
      </c>
      <c r="H335" s="14" t="s">
        <v>2330</v>
      </c>
      <c r="I335" s="15"/>
      <c r="J335" s="14" t="s">
        <v>105</v>
      </c>
      <c r="K335" s="14"/>
      <c r="L335" s="14" t="n">
        <f aca="false">IF(E335="","",IF(OR(AND(K335="Plan A",'All weeks'!$C$5="B"),AND(K335="Plan B",'All weeks'!$C$5="A")),0,IF(H335="Yes",E335,E335*IF(B335="Year 7",'All weeks'!$C$3,'All weeks'!$C$4))))</f>
        <v>15</v>
      </c>
    </row>
    <row r="336" customFormat="false" ht="23.85" hidden="false" customHeight="false" outlineLevel="0" collapsed="false">
      <c r="A336" s="14" t="n">
        <v>10</v>
      </c>
      <c r="B336" s="15" t="s">
        <v>39</v>
      </c>
      <c r="C336" s="15" t="s">
        <v>2352</v>
      </c>
      <c r="D336" s="15" t="s">
        <v>2742</v>
      </c>
      <c r="E336" s="14" t="n">
        <v>10</v>
      </c>
      <c r="F336" s="15" t="s">
        <v>2342</v>
      </c>
      <c r="G336" s="15" t="s">
        <v>2329</v>
      </c>
      <c r="H336" s="14" t="s">
        <v>2330</v>
      </c>
      <c r="I336" s="15"/>
      <c r="J336" s="14" t="s">
        <v>2330</v>
      </c>
      <c r="K336" s="14"/>
      <c r="L336" s="14" t="n">
        <f aca="false">IF(E336="","",IF(OR(AND(K336="Plan A",'All weeks'!$C$5="B"),AND(K336="Plan B",'All weeks'!$C$5="A")),0,IF(H336="Yes",E336,E336*IF(B336="Year 7",'All weeks'!$C$3,'All weeks'!$C$4))))</f>
        <v>10</v>
      </c>
    </row>
    <row r="337" customFormat="false" ht="46.25" hidden="false" customHeight="false" outlineLevel="0" collapsed="false">
      <c r="A337" s="14" t="n">
        <v>10</v>
      </c>
      <c r="B337" s="15" t="s">
        <v>39</v>
      </c>
      <c r="C337" s="15" t="s">
        <v>2352</v>
      </c>
      <c r="D337" s="15" t="s">
        <v>2743</v>
      </c>
      <c r="E337" s="14" t="n">
        <v>5</v>
      </c>
      <c r="F337" s="20" t="s">
        <v>2328</v>
      </c>
      <c r="G337" s="15" t="s">
        <v>2332</v>
      </c>
      <c r="H337" s="14" t="s">
        <v>2330</v>
      </c>
      <c r="I337" s="15"/>
      <c r="J337" s="14" t="s">
        <v>2330</v>
      </c>
      <c r="K337" s="14"/>
      <c r="L337" s="14" t="n">
        <f aca="false">IF(E337="","",IF(OR(AND(K337="Plan A",'All weeks'!$C$5="B"),AND(K337="Plan B",'All weeks'!$C$5="A")),0,IF(H337="Yes",E337,E337*IF(B337="Year 7",'All weeks'!$C$3,'All weeks'!$C$4))))</f>
        <v>5</v>
      </c>
    </row>
    <row r="338" customFormat="false" ht="23.85" hidden="false" customHeight="false" outlineLevel="0" collapsed="false">
      <c r="A338" s="14" t="n">
        <v>10</v>
      </c>
      <c r="B338" s="15" t="s">
        <v>39</v>
      </c>
      <c r="C338" s="15" t="s">
        <v>2355</v>
      </c>
      <c r="D338" s="15" t="s">
        <v>2744</v>
      </c>
      <c r="E338" s="14" t="n">
        <v>1</v>
      </c>
      <c r="F338" s="15" t="s">
        <v>2417</v>
      </c>
      <c r="G338" s="15" t="s">
        <v>2357</v>
      </c>
      <c r="H338" s="14" t="s">
        <v>2330</v>
      </c>
      <c r="I338" s="15"/>
      <c r="J338" s="14" t="s">
        <v>2330</v>
      </c>
      <c r="K338" s="14"/>
      <c r="L338" s="14" t="n">
        <f aca="false">IF(E338="","",IF(OR(AND(K338="Plan A",'All weeks'!$C$5="B"),AND(K338="Plan B",'All weeks'!$C$5="A")),0,IF(H338="Yes",E338,E338*IF(B338="Year 7",'All weeks'!$C$3,'All weeks'!$C$4))))</f>
        <v>1</v>
      </c>
    </row>
    <row r="339" customFormat="false" ht="46.25" hidden="false" customHeight="false" outlineLevel="0" collapsed="false">
      <c r="A339" s="14" t="n">
        <v>10</v>
      </c>
      <c r="B339" s="15" t="s">
        <v>39</v>
      </c>
      <c r="C339" s="15" t="s">
        <v>2358</v>
      </c>
      <c r="D339" s="15" t="s">
        <v>2745</v>
      </c>
      <c r="E339" s="14" t="n">
        <v>5</v>
      </c>
      <c r="F339" s="20" t="s">
        <v>2328</v>
      </c>
      <c r="G339" s="15" t="s">
        <v>2332</v>
      </c>
      <c r="H339" s="14" t="s">
        <v>2330</v>
      </c>
      <c r="I339" s="15"/>
      <c r="J339" s="14" t="s">
        <v>2330</v>
      </c>
      <c r="K339" s="14"/>
      <c r="L339" s="14" t="n">
        <f aca="false">IF(E339="","",IF(OR(AND(K339="Plan A",'All weeks'!$C$5="B"),AND(K339="Plan B",'All weeks'!$C$5="A")),0,IF(H339="Yes",E339,E339*IF(B339="Year 7",'All weeks'!$C$3,'All weeks'!$C$4))))</f>
        <v>5</v>
      </c>
    </row>
    <row r="340" customFormat="false" ht="23.85" hidden="false" customHeight="false" outlineLevel="0" collapsed="false">
      <c r="A340" s="14" t="n">
        <v>10</v>
      </c>
      <c r="B340" s="15" t="s">
        <v>39</v>
      </c>
      <c r="C340" s="15" t="s">
        <v>2358</v>
      </c>
      <c r="D340" s="15" t="s">
        <v>2746</v>
      </c>
      <c r="E340" s="14" t="n">
        <v>5</v>
      </c>
      <c r="F340" s="20" t="s">
        <v>2328</v>
      </c>
      <c r="G340" s="15" t="s">
        <v>2329</v>
      </c>
      <c r="H340" s="14" t="s">
        <v>2330</v>
      </c>
      <c r="I340" s="15"/>
      <c r="J340" s="14" t="s">
        <v>2330</v>
      </c>
      <c r="K340" s="14"/>
      <c r="L340" s="14" t="n">
        <f aca="false">IF(E340="","",IF(OR(AND(K340="Plan A",'All weeks'!$C$5="B"),AND(K340="Plan B",'All weeks'!$C$5="A")),0,IF(H340="Yes",E340,E340*IF(B340="Year 7",'All weeks'!$C$3,'All weeks'!$C$4))))</f>
        <v>5</v>
      </c>
    </row>
    <row r="341" customFormat="false" ht="35.05" hidden="false" customHeight="false" outlineLevel="0" collapsed="false">
      <c r="A341" s="14" t="n">
        <v>10</v>
      </c>
      <c r="B341" s="15" t="s">
        <v>39</v>
      </c>
      <c r="C341" s="15" t="s">
        <v>2358</v>
      </c>
      <c r="D341" s="15" t="s">
        <v>2747</v>
      </c>
      <c r="E341" s="14" t="n">
        <v>45</v>
      </c>
      <c r="F341" s="20" t="s">
        <v>2328</v>
      </c>
      <c r="G341" s="15" t="s">
        <v>2332</v>
      </c>
      <c r="H341" s="14" t="s">
        <v>2330</v>
      </c>
      <c r="I341" s="15"/>
      <c r="J341" s="14" t="s">
        <v>2330</v>
      </c>
      <c r="K341" s="14"/>
      <c r="L341" s="14" t="n">
        <f aca="false">IF(E341="","",IF(OR(AND(K341="Plan A",'All weeks'!$C$5="B"),AND(K341="Plan B",'All weeks'!$C$5="A")),0,IF(H341="Yes",E341,E341*IF(B341="Year 7",'All weeks'!$C$3,'All weeks'!$C$4))))</f>
        <v>45</v>
      </c>
    </row>
    <row r="342" customFormat="false" ht="23.85" hidden="false" customHeight="false" outlineLevel="0" collapsed="false">
      <c r="A342" s="14" t="n">
        <v>10</v>
      </c>
      <c r="B342" s="15" t="s">
        <v>39</v>
      </c>
      <c r="C342" s="15" t="s">
        <v>2358</v>
      </c>
      <c r="D342" s="15" t="s">
        <v>2748</v>
      </c>
      <c r="E342" s="14" t="n">
        <v>10</v>
      </c>
      <c r="F342" s="20" t="s">
        <v>2328</v>
      </c>
      <c r="G342" s="15" t="s">
        <v>2332</v>
      </c>
      <c r="H342" s="14" t="s">
        <v>2330</v>
      </c>
      <c r="I342" s="15"/>
      <c r="J342" s="14" t="s">
        <v>2330</v>
      </c>
      <c r="K342" s="14"/>
      <c r="L342" s="14" t="n">
        <f aca="false">IF(E342="","",IF(OR(AND(K342="Plan A",'All weeks'!$C$5="B"),AND(K342="Plan B",'All weeks'!$C$5="A")),0,IF(H342="Yes",E342,E342*IF(B342="Year 7",'All weeks'!$C$3,'All weeks'!$C$4))))</f>
        <v>10</v>
      </c>
    </row>
    <row r="343" customFormat="false" ht="35.05" hidden="false" customHeight="false" outlineLevel="0" collapsed="false">
      <c r="A343" s="14" t="n">
        <v>10</v>
      </c>
      <c r="B343" s="15" t="s">
        <v>39</v>
      </c>
      <c r="C343" s="15" t="s">
        <v>2358</v>
      </c>
      <c r="D343" s="15" t="s">
        <v>2749</v>
      </c>
      <c r="E343" s="14" t="n">
        <v>30</v>
      </c>
      <c r="F343" s="20" t="s">
        <v>2328</v>
      </c>
      <c r="G343" s="15" t="s">
        <v>2332</v>
      </c>
      <c r="H343" s="14" t="s">
        <v>2330</v>
      </c>
      <c r="I343" s="15"/>
      <c r="J343" s="14" t="s">
        <v>2330</v>
      </c>
      <c r="K343" s="14"/>
      <c r="L343" s="14" t="n">
        <f aca="false">IF(E343="","",IF(OR(AND(K343="Plan A",'All weeks'!$C$5="B"),AND(K343="Plan B",'All weeks'!$C$5="A")),0,IF(H343="Yes",E343,E343*IF(B343="Year 7",'All weeks'!$C$3,'All weeks'!$C$4))))</f>
        <v>30</v>
      </c>
    </row>
    <row r="344" customFormat="false" ht="35.05" hidden="false" customHeight="false" outlineLevel="0" collapsed="false">
      <c r="A344" s="14" t="n">
        <v>10</v>
      </c>
      <c r="B344" s="15" t="s">
        <v>39</v>
      </c>
      <c r="C344" s="15" t="s">
        <v>2358</v>
      </c>
      <c r="D344" s="15" t="s">
        <v>2750</v>
      </c>
      <c r="E344" s="14" t="n">
        <v>20</v>
      </c>
      <c r="F344" s="20" t="s">
        <v>2328</v>
      </c>
      <c r="G344" s="15" t="s">
        <v>2332</v>
      </c>
      <c r="H344" s="14" t="s">
        <v>2330</v>
      </c>
      <c r="I344" s="15"/>
      <c r="J344" s="14" t="s">
        <v>2330</v>
      </c>
      <c r="K344" s="14"/>
      <c r="L344" s="14" t="n">
        <f aca="false">IF(E344="","",IF(OR(AND(K344="Plan A",'All weeks'!$C$5="B"),AND(K344="Plan B",'All weeks'!$C$5="A")),0,IF(H344="Yes",E344,E344*IF(B344="Year 7",'All weeks'!$C$3,'All weeks'!$C$4))))</f>
        <v>20</v>
      </c>
    </row>
    <row r="345" customFormat="false" ht="23.85" hidden="false" customHeight="false" outlineLevel="0" collapsed="false">
      <c r="A345" s="14" t="n">
        <v>10</v>
      </c>
      <c r="B345" s="15" t="s">
        <v>39</v>
      </c>
      <c r="C345" s="15" t="s">
        <v>2358</v>
      </c>
      <c r="D345" s="15" t="s">
        <v>2751</v>
      </c>
      <c r="E345" s="14" t="n">
        <v>90</v>
      </c>
      <c r="F345" s="20" t="s">
        <v>2328</v>
      </c>
      <c r="G345" s="15" t="s">
        <v>2332</v>
      </c>
      <c r="H345" s="14" t="s">
        <v>2330</v>
      </c>
      <c r="I345" s="15"/>
      <c r="J345" s="14" t="s">
        <v>2330</v>
      </c>
      <c r="K345" s="14"/>
      <c r="L345" s="14" t="n">
        <f aca="false">IF(E345="","",IF(OR(AND(K345="Plan A",'All weeks'!$C$5="B"),AND(K345="Plan B",'All weeks'!$C$5="A")),0,IF(H345="Yes",E345,E345*IF(B345="Year 7",'All weeks'!$C$3,'All weeks'!$C$4))))</f>
        <v>90</v>
      </c>
    </row>
    <row r="346" customFormat="false" ht="23.85" hidden="false" customHeight="false" outlineLevel="0" collapsed="false">
      <c r="A346" s="14" t="n">
        <v>10</v>
      </c>
      <c r="B346" s="15" t="s">
        <v>39</v>
      </c>
      <c r="C346" s="15" t="s">
        <v>2358</v>
      </c>
      <c r="D346" s="15" t="s">
        <v>2752</v>
      </c>
      <c r="E346" s="14" t="n">
        <v>10</v>
      </c>
      <c r="F346" s="20" t="s">
        <v>2328</v>
      </c>
      <c r="G346" s="15" t="s">
        <v>2332</v>
      </c>
      <c r="H346" s="14" t="s">
        <v>2330</v>
      </c>
      <c r="I346" s="15"/>
      <c r="J346" s="14" t="s">
        <v>2330</v>
      </c>
      <c r="K346" s="14"/>
      <c r="L346" s="14" t="n">
        <f aca="false">IF(E346="","",IF(OR(AND(K346="Plan A",'All weeks'!$C$5="B"),AND(K346="Plan B",'All weeks'!$C$5="A")),0,IF(H346="Yes",E346,E346*IF(B346="Year 7",'All weeks'!$C$3,'All weeks'!$C$4))))</f>
        <v>10</v>
      </c>
    </row>
    <row r="347" customFormat="false" ht="23.85" hidden="false" customHeight="false" outlineLevel="0" collapsed="false">
      <c r="A347" s="14" t="n">
        <v>10</v>
      </c>
      <c r="B347" s="15" t="s">
        <v>39</v>
      </c>
      <c r="C347" s="15" t="s">
        <v>2358</v>
      </c>
      <c r="D347" s="15" t="s">
        <v>2753</v>
      </c>
      <c r="E347" s="14" t="n">
        <v>5</v>
      </c>
      <c r="F347" s="20" t="s">
        <v>2328</v>
      </c>
      <c r="G347" s="15" t="s">
        <v>2332</v>
      </c>
      <c r="H347" s="14" t="s">
        <v>2330</v>
      </c>
      <c r="I347" s="15"/>
      <c r="J347" s="14" t="s">
        <v>105</v>
      </c>
      <c r="K347" s="14"/>
      <c r="L347" s="14" t="n">
        <f aca="false">IF(E347="","",IF(OR(AND(K347="Plan A",'All weeks'!$C$5="B"),AND(K347="Plan B",'All weeks'!$C$5="A")),0,IF(H347="Yes",E347,E347*IF(B347="Year 7",'All weeks'!$C$3,'All weeks'!$C$4))))</f>
        <v>5</v>
      </c>
    </row>
    <row r="348" customFormat="false" ht="23.85" hidden="false" customHeight="false" outlineLevel="0" collapsed="false">
      <c r="A348" s="14" t="n">
        <v>10</v>
      </c>
      <c r="B348" s="15" t="s">
        <v>39</v>
      </c>
      <c r="C348" s="15" t="s">
        <v>2358</v>
      </c>
      <c r="D348" s="15" t="s">
        <v>2754</v>
      </c>
      <c r="E348" s="14" t="n">
        <v>15</v>
      </c>
      <c r="F348" s="20" t="s">
        <v>2328</v>
      </c>
      <c r="G348" s="15" t="s">
        <v>2329</v>
      </c>
      <c r="H348" s="14" t="s">
        <v>2330</v>
      </c>
      <c r="I348" s="15"/>
      <c r="J348" s="14" t="s">
        <v>2330</v>
      </c>
      <c r="K348" s="14"/>
      <c r="L348" s="14" t="n">
        <f aca="false">IF(E348="","",IF(OR(AND(K348="Plan A",'All weeks'!$C$5="B"),AND(K348="Plan B",'All weeks'!$C$5="A")),0,IF(H348="Yes",E348,E348*IF(B348="Year 7",'All weeks'!$C$3,'All weeks'!$C$4))))</f>
        <v>15</v>
      </c>
    </row>
    <row r="349" customFormat="false" ht="35.05" hidden="false" customHeight="false" outlineLevel="0" collapsed="false">
      <c r="A349" s="14" t="n">
        <v>10</v>
      </c>
      <c r="B349" s="15" t="s">
        <v>39</v>
      </c>
      <c r="C349" s="15" t="s">
        <v>2358</v>
      </c>
      <c r="D349" s="15" t="s">
        <v>2755</v>
      </c>
      <c r="E349" s="14" t="n">
        <v>30</v>
      </c>
      <c r="F349" s="20" t="s">
        <v>2328</v>
      </c>
      <c r="G349" s="15" t="s">
        <v>2332</v>
      </c>
      <c r="H349" s="14" t="s">
        <v>77</v>
      </c>
      <c r="I349" s="15"/>
      <c r="J349" s="14" t="s">
        <v>2330</v>
      </c>
      <c r="K349" s="14"/>
      <c r="L349" s="14" t="n">
        <f aca="false">IF(E349="","",IF(OR(AND(K349="Plan A",'All weeks'!$C$5="B"),AND(K349="Plan B",'All weeks'!$C$5="A")),0,IF(H349="Yes",E349,E349*IF(B349="Year 7",'All weeks'!$C$3,'All weeks'!$C$4))))</f>
        <v>30</v>
      </c>
    </row>
    <row r="350" customFormat="false" ht="15" hidden="false" customHeight="false" outlineLevel="0" collapsed="false">
      <c r="A350" s="14" t="n">
        <v>10</v>
      </c>
      <c r="B350" s="15" t="s">
        <v>39</v>
      </c>
      <c r="C350" s="15" t="s">
        <v>2358</v>
      </c>
      <c r="D350" s="15" t="s">
        <v>2756</v>
      </c>
      <c r="E350" s="14" t="n">
        <v>10</v>
      </c>
      <c r="F350" s="20" t="s">
        <v>2328</v>
      </c>
      <c r="G350" s="15" t="s">
        <v>2329</v>
      </c>
      <c r="H350" s="14" t="s">
        <v>77</v>
      </c>
      <c r="I350" s="15"/>
      <c r="J350" s="14" t="s">
        <v>2330</v>
      </c>
      <c r="K350" s="14" t="s">
        <v>964</v>
      </c>
      <c r="L350" s="14" t="n">
        <f aca="false">IF(E350="","",IF(OR(AND(K350="Plan A",'All weeks'!$C$5="B"),AND(K350="Plan B",'All weeks'!$C$5="A")),0,IF(H350="Yes",E350,E350*IF(B350="Year 7",'All weeks'!$C$3,'All weeks'!$C$4))))</f>
        <v>10</v>
      </c>
    </row>
    <row r="351" customFormat="false" ht="15" hidden="false" customHeight="false" outlineLevel="0" collapsed="false">
      <c r="A351" s="14" t="n">
        <v>10</v>
      </c>
      <c r="B351" s="15" t="s">
        <v>39</v>
      </c>
      <c r="C351" s="15" t="s">
        <v>2358</v>
      </c>
      <c r="D351" s="15" t="s">
        <v>2757</v>
      </c>
      <c r="E351" s="14" t="n">
        <v>5</v>
      </c>
      <c r="F351" s="20" t="s">
        <v>2328</v>
      </c>
      <c r="G351" s="15" t="s">
        <v>2329</v>
      </c>
      <c r="H351" s="14" t="s">
        <v>77</v>
      </c>
      <c r="I351" s="15"/>
      <c r="J351" s="14" t="s">
        <v>2330</v>
      </c>
      <c r="K351" s="14" t="s">
        <v>956</v>
      </c>
      <c r="L351" s="14" t="n">
        <f aca="false">IF(E351="","",IF(OR(AND(K351="Plan A",'All weeks'!$C$5="B"),AND(K351="Plan B",'All weeks'!$C$5="A")),0,IF(H351="Yes",E351,E351*IF(B351="Year 7",'All weeks'!$C$3,'All weeks'!$C$4))))</f>
        <v>5</v>
      </c>
    </row>
    <row r="352" customFormat="false" ht="35.05" hidden="false" customHeight="false" outlineLevel="0" collapsed="false">
      <c r="A352" s="14" t="n">
        <v>10</v>
      </c>
      <c r="B352" s="15" t="s">
        <v>39</v>
      </c>
      <c r="C352" s="15" t="s">
        <v>2358</v>
      </c>
      <c r="D352" s="15" t="s">
        <v>2758</v>
      </c>
      <c r="E352" s="14" t="n">
        <v>20</v>
      </c>
      <c r="F352" s="20" t="s">
        <v>2328</v>
      </c>
      <c r="G352" s="15" t="s">
        <v>2329</v>
      </c>
      <c r="H352" s="14" t="s">
        <v>77</v>
      </c>
      <c r="I352" s="15" t="s">
        <v>2759</v>
      </c>
      <c r="J352" s="14" t="s">
        <v>2330</v>
      </c>
      <c r="K352" s="14"/>
      <c r="L352" s="14" t="n">
        <f aca="false">IF(E352="","",IF(OR(AND(K352="Plan A",'All weeks'!$C$5="B"),AND(K352="Plan B",'All weeks'!$C$5="A")),0,IF(H352="Yes",E352,E352*IF(B352="Year 7",'All weeks'!$C$3,'All weeks'!$C$4))))</f>
        <v>20</v>
      </c>
    </row>
    <row r="353" customFormat="false" ht="23.85" hidden="false" customHeight="false" outlineLevel="0" collapsed="false">
      <c r="A353" s="14" t="n">
        <v>10</v>
      </c>
      <c r="B353" s="15" t="s">
        <v>39</v>
      </c>
      <c r="C353" s="15" t="s">
        <v>2358</v>
      </c>
      <c r="D353" s="15" t="s">
        <v>2760</v>
      </c>
      <c r="E353" s="14" t="n">
        <v>5</v>
      </c>
      <c r="F353" s="20" t="s">
        <v>2328</v>
      </c>
      <c r="G353" s="15" t="s">
        <v>2329</v>
      </c>
      <c r="H353" s="14" t="s">
        <v>77</v>
      </c>
      <c r="I353" s="15" t="s">
        <v>2759</v>
      </c>
      <c r="J353" s="14" t="s">
        <v>2330</v>
      </c>
      <c r="K353" s="14"/>
      <c r="L353" s="14" t="n">
        <f aca="false">IF(E353="","",IF(OR(AND(K353="Plan A",'All weeks'!$C$5="B"),AND(K353="Plan B",'All weeks'!$C$5="A")),0,IF(H353="Yes",E353,E353*IF(B353="Year 7",'All weeks'!$C$3,'All weeks'!$C$4))))</f>
        <v>5</v>
      </c>
    </row>
    <row r="354" customFormat="false" ht="23.85" hidden="false" customHeight="false" outlineLevel="0" collapsed="false">
      <c r="A354" s="14" t="n">
        <v>10</v>
      </c>
      <c r="B354" s="15" t="s">
        <v>39</v>
      </c>
      <c r="C354" s="15" t="s">
        <v>2358</v>
      </c>
      <c r="D354" s="15" t="s">
        <v>2761</v>
      </c>
      <c r="E354" s="14" t="n">
        <v>5</v>
      </c>
      <c r="F354" s="20" t="s">
        <v>2328</v>
      </c>
      <c r="G354" s="15" t="s">
        <v>2332</v>
      </c>
      <c r="H354" s="14" t="s">
        <v>2330</v>
      </c>
      <c r="I354" s="15"/>
      <c r="J354" s="14" t="s">
        <v>2330</v>
      </c>
      <c r="K354" s="14"/>
      <c r="L354" s="14" t="n">
        <f aca="false">IF(E354="","",IF(OR(AND(K354="Plan A",'All weeks'!$C$5="B"),AND(K354="Plan B",'All weeks'!$C$5="A")),0,IF(H354="Yes",E354,E354*IF(B354="Year 7",'All weeks'!$C$3,'All weeks'!$C$4))))</f>
        <v>5</v>
      </c>
    </row>
    <row r="355" customFormat="false" ht="23.85" hidden="false" customHeight="false" outlineLevel="0" collapsed="false">
      <c r="A355" s="14" t="n">
        <v>10</v>
      </c>
      <c r="B355" s="15" t="s">
        <v>39</v>
      </c>
      <c r="C355" s="15" t="s">
        <v>2358</v>
      </c>
      <c r="D355" s="15" t="s">
        <v>2762</v>
      </c>
      <c r="E355" s="14" t="n">
        <v>10</v>
      </c>
      <c r="F355" s="20" t="s">
        <v>2328</v>
      </c>
      <c r="G355" s="15" t="s">
        <v>2332</v>
      </c>
      <c r="H355" s="14" t="s">
        <v>77</v>
      </c>
      <c r="I355" s="15" t="s">
        <v>2759</v>
      </c>
      <c r="J355" s="14" t="s">
        <v>2330</v>
      </c>
      <c r="K355" s="14"/>
      <c r="L355" s="14" t="n">
        <f aca="false">IF(E355="","",IF(OR(AND(K355="Plan A",'All weeks'!$C$5="B"),AND(K355="Plan B",'All weeks'!$C$5="A")),0,IF(H355="Yes",E355,E355*IF(B355="Year 7",'All weeks'!$C$3,'All weeks'!$C$4))))</f>
        <v>10</v>
      </c>
    </row>
    <row r="356" customFormat="false" ht="35.05" hidden="false" customHeight="false" outlineLevel="0" collapsed="false">
      <c r="A356" s="14" t="n">
        <v>10</v>
      </c>
      <c r="B356" s="15" t="s">
        <v>153</v>
      </c>
      <c r="C356" s="15" t="s">
        <v>2326</v>
      </c>
      <c r="D356" s="15" t="s">
        <v>2763</v>
      </c>
      <c r="E356" s="14" t="n">
        <v>5</v>
      </c>
      <c r="F356" s="20" t="s">
        <v>2328</v>
      </c>
      <c r="G356" s="15" t="s">
        <v>2332</v>
      </c>
      <c r="H356" s="14" t="s">
        <v>77</v>
      </c>
      <c r="I356" s="15"/>
      <c r="J356" s="14" t="s">
        <v>2330</v>
      </c>
      <c r="K356" s="14"/>
      <c r="L356" s="14" t="n">
        <f aca="false">IF(E356="","",IF(OR(AND(K356="Plan A",'All weeks'!$C$5="B"),AND(K356="Plan B",'All weeks'!$C$5="A")),0,IF(H356="Yes",E356,E356*IF(B356="Year 7",'All weeks'!$C$3,'All weeks'!$C$4))))</f>
        <v>5</v>
      </c>
    </row>
    <row r="357" customFormat="false" ht="35.05" hidden="false" customHeight="false" outlineLevel="0" collapsed="false">
      <c r="A357" s="14" t="n">
        <v>10</v>
      </c>
      <c r="B357" s="15" t="s">
        <v>153</v>
      </c>
      <c r="C357" s="15" t="s">
        <v>2326</v>
      </c>
      <c r="D357" s="15" t="s">
        <v>2764</v>
      </c>
      <c r="E357" s="14" t="n">
        <v>5</v>
      </c>
      <c r="F357" s="20" t="s">
        <v>2328</v>
      </c>
      <c r="G357" s="15" t="s">
        <v>2332</v>
      </c>
      <c r="H357" s="14" t="s">
        <v>77</v>
      </c>
      <c r="I357" s="15"/>
      <c r="J357" s="14" t="s">
        <v>2330</v>
      </c>
      <c r="K357" s="14"/>
      <c r="L357" s="14" t="n">
        <f aca="false">IF(E357="","",IF(OR(AND(K357="Plan A",'All weeks'!$C$5="B"),AND(K357="Plan B",'All weeks'!$C$5="A")),0,IF(H357="Yes",E357,E357*IF(B357="Year 7",'All weeks'!$C$3,'All weeks'!$C$4))))</f>
        <v>5</v>
      </c>
    </row>
    <row r="358" customFormat="false" ht="23.85" hidden="false" customHeight="false" outlineLevel="0" collapsed="false">
      <c r="A358" s="14" t="n">
        <v>10</v>
      </c>
      <c r="B358" s="15" t="s">
        <v>153</v>
      </c>
      <c r="C358" s="15" t="s">
        <v>2334</v>
      </c>
      <c r="D358" s="15" t="s">
        <v>2765</v>
      </c>
      <c r="E358" s="14" t="n">
        <v>5</v>
      </c>
      <c r="F358" s="20" t="s">
        <v>2328</v>
      </c>
      <c r="G358" s="15" t="s">
        <v>2332</v>
      </c>
      <c r="H358" s="14" t="s">
        <v>2330</v>
      </c>
      <c r="I358" s="15"/>
      <c r="J358" s="14" t="s">
        <v>2330</v>
      </c>
      <c r="K358" s="14"/>
      <c r="L358" s="14" t="n">
        <f aca="false">IF(E358="","",IF(OR(AND(K358="Plan A",'All weeks'!$C$5="B"),AND(K358="Plan B",'All weeks'!$C$5="A")),0,IF(H358="Yes",E358,E358*IF(B358="Year 7",'All weeks'!$C$3,'All weeks'!$C$4))))</f>
        <v>5</v>
      </c>
    </row>
    <row r="359" customFormat="false" ht="79.85" hidden="false" customHeight="false" outlineLevel="0" collapsed="false">
      <c r="A359" s="14" t="n">
        <v>10</v>
      </c>
      <c r="B359" s="15" t="s">
        <v>153</v>
      </c>
      <c r="C359" s="15" t="s">
        <v>2334</v>
      </c>
      <c r="D359" s="15" t="s">
        <v>2766</v>
      </c>
      <c r="E359" s="14" t="n">
        <v>5</v>
      </c>
      <c r="F359" s="20" t="s">
        <v>2328</v>
      </c>
      <c r="G359" s="15" t="s">
        <v>2340</v>
      </c>
      <c r="H359" s="14" t="s">
        <v>77</v>
      </c>
      <c r="I359" s="15"/>
      <c r="J359" s="14" t="s">
        <v>2330</v>
      </c>
      <c r="K359" s="14"/>
      <c r="L359" s="14" t="n">
        <f aca="false">IF(E359="","",IF(OR(AND(K359="Plan A",'All weeks'!$C$5="B"),AND(K359="Plan B",'All weeks'!$C$5="A")),0,IF(H359="Yes",E359,E359*IF(B359="Year 7",'All weeks'!$C$3,'All weeks'!$C$4))))</f>
        <v>5</v>
      </c>
    </row>
    <row r="360" customFormat="false" ht="35.05" hidden="false" customHeight="false" outlineLevel="0" collapsed="false">
      <c r="A360" s="14" t="n">
        <v>10</v>
      </c>
      <c r="B360" s="15" t="s">
        <v>153</v>
      </c>
      <c r="C360" s="15" t="s">
        <v>2334</v>
      </c>
      <c r="D360" s="15" t="s">
        <v>2767</v>
      </c>
      <c r="E360" s="14" t="n">
        <v>10</v>
      </c>
      <c r="F360" s="20" t="s">
        <v>2328</v>
      </c>
      <c r="G360" s="15" t="s">
        <v>2329</v>
      </c>
      <c r="H360" s="14" t="s">
        <v>2330</v>
      </c>
      <c r="I360" s="15"/>
      <c r="J360" s="14" t="s">
        <v>2330</v>
      </c>
      <c r="K360" s="14"/>
      <c r="L360" s="14" t="n">
        <f aca="false">IF(E360="","",IF(OR(AND(K360="Plan A",'All weeks'!$C$5="B"),AND(K360="Plan B",'All weeks'!$C$5="A")),0,IF(H360="Yes",E360,E360*IF(B360="Year 7",'All weeks'!$C$3,'All weeks'!$C$4))))</f>
        <v>10</v>
      </c>
    </row>
    <row r="361" customFormat="false" ht="23.85" hidden="false" customHeight="false" outlineLevel="0" collapsed="false">
      <c r="A361" s="14" t="n">
        <v>10</v>
      </c>
      <c r="B361" s="15" t="s">
        <v>153</v>
      </c>
      <c r="C361" s="15" t="s">
        <v>2334</v>
      </c>
      <c r="D361" s="15" t="s">
        <v>2768</v>
      </c>
      <c r="E361" s="14" t="n">
        <v>3</v>
      </c>
      <c r="F361" s="20" t="s">
        <v>2328</v>
      </c>
      <c r="G361" s="15" t="s">
        <v>2329</v>
      </c>
      <c r="H361" s="14" t="s">
        <v>2330</v>
      </c>
      <c r="I361" s="15"/>
      <c r="J361" s="14" t="s">
        <v>2330</v>
      </c>
      <c r="K361" s="14"/>
      <c r="L361" s="14" t="n">
        <f aca="false">IF(E361="","",IF(OR(AND(K361="Plan A",'All weeks'!$C$5="B"),AND(K361="Plan B",'All weeks'!$C$5="A")),0,IF(H361="Yes",E361,E361*IF(B361="Year 7",'All weeks'!$C$3,'All weeks'!$C$4))))</f>
        <v>3</v>
      </c>
    </row>
    <row r="362" customFormat="false" ht="23.85" hidden="false" customHeight="false" outlineLevel="0" collapsed="false">
      <c r="A362" s="14" t="n">
        <v>10</v>
      </c>
      <c r="B362" s="15" t="s">
        <v>153</v>
      </c>
      <c r="C362" s="15" t="s">
        <v>2334</v>
      </c>
      <c r="D362" s="15" t="s">
        <v>2769</v>
      </c>
      <c r="E362" s="14" t="n">
        <v>10</v>
      </c>
      <c r="F362" s="20" t="s">
        <v>2328</v>
      </c>
      <c r="G362" s="15" t="s">
        <v>2329</v>
      </c>
      <c r="H362" s="14" t="s">
        <v>2330</v>
      </c>
      <c r="I362" s="15"/>
      <c r="J362" s="14" t="s">
        <v>2330</v>
      </c>
      <c r="K362" s="14"/>
      <c r="L362" s="14" t="n">
        <f aca="false">IF(E362="","",IF(OR(AND(K362="Plan A",'All weeks'!$C$5="B"),AND(K362="Plan B",'All weeks'!$C$5="A")),0,IF(H362="Yes",E362,E362*IF(B362="Year 7",'All weeks'!$C$3,'All weeks'!$C$4))))</f>
        <v>10</v>
      </c>
    </row>
    <row r="363" customFormat="false" ht="15" hidden="false" customHeight="false" outlineLevel="0" collapsed="false">
      <c r="A363" s="14" t="n">
        <v>10</v>
      </c>
      <c r="B363" s="15" t="s">
        <v>153</v>
      </c>
      <c r="C363" s="15" t="s">
        <v>2334</v>
      </c>
      <c r="D363" s="15" t="s">
        <v>2770</v>
      </c>
      <c r="E363" s="14" t="n">
        <v>2</v>
      </c>
      <c r="F363" s="20" t="s">
        <v>2328</v>
      </c>
      <c r="G363" s="15" t="s">
        <v>2332</v>
      </c>
      <c r="H363" s="14" t="s">
        <v>77</v>
      </c>
      <c r="I363" s="15"/>
      <c r="J363" s="14" t="s">
        <v>2330</v>
      </c>
      <c r="K363" s="14"/>
      <c r="L363" s="14" t="n">
        <f aca="false">IF(E363="","",IF(OR(AND(K363="Plan A",'All weeks'!$C$5="B"),AND(K363="Plan B",'All weeks'!$C$5="A")),0,IF(H363="Yes",E363,E363*IF(B363="Year 7",'All weeks'!$C$3,'All weeks'!$C$4))))</f>
        <v>2</v>
      </c>
    </row>
    <row r="364" customFormat="false" ht="36.55" hidden="false" customHeight="false" outlineLevel="0" collapsed="false">
      <c r="A364" s="14" t="n">
        <v>10</v>
      </c>
      <c r="B364" s="15" t="s">
        <v>153</v>
      </c>
      <c r="C364" s="15" t="s">
        <v>2350</v>
      </c>
      <c r="D364" s="15" t="s">
        <v>2771</v>
      </c>
      <c r="E364" s="14" t="n">
        <v>5</v>
      </c>
      <c r="F364" s="20" t="s">
        <v>2328</v>
      </c>
      <c r="G364" s="15" t="s">
        <v>2332</v>
      </c>
      <c r="H364" s="14" t="s">
        <v>2330</v>
      </c>
      <c r="I364" s="15"/>
      <c r="J364" s="14" t="s">
        <v>2330</v>
      </c>
      <c r="K364" s="14"/>
      <c r="L364" s="14" t="n">
        <f aca="false">IF(E364="","",IF(OR(AND(K364="Plan A",'All weeks'!$C$5="B"),AND(K364="Plan B",'All weeks'!$C$5="A")),0,IF(H364="Yes",E364,E364*IF(B364="Year 7",'All weeks'!$C$3,'All weeks'!$C$4))))</f>
        <v>5</v>
      </c>
    </row>
    <row r="365" customFormat="false" ht="47.75" hidden="false" customHeight="false" outlineLevel="0" collapsed="false">
      <c r="A365" s="14" t="n">
        <v>10</v>
      </c>
      <c r="B365" s="15" t="s">
        <v>153</v>
      </c>
      <c r="C365" s="15" t="s">
        <v>2350</v>
      </c>
      <c r="D365" s="15" t="s">
        <v>2772</v>
      </c>
      <c r="E365" s="14" t="n">
        <v>5</v>
      </c>
      <c r="F365" s="20" t="s">
        <v>2328</v>
      </c>
      <c r="G365" s="15" t="s">
        <v>2332</v>
      </c>
      <c r="H365" s="14" t="s">
        <v>2330</v>
      </c>
      <c r="I365" s="15"/>
      <c r="J365" s="14" t="s">
        <v>2330</v>
      </c>
      <c r="K365" s="14"/>
      <c r="L365" s="14" t="n">
        <f aca="false">IF(E365="","",IF(OR(AND(K365="Plan A",'All weeks'!$C$5="B"),AND(K365="Plan B",'All weeks'!$C$5="A")),0,IF(H365="Yes",E365,E365*IF(B365="Year 7",'All weeks'!$C$3,'All weeks'!$C$4))))</f>
        <v>5</v>
      </c>
    </row>
    <row r="366" customFormat="false" ht="35.05" hidden="false" customHeight="false" outlineLevel="0" collapsed="false">
      <c r="A366" s="14" t="n">
        <v>10</v>
      </c>
      <c r="B366" s="15" t="s">
        <v>153</v>
      </c>
      <c r="C366" s="15" t="s">
        <v>2350</v>
      </c>
      <c r="D366" s="15" t="s">
        <v>2773</v>
      </c>
      <c r="E366" s="14" t="n">
        <v>3</v>
      </c>
      <c r="F366" s="20" t="s">
        <v>2328</v>
      </c>
      <c r="G366" s="15" t="s">
        <v>2332</v>
      </c>
      <c r="H366" s="14" t="s">
        <v>2330</v>
      </c>
      <c r="I366" s="15"/>
      <c r="J366" s="14" t="s">
        <v>105</v>
      </c>
      <c r="K366" s="14"/>
      <c r="L366" s="14" t="n">
        <f aca="false">IF(E366="","",IF(OR(AND(K366="Plan A",'All weeks'!$C$5="B"),AND(K366="Plan B",'All weeks'!$C$5="A")),0,IF(H366="Yes",E366,E366*IF(B366="Year 7",'All weeks'!$C$3,'All weeks'!$C$4))))</f>
        <v>3</v>
      </c>
    </row>
    <row r="367" customFormat="false" ht="46.25" hidden="false" customHeight="false" outlineLevel="0" collapsed="false">
      <c r="A367" s="14" t="n">
        <v>10</v>
      </c>
      <c r="B367" s="15" t="s">
        <v>153</v>
      </c>
      <c r="C367" s="15" t="s">
        <v>2350</v>
      </c>
      <c r="D367" s="15" t="s">
        <v>2774</v>
      </c>
      <c r="E367" s="14" t="n">
        <v>20</v>
      </c>
      <c r="F367" s="20" t="s">
        <v>2328</v>
      </c>
      <c r="G367" s="15" t="s">
        <v>2332</v>
      </c>
      <c r="H367" s="14" t="s">
        <v>2330</v>
      </c>
      <c r="I367" s="15"/>
      <c r="J367" s="14" t="s">
        <v>105</v>
      </c>
      <c r="K367" s="14"/>
      <c r="L367" s="14" t="n">
        <f aca="false">IF(E367="","",IF(OR(AND(K367="Plan A",'All weeks'!$C$5="B"),AND(K367="Plan B",'All weeks'!$C$5="A")),0,IF(H367="Yes",E367,E367*IF(B367="Year 7",'All weeks'!$C$3,'All weeks'!$C$4))))</f>
        <v>20</v>
      </c>
    </row>
    <row r="368" customFormat="false" ht="68.65" hidden="false" customHeight="false" outlineLevel="0" collapsed="false">
      <c r="A368" s="14" t="n">
        <v>10</v>
      </c>
      <c r="B368" s="15" t="s">
        <v>153</v>
      </c>
      <c r="C368" s="15" t="s">
        <v>2352</v>
      </c>
      <c r="D368" s="15" t="s">
        <v>2775</v>
      </c>
      <c r="E368" s="14" t="n">
        <v>7</v>
      </c>
      <c r="F368" s="20" t="s">
        <v>2328</v>
      </c>
      <c r="G368" s="15" t="s">
        <v>2332</v>
      </c>
      <c r="H368" s="14" t="s">
        <v>2330</v>
      </c>
      <c r="I368" s="15"/>
      <c r="J368" s="14" t="s">
        <v>2330</v>
      </c>
      <c r="K368" s="14"/>
      <c r="L368" s="14" t="n">
        <f aca="false">IF(E368="","",IF(OR(AND(K368="Plan A",'All weeks'!$C$5="B"),AND(K368="Plan B",'All weeks'!$C$5="A")),0,IF(H368="Yes",E368,E368*IF(B368="Year 7",'All weeks'!$C$3,'All weeks'!$C$4))))</f>
        <v>7</v>
      </c>
    </row>
    <row r="369" customFormat="false" ht="35.05" hidden="false" customHeight="false" outlineLevel="0" collapsed="false">
      <c r="A369" s="14" t="n">
        <v>10</v>
      </c>
      <c r="B369" s="15" t="s">
        <v>153</v>
      </c>
      <c r="C369" s="15" t="s">
        <v>2358</v>
      </c>
      <c r="D369" s="15" t="s">
        <v>2776</v>
      </c>
      <c r="E369" s="14" t="n">
        <v>3</v>
      </c>
      <c r="F369" s="20" t="s">
        <v>2328</v>
      </c>
      <c r="G369" s="15" t="s">
        <v>2357</v>
      </c>
      <c r="H369" s="14" t="s">
        <v>2330</v>
      </c>
      <c r="I369" s="15"/>
      <c r="J369" s="14" t="s">
        <v>2330</v>
      </c>
      <c r="K369" s="14"/>
      <c r="L369" s="14" t="n">
        <f aca="false">IF(E369="","",IF(OR(AND(K369="Plan A",'All weeks'!$C$5="B"),AND(K369="Plan B",'All weeks'!$C$5="A")),0,IF(H369="Yes",E369,E369*IF(B369="Year 7",'All weeks'!$C$3,'All weeks'!$C$4))))</f>
        <v>3</v>
      </c>
    </row>
    <row r="370" customFormat="false" ht="23.85" hidden="false" customHeight="false" outlineLevel="0" collapsed="false">
      <c r="A370" s="14" t="n">
        <v>10</v>
      </c>
      <c r="B370" s="15" t="s">
        <v>153</v>
      </c>
      <c r="C370" s="15" t="s">
        <v>2358</v>
      </c>
      <c r="D370" s="15" t="s">
        <v>2777</v>
      </c>
      <c r="E370" s="14" t="n">
        <v>10</v>
      </c>
      <c r="F370" s="20" t="s">
        <v>2328</v>
      </c>
      <c r="G370" s="15" t="s">
        <v>2329</v>
      </c>
      <c r="H370" s="14" t="s">
        <v>2330</v>
      </c>
      <c r="I370" s="15"/>
      <c r="J370" s="14" t="s">
        <v>2330</v>
      </c>
      <c r="K370" s="14"/>
      <c r="L370" s="14" t="n">
        <f aca="false">IF(E370="","",IF(OR(AND(K370="Plan A",'All weeks'!$C$5="B"),AND(K370="Plan B",'All weeks'!$C$5="A")),0,IF(H370="Yes",E370,E370*IF(B370="Year 7",'All weeks'!$C$3,'All weeks'!$C$4))))</f>
        <v>10</v>
      </c>
    </row>
    <row r="371" customFormat="false" ht="23.85" hidden="false" customHeight="false" outlineLevel="0" collapsed="false">
      <c r="A371" s="14" t="n">
        <v>10</v>
      </c>
      <c r="B371" s="15" t="s">
        <v>153</v>
      </c>
      <c r="C371" s="15" t="s">
        <v>2358</v>
      </c>
      <c r="D371" s="15" t="s">
        <v>2778</v>
      </c>
      <c r="E371" s="14" t="n">
        <v>70</v>
      </c>
      <c r="F371" s="20" t="s">
        <v>2328</v>
      </c>
      <c r="G371" s="15" t="s">
        <v>2332</v>
      </c>
      <c r="H371" s="14" t="s">
        <v>2330</v>
      </c>
      <c r="I371" s="15"/>
      <c r="J371" s="14" t="s">
        <v>2330</v>
      </c>
      <c r="K371" s="14"/>
      <c r="L371" s="14" t="n">
        <f aca="false">IF(E371="","",IF(OR(AND(K371="Plan A",'All weeks'!$C$5="B"),AND(K371="Plan B",'All weeks'!$C$5="A")),0,IF(H371="Yes",E371,E371*IF(B371="Year 7",'All weeks'!$C$3,'All weeks'!$C$4))))</f>
        <v>70</v>
      </c>
    </row>
    <row r="372" customFormat="false" ht="23.85" hidden="false" customHeight="false" outlineLevel="0" collapsed="false">
      <c r="A372" s="14" t="n">
        <v>10</v>
      </c>
      <c r="B372" s="15" t="s">
        <v>153</v>
      </c>
      <c r="C372" s="15" t="s">
        <v>2358</v>
      </c>
      <c r="D372" s="15" t="s">
        <v>2779</v>
      </c>
      <c r="E372" s="14" t="n">
        <v>20</v>
      </c>
      <c r="F372" s="20" t="s">
        <v>2328</v>
      </c>
      <c r="G372" s="15" t="s">
        <v>2332</v>
      </c>
      <c r="H372" s="14" t="s">
        <v>2330</v>
      </c>
      <c r="I372" s="15"/>
      <c r="J372" s="14" t="s">
        <v>2330</v>
      </c>
      <c r="K372" s="14"/>
      <c r="L372" s="14" t="n">
        <f aca="false">IF(E372="","",IF(OR(AND(K372="Plan A",'All weeks'!$C$5="B"),AND(K372="Plan B",'All weeks'!$C$5="A")),0,IF(H372="Yes",E372,E372*IF(B372="Year 7",'All weeks'!$C$3,'All weeks'!$C$4))))</f>
        <v>20</v>
      </c>
    </row>
    <row r="373" customFormat="false" ht="23.85" hidden="false" customHeight="false" outlineLevel="0" collapsed="false">
      <c r="A373" s="14" t="n">
        <v>10</v>
      </c>
      <c r="B373" s="15" t="s">
        <v>153</v>
      </c>
      <c r="C373" s="15" t="s">
        <v>2358</v>
      </c>
      <c r="D373" s="15" t="s">
        <v>2780</v>
      </c>
      <c r="E373" s="14" t="n">
        <v>15</v>
      </c>
      <c r="F373" s="20" t="s">
        <v>2328</v>
      </c>
      <c r="G373" s="15" t="s">
        <v>2329</v>
      </c>
      <c r="H373" s="14" t="s">
        <v>2330</v>
      </c>
      <c r="I373" s="15"/>
      <c r="J373" s="14" t="s">
        <v>105</v>
      </c>
      <c r="K373" s="14"/>
      <c r="L373" s="14" t="n">
        <f aca="false">IF(E373="","",IF(OR(AND(K373="Plan A",'All weeks'!$C$5="B"),AND(K373="Plan B",'All weeks'!$C$5="A")),0,IF(H373="Yes",E373,E373*IF(B373="Year 7",'All weeks'!$C$3,'All weeks'!$C$4))))</f>
        <v>15</v>
      </c>
    </row>
    <row r="374" customFormat="false" ht="35.05" hidden="false" customHeight="false" outlineLevel="0" collapsed="false">
      <c r="A374" s="14" t="n">
        <v>10</v>
      </c>
      <c r="B374" s="15" t="s">
        <v>153</v>
      </c>
      <c r="C374" s="15" t="s">
        <v>2358</v>
      </c>
      <c r="D374" s="15" t="s">
        <v>2781</v>
      </c>
      <c r="E374" s="14" t="n">
        <v>45</v>
      </c>
      <c r="F374" s="20" t="s">
        <v>2328</v>
      </c>
      <c r="G374" s="15" t="s">
        <v>2332</v>
      </c>
      <c r="H374" s="14" t="s">
        <v>2330</v>
      </c>
      <c r="I374" s="15"/>
      <c r="J374" s="14" t="s">
        <v>2330</v>
      </c>
      <c r="K374" s="14"/>
      <c r="L374" s="14" t="n">
        <f aca="false">IF(E374="","",IF(OR(AND(K374="Plan A",'All weeks'!$C$5="B"),AND(K374="Plan B",'All weeks'!$C$5="A")),0,IF(H374="Yes",E374,E374*IF(B374="Year 7",'All weeks'!$C$3,'All weeks'!$C$4))))</f>
        <v>45</v>
      </c>
    </row>
    <row r="375" customFormat="false" ht="23.85" hidden="false" customHeight="false" outlineLevel="0" collapsed="false">
      <c r="A375" s="14" t="n">
        <v>10</v>
      </c>
      <c r="B375" s="15" t="s">
        <v>153</v>
      </c>
      <c r="C375" s="15" t="s">
        <v>2358</v>
      </c>
      <c r="D375" s="15" t="s">
        <v>2782</v>
      </c>
      <c r="E375" s="14" t="n">
        <v>10</v>
      </c>
      <c r="F375" s="20" t="s">
        <v>2328</v>
      </c>
      <c r="G375" s="15" t="s">
        <v>2332</v>
      </c>
      <c r="H375" s="14" t="s">
        <v>2330</v>
      </c>
      <c r="I375" s="15"/>
      <c r="J375" s="14" t="s">
        <v>2330</v>
      </c>
      <c r="K375" s="14"/>
      <c r="L375" s="14" t="n">
        <f aca="false">IF(E375="","",IF(OR(AND(K375="Plan A",'All weeks'!$C$5="B"),AND(K375="Plan B",'All weeks'!$C$5="A")),0,IF(H375="Yes",E375,E375*IF(B375="Year 7",'All weeks'!$C$3,'All weeks'!$C$4))))</f>
        <v>10</v>
      </c>
    </row>
    <row r="376" customFormat="false" ht="23.85" hidden="false" customHeight="false" outlineLevel="0" collapsed="false">
      <c r="A376" s="14" t="n">
        <v>10</v>
      </c>
      <c r="B376" s="15" t="s">
        <v>153</v>
      </c>
      <c r="C376" s="15" t="s">
        <v>2358</v>
      </c>
      <c r="D376" s="15" t="s">
        <v>2783</v>
      </c>
      <c r="E376" s="14" t="n">
        <v>20</v>
      </c>
      <c r="F376" s="20" t="s">
        <v>2328</v>
      </c>
      <c r="G376" s="15" t="s">
        <v>2332</v>
      </c>
      <c r="H376" s="14" t="s">
        <v>2330</v>
      </c>
      <c r="I376" s="15"/>
      <c r="J376" s="14" t="s">
        <v>2330</v>
      </c>
      <c r="K376" s="14"/>
      <c r="L376" s="14" t="n">
        <f aca="false">IF(E376="","",IF(OR(AND(K376="Plan A",'All weeks'!$C$5="B"),AND(K376="Plan B",'All weeks'!$C$5="A")),0,IF(H376="Yes",E376,E376*IF(B376="Year 7",'All weeks'!$C$3,'All weeks'!$C$4))))</f>
        <v>20</v>
      </c>
    </row>
    <row r="377" customFormat="false" ht="23.85" hidden="false" customHeight="false" outlineLevel="0" collapsed="false">
      <c r="A377" s="14" t="n">
        <v>10</v>
      </c>
      <c r="B377" s="15" t="s">
        <v>153</v>
      </c>
      <c r="C377" s="15" t="s">
        <v>2358</v>
      </c>
      <c r="D377" s="15" t="s">
        <v>2784</v>
      </c>
      <c r="E377" s="14" t="n">
        <v>120</v>
      </c>
      <c r="F377" s="20" t="s">
        <v>2328</v>
      </c>
      <c r="G377" s="15" t="s">
        <v>2332</v>
      </c>
      <c r="H377" s="14" t="s">
        <v>2330</v>
      </c>
      <c r="I377" s="15"/>
      <c r="J377" s="14" t="s">
        <v>2330</v>
      </c>
      <c r="K377" s="14"/>
      <c r="L377" s="14" t="n">
        <f aca="false">IF(E377="","",IF(OR(AND(K377="Plan A",'All weeks'!$C$5="B"),AND(K377="Plan B",'All weeks'!$C$5="A")),0,IF(H377="Yes",E377,E377*IF(B377="Year 7",'All weeks'!$C$3,'All weeks'!$C$4))))</f>
        <v>120</v>
      </c>
    </row>
    <row r="378" customFormat="false" ht="23.85" hidden="false" customHeight="false" outlineLevel="0" collapsed="false">
      <c r="A378" s="14" t="n">
        <v>10</v>
      </c>
      <c r="B378" s="15" t="s">
        <v>153</v>
      </c>
      <c r="C378" s="15" t="s">
        <v>2358</v>
      </c>
      <c r="D378" s="15" t="s">
        <v>2785</v>
      </c>
      <c r="E378" s="14" t="n">
        <v>15</v>
      </c>
      <c r="F378" s="20" t="s">
        <v>2328</v>
      </c>
      <c r="G378" s="15" t="s">
        <v>2332</v>
      </c>
      <c r="H378" s="14" t="s">
        <v>2330</v>
      </c>
      <c r="I378" s="15"/>
      <c r="J378" s="14" t="s">
        <v>2330</v>
      </c>
      <c r="K378" s="14"/>
      <c r="L378" s="14" t="n">
        <f aca="false">IF(E378="","",IF(OR(AND(K378="Plan A",'All weeks'!$C$5="B"),AND(K378="Plan B",'All weeks'!$C$5="A")),0,IF(H378="Yes",E378,E378*IF(B378="Year 7",'All weeks'!$C$3,'All weeks'!$C$4))))</f>
        <v>15</v>
      </c>
    </row>
    <row r="379" customFormat="false" ht="23.85" hidden="false" customHeight="false" outlineLevel="0" collapsed="false">
      <c r="A379" s="14" t="n">
        <v>10</v>
      </c>
      <c r="B379" s="15" t="s">
        <v>153</v>
      </c>
      <c r="C379" s="15" t="s">
        <v>2358</v>
      </c>
      <c r="D379" s="15" t="s">
        <v>2786</v>
      </c>
      <c r="E379" s="14" t="n">
        <v>20</v>
      </c>
      <c r="F379" s="20" t="s">
        <v>2328</v>
      </c>
      <c r="G379" s="15" t="s">
        <v>2332</v>
      </c>
      <c r="H379" s="14" t="s">
        <v>77</v>
      </c>
      <c r="I379" s="15"/>
      <c r="J379" s="14" t="s">
        <v>2330</v>
      </c>
      <c r="K379" s="14"/>
      <c r="L379" s="14" t="n">
        <f aca="false">IF(E379="","",IF(OR(AND(K379="Plan A",'All weeks'!$C$5="B"),AND(K379="Plan B",'All weeks'!$C$5="A")),0,IF(H379="Yes",E379,E379*IF(B379="Year 7",'All weeks'!$C$3,'All weeks'!$C$4))))</f>
        <v>20</v>
      </c>
    </row>
    <row r="380" customFormat="false" ht="23.85" hidden="false" customHeight="false" outlineLevel="0" collapsed="false">
      <c r="A380" s="14" t="n">
        <v>10</v>
      </c>
      <c r="B380" s="15" t="s">
        <v>153</v>
      </c>
      <c r="C380" s="15" t="s">
        <v>2358</v>
      </c>
      <c r="D380" s="15" t="s">
        <v>2787</v>
      </c>
      <c r="E380" s="14" t="n">
        <v>5</v>
      </c>
      <c r="F380" s="20" t="s">
        <v>2328</v>
      </c>
      <c r="G380" s="15" t="s">
        <v>2332</v>
      </c>
      <c r="H380" s="14" t="s">
        <v>2330</v>
      </c>
      <c r="I380" s="15"/>
      <c r="J380" s="14" t="s">
        <v>105</v>
      </c>
      <c r="K380" s="14"/>
      <c r="L380" s="14" t="n">
        <f aca="false">IF(E380="","",IF(OR(AND(K380="Plan A",'All weeks'!$C$5="B"),AND(K380="Plan B",'All weeks'!$C$5="A")),0,IF(H380="Yes",E380,E380*IF(B380="Year 7",'All weeks'!$C$3,'All weeks'!$C$4))))</f>
        <v>5</v>
      </c>
    </row>
  </sheetData>
  <autoFilter ref="A18:L380"/>
  <conditionalFormatting sqref="B5:B14">
    <cfRule type="dataBar" priority="2">
      <dataBar showValue="1" minLength="10" maxLength="90">
        <cfvo type="num" val="0"/>
        <cfvo type="max" val="0"/>
        <color rgb="FF1F78B4"/>
      </dataBar>
      <extLst>
        <ext xmlns:x14="http://schemas.microsoft.com/office/spreadsheetml/2009/9/main" uri="{B025F937-C7B1-47D3-B67F-A62EFF666E3E}">
          <x14:id>{4BECCB29-AF9D-4FD4-9F87-F72926CA683E}</x14:id>
        </ext>
      </extLst>
    </cfRule>
  </conditionalFormatting>
  <conditionalFormatting sqref="C5:C14">
    <cfRule type="dataBar" priority="3">
      <dataBar showValue="1" minLength="10" maxLength="90">
        <cfvo type="num" val="0"/>
        <cfvo type="max" val="0"/>
        <color rgb="FF9DB7D0"/>
      </dataBar>
      <extLst>
        <ext xmlns:x14="http://schemas.microsoft.com/office/spreadsheetml/2009/9/main" uri="{B025F937-C7B1-47D3-B67F-A62EFF666E3E}">
          <x14:id>{2DE46FF5-C124-4711-B5E2-23AE49739363}</x14:id>
        </ext>
      </extLst>
    </cfRule>
  </conditionalFormatting>
  <conditionalFormatting sqref="E5:E14">
    <cfRule type="dataBar" priority="4">
      <dataBar showValue="1" minLength="10" maxLength="90">
        <cfvo type="num" val="0"/>
        <cfvo type="max" val="0"/>
        <color rgb="FFF5B335"/>
      </dataBar>
      <extLst>
        <ext xmlns:x14="http://schemas.microsoft.com/office/spreadsheetml/2009/9/main" uri="{B025F937-C7B1-47D3-B67F-A62EFF666E3E}">
          <x14:id>{16C97F9A-A868-4DAC-A2B0-15BD208C37C8}</x14:id>
        </ext>
      </extLst>
    </cfRule>
  </conditionalFormatting>
  <conditionalFormatting sqref="F5:F14">
    <cfRule type="dataBar" priority="5">
      <dataBar showValue="1" minLength="10" maxLength="90">
        <cfvo type="num" val="0"/>
        <cfvo type="max" val="0"/>
        <color rgb="FFF7D58F"/>
      </dataBar>
      <extLst>
        <ext xmlns:x14="http://schemas.microsoft.com/office/spreadsheetml/2009/9/main" uri="{B025F937-C7B1-47D3-B67F-A62EFF666E3E}">
          <x14:id>{31905799-8C51-4264-AAF0-F8D9FCC6CF28}</x14:id>
        </ext>
      </extLst>
    </cfRule>
  </conditionalFormatting>
  <conditionalFormatting sqref="H5:H14">
    <cfRule type="dataBar" priority="6">
      <dataBar showValue="1" minLength="10" maxLength="90">
        <cfvo type="num" val="0"/>
        <cfvo type="max" val="0"/>
        <color rgb="FF00235F"/>
      </dataBar>
      <extLst>
        <ext xmlns:x14="http://schemas.microsoft.com/office/spreadsheetml/2009/9/main" uri="{B025F937-C7B1-47D3-B67F-A62EFF666E3E}">
          <x14:id>{E1824C55-AC2F-406B-9EAE-8678CCCCEACB}</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4BECCB29-AF9D-4FD4-9F87-F72926CA683E}">
            <x14:dataBar minLength="10" maxLength="90" axisPosition="none" gradient="true">
              <x14:cfvo type="num">
                <xm:f>0</xm:f>
              </x14:cfvo>
              <x14:cfvo type="max"/>
              <x14:negativeFillColor rgb="FF1F78B4"/>
              <x14:axisColor rgb="FF000000"/>
            </x14:dataBar>
          </x14:cfRule>
          <xm:sqref>B5:B14</xm:sqref>
        </x14:conditionalFormatting>
        <x14:conditionalFormatting xmlns:xm="http://schemas.microsoft.com/office/excel/2006/main">
          <x14:cfRule type="dataBar" id="{2DE46FF5-C124-4711-B5E2-23AE49739363}">
            <x14:dataBar minLength="10" maxLength="90" axisPosition="none" gradient="true">
              <x14:cfvo type="num">
                <xm:f>0</xm:f>
              </x14:cfvo>
              <x14:cfvo type="max"/>
              <x14:negativeFillColor rgb="FF9DB7D0"/>
              <x14:axisColor rgb="FF000000"/>
            </x14:dataBar>
          </x14:cfRule>
          <xm:sqref>C5:C14</xm:sqref>
        </x14:conditionalFormatting>
        <x14:conditionalFormatting xmlns:xm="http://schemas.microsoft.com/office/excel/2006/main">
          <x14:cfRule type="dataBar" id="{16C97F9A-A868-4DAC-A2B0-15BD208C37C8}">
            <x14:dataBar minLength="10" maxLength="90" axisPosition="none" gradient="true">
              <x14:cfvo type="num">
                <xm:f>0</xm:f>
              </x14:cfvo>
              <x14:cfvo type="max"/>
              <x14:negativeFillColor rgb="FFF5B335"/>
              <x14:axisColor rgb="FF000000"/>
            </x14:dataBar>
          </x14:cfRule>
          <xm:sqref>E5:E14</xm:sqref>
        </x14:conditionalFormatting>
        <x14:conditionalFormatting xmlns:xm="http://schemas.microsoft.com/office/excel/2006/main">
          <x14:cfRule type="dataBar" id="{31905799-8C51-4264-AAF0-F8D9FCC6CF28}">
            <x14:dataBar minLength="10" maxLength="90" axisPosition="none" gradient="true">
              <x14:cfvo type="num">
                <xm:f>0</xm:f>
              </x14:cfvo>
              <x14:cfvo type="max"/>
              <x14:negativeFillColor rgb="FFF7D58F"/>
              <x14:axisColor rgb="FF000000"/>
            </x14:dataBar>
          </x14:cfRule>
          <xm:sqref>F5:F14</xm:sqref>
        </x14:conditionalFormatting>
        <x14:conditionalFormatting xmlns:xm="http://schemas.microsoft.com/office/excel/2006/main">
          <x14:cfRule type="dataBar" id="{E1824C55-AC2F-406B-9EAE-8678CCCCEACB}">
            <x14:dataBar minLength="10" maxLength="90" axisPosition="none" gradient="true">
              <x14:cfvo type="num">
                <xm:f>0</xm:f>
              </x14:cfvo>
              <x14:cfvo type="max"/>
              <x14:negativeFillColor rgb="FF00235F"/>
              <x14:axisColor rgb="FF000000"/>
            </x14:dataBar>
          </x14:cfRule>
          <xm:sqref>H5:H14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70"/>
    <col collapsed="false" customWidth="true" hidden="false" outlineLevel="0" max="4" min="4" style="0" width="12"/>
    <col collapsed="false" customWidth="true" hidden="false" outlineLevel="0" max="5" min="5" style="0" width="26"/>
  </cols>
  <sheetData>
    <row r="1" customFormat="false" ht="17.35" hidden="false" customHeight="false" outlineLevel="0" collapsed="false">
      <c r="A1" s="4" t="s">
        <v>2788</v>
      </c>
    </row>
    <row r="2" customFormat="false" ht="15" hidden="false" customHeight="false" outlineLevel="0" collapsed="false">
      <c r="A2" s="5" t="s">
        <v>2789</v>
      </c>
    </row>
    <row r="4" customFormat="false" ht="15" hidden="false" customHeight="false" outlineLevel="0" collapsed="false">
      <c r="A4" s="18" t="s">
        <v>2790</v>
      </c>
    </row>
    <row r="5" customFormat="false" ht="15" hidden="false" customHeight="false" outlineLevel="0" collapsed="false">
      <c r="A5" s="5" t="s">
        <v>2791</v>
      </c>
    </row>
    <row r="6" customFormat="false" ht="15" hidden="false" customHeight="false" outlineLevel="0" collapsed="false">
      <c r="C6" s="5" t="s">
        <v>2792</v>
      </c>
      <c r="D6" s="9" t="n">
        <f aca="false">SUMIFS('Prep by week'!$E$19:$E$380,'Prep by week'!$G$19:$G$380,"Reprographics",'Prep by week'!$J$19:$J$380,"No")</f>
        <v>196</v>
      </c>
    </row>
    <row r="7" customFormat="false" ht="15" hidden="false" customHeight="false" outlineLevel="0" collapsed="false">
      <c r="C7" s="5" t="s">
        <v>2793</v>
      </c>
      <c r="D7" s="9" t="n">
        <f aca="false">SUMIFS('All weeks'!$L$9:$L$721,'All weeks'!$J$9:$J$721,"A4 paper")</f>
        <v>1987</v>
      </c>
    </row>
    <row r="8" customFormat="false" ht="15" hidden="false" customHeight="false" outlineLevel="0" collapsed="false">
      <c r="C8" s="5" t="s">
        <v>2794</v>
      </c>
      <c r="D8" s="9" t="n">
        <f aca="false">SUMIFS('All weeks'!$L$9:$L$721,'All weeks'!$J$9:$J$721,"A3 paper")</f>
        <v>36</v>
      </c>
    </row>
    <row r="9" customFormat="false" ht="15" hidden="false" customHeight="false" outlineLevel="0" collapsed="false">
      <c r="C9" s="5" t="s">
        <v>2795</v>
      </c>
      <c r="D9" s="9" t="n">
        <f aca="false">SUMIFS('All weeks'!$L$9:$L$721,'All weeks'!$J$9:$J$721,"A5 paper")</f>
        <v>160</v>
      </c>
    </row>
    <row r="10" customFormat="false" ht="15" hidden="false" customHeight="false" outlineLevel="0" collapsed="false">
      <c r="C10" s="5" t="s">
        <v>2796</v>
      </c>
      <c r="D10" s="9" t="n">
        <f aca="false">SUMIFS('All weeks'!$L$9:$L$721,'All weeks'!$J$9:$J$721,"A4 card")</f>
        <v>176</v>
      </c>
    </row>
    <row r="11" customFormat="false" ht="15" hidden="false" customHeight="false" outlineLevel="0" collapsed="false">
      <c r="C11" s="5" t="s">
        <v>2797</v>
      </c>
      <c r="D11" s="9" t="n">
        <f aca="false">SUMIFS('All weeks'!$L$9:$L$721,'All weeks'!$J$9:$J$721,"A4 90 gsm (booklet)")</f>
        <v>196</v>
      </c>
    </row>
    <row r="13" customFormat="false" ht="15" hidden="false" customHeight="false" outlineLevel="0" collapsed="false">
      <c r="A13" s="18" t="s">
        <v>2798</v>
      </c>
    </row>
    <row r="14" customFormat="false" ht="15" hidden="false" customHeight="false" outlineLevel="0" collapsed="false">
      <c r="A14" s="5" t="s">
        <v>2799</v>
      </c>
    </row>
    <row r="15" customFormat="false" ht="15" hidden="false" customHeight="false" outlineLevel="0" collapsed="false">
      <c r="C15" s="5" t="s">
        <v>2800</v>
      </c>
      <c r="D15" s="9" t="n">
        <f aca="false">SUMIFS('Prep by week'!$E$19:$E$380,'Prep by week'!$G$19:$G$380,"Technician or assistant",'Prep by week'!$J$19:$J$380,"No")</f>
        <v>1306</v>
      </c>
    </row>
    <row r="16" customFormat="false" ht="15" hidden="false" customHeight="false" outlineLevel="0" collapsed="false">
      <c r="C16" s="5" t="s">
        <v>2801</v>
      </c>
      <c r="D16" s="9" t="n">
        <f aca="false">SUMIFS('Prep by week'!$E$19:$E$380,'Prep by week'!$G$19:$G$380,"Students (roles)",'Prep by week'!$J$19:$J$380,"No")</f>
        <v>56</v>
      </c>
    </row>
    <row r="17" customFormat="false" ht="15" hidden="false" customHeight="false" outlineLevel="0" collapsed="false">
      <c r="C17" s="5" t="s">
        <v>2802</v>
      </c>
      <c r="D17" s="9" t="n">
        <f aca="false">SUMIFS('Prep by week'!$E$19:$E$380,'Prep by week'!$G$19:$G$380,"Teacher",'Prep by week'!$J$19:$J$380,"No")</f>
        <v>2024</v>
      </c>
    </row>
    <row r="19" customFormat="false" ht="15" hidden="false" customHeight="false" outlineLevel="0" collapsed="false">
      <c r="A19" s="18" t="s">
        <v>2803</v>
      </c>
    </row>
    <row r="20" customFormat="false" ht="15" hidden="false" customHeight="false" outlineLevel="0" collapsed="false">
      <c r="A20" s="5" t="s">
        <v>2804</v>
      </c>
    </row>
    <row r="21" customFormat="false" ht="15" hidden="false" customHeight="false" outlineLevel="0" collapsed="false">
      <c r="A21" s="10" t="s">
        <v>21</v>
      </c>
      <c r="B21" s="10" t="s">
        <v>22</v>
      </c>
      <c r="C21" s="10" t="s">
        <v>2319</v>
      </c>
      <c r="D21" s="10" t="s">
        <v>2805</v>
      </c>
      <c r="E21" s="10" t="s">
        <v>2806</v>
      </c>
    </row>
    <row r="22" customFormat="false" ht="23.85" hidden="false" customHeight="false" outlineLevel="0" collapsed="false">
      <c r="A22" s="14" t="n">
        <v>1</v>
      </c>
      <c r="B22" s="15" t="s">
        <v>39</v>
      </c>
      <c r="C22" s="15" t="s">
        <v>2331</v>
      </c>
      <c r="D22" s="14" t="n">
        <v>10</v>
      </c>
      <c r="E22" s="15" t="s">
        <v>2333</v>
      </c>
    </row>
    <row r="23" customFormat="false" ht="23.85" hidden="false" customHeight="false" outlineLevel="0" collapsed="false">
      <c r="A23" s="14" t="n">
        <v>1</v>
      </c>
      <c r="B23" s="15" t="s">
        <v>39</v>
      </c>
      <c r="C23" s="15" t="s">
        <v>2344</v>
      </c>
      <c r="D23" s="14" t="n">
        <v>15</v>
      </c>
      <c r="E23" s="15" t="s">
        <v>2333</v>
      </c>
    </row>
    <row r="24" customFormat="false" ht="35.05" hidden="false" customHeight="false" outlineLevel="0" collapsed="false">
      <c r="A24" s="14" t="n">
        <v>1</v>
      </c>
      <c r="B24" s="15" t="s">
        <v>153</v>
      </c>
      <c r="C24" s="15" t="s">
        <v>2364</v>
      </c>
      <c r="D24" s="14" t="n">
        <v>15</v>
      </c>
      <c r="E24" s="15" t="s">
        <v>2365</v>
      </c>
    </row>
    <row r="25" customFormat="false" ht="23.85" hidden="false" customHeight="false" outlineLevel="0" collapsed="false">
      <c r="A25" s="14" t="n">
        <v>1</v>
      </c>
      <c r="B25" s="15" t="s">
        <v>153</v>
      </c>
      <c r="C25" s="15" t="s">
        <v>2367</v>
      </c>
      <c r="D25" s="14" t="n">
        <v>5</v>
      </c>
      <c r="E25" s="15" t="s">
        <v>2368</v>
      </c>
    </row>
    <row r="26" customFormat="false" ht="15" hidden="false" customHeight="false" outlineLevel="0" collapsed="false">
      <c r="A26" s="14" t="n">
        <v>1</v>
      </c>
      <c r="B26" s="15" t="s">
        <v>153</v>
      </c>
      <c r="C26" s="15" t="s">
        <v>2370</v>
      </c>
      <c r="D26" s="14" t="n">
        <v>5</v>
      </c>
      <c r="E26" s="15" t="s">
        <v>2371</v>
      </c>
    </row>
    <row r="27" customFormat="false" ht="57.45" hidden="false" customHeight="false" outlineLevel="0" collapsed="false">
      <c r="A27" s="14" t="n">
        <v>1</v>
      </c>
      <c r="B27" s="15" t="s">
        <v>153</v>
      </c>
      <c r="C27" s="15" t="s">
        <v>2376</v>
      </c>
      <c r="D27" s="14" t="n">
        <v>20</v>
      </c>
      <c r="E27" s="15" t="s">
        <v>2378</v>
      </c>
    </row>
    <row r="28" customFormat="false" ht="23.85" hidden="false" customHeight="false" outlineLevel="0" collapsed="false">
      <c r="A28" s="14" t="n">
        <v>1</v>
      </c>
      <c r="B28" s="15" t="s">
        <v>153</v>
      </c>
      <c r="C28" s="15" t="s">
        <v>2379</v>
      </c>
      <c r="D28" s="14" t="n">
        <v>5</v>
      </c>
      <c r="E28" s="15" t="s">
        <v>2380</v>
      </c>
    </row>
    <row r="29" customFormat="false" ht="23.85" hidden="false" customHeight="false" outlineLevel="0" collapsed="false">
      <c r="A29" s="14" t="n">
        <v>1</v>
      </c>
      <c r="B29" s="15" t="s">
        <v>153</v>
      </c>
      <c r="C29" s="15" t="s">
        <v>2388</v>
      </c>
      <c r="D29" s="14" t="n">
        <v>10</v>
      </c>
      <c r="E29" s="15" t="s">
        <v>2373</v>
      </c>
    </row>
    <row r="30" customFormat="false" ht="23.85" hidden="false" customHeight="false" outlineLevel="0" collapsed="false">
      <c r="A30" s="14" t="n">
        <v>2</v>
      </c>
      <c r="B30" s="15" t="s">
        <v>39</v>
      </c>
      <c r="C30" s="15" t="s">
        <v>2400</v>
      </c>
      <c r="D30" s="14" t="n">
        <v>15</v>
      </c>
      <c r="E30" s="15" t="s">
        <v>2401</v>
      </c>
    </row>
    <row r="31" customFormat="false" ht="23.85" hidden="false" customHeight="false" outlineLevel="0" collapsed="false">
      <c r="A31" s="14" t="n">
        <v>2</v>
      </c>
      <c r="B31" s="15" t="s">
        <v>153</v>
      </c>
      <c r="C31" s="15" t="s">
        <v>2412</v>
      </c>
      <c r="D31" s="14" t="n">
        <v>10</v>
      </c>
      <c r="E31" s="15" t="s">
        <v>2413</v>
      </c>
    </row>
    <row r="32" customFormat="false" ht="57.45" hidden="false" customHeight="false" outlineLevel="0" collapsed="false">
      <c r="A32" s="14" t="n">
        <v>2</v>
      </c>
      <c r="B32" s="15" t="s">
        <v>153</v>
      </c>
      <c r="C32" s="15" t="s">
        <v>2416</v>
      </c>
      <c r="D32" s="14" t="n">
        <v>10</v>
      </c>
      <c r="E32" s="15" t="s">
        <v>2418</v>
      </c>
    </row>
    <row r="33" customFormat="false" ht="23.85" hidden="false" customHeight="false" outlineLevel="0" collapsed="false">
      <c r="A33" s="14" t="n">
        <v>2</v>
      </c>
      <c r="B33" s="15" t="s">
        <v>153</v>
      </c>
      <c r="C33" s="15" t="s">
        <v>2427</v>
      </c>
      <c r="D33" s="14" t="n">
        <v>3</v>
      </c>
      <c r="E33" s="15" t="s">
        <v>2413</v>
      </c>
    </row>
    <row r="34" customFormat="false" ht="23.85" hidden="false" customHeight="false" outlineLevel="0" collapsed="false">
      <c r="A34" s="14" t="n">
        <v>3</v>
      </c>
      <c r="B34" s="15" t="s">
        <v>39</v>
      </c>
      <c r="C34" s="15" t="s">
        <v>2428</v>
      </c>
      <c r="D34" s="14" t="n">
        <v>5</v>
      </c>
      <c r="E34" s="15" t="s">
        <v>2429</v>
      </c>
    </row>
    <row r="35" customFormat="false" ht="23.85" hidden="false" customHeight="false" outlineLevel="0" collapsed="false">
      <c r="A35" s="14" t="n">
        <v>3</v>
      </c>
      <c r="B35" s="15" t="s">
        <v>39</v>
      </c>
      <c r="C35" s="15" t="s">
        <v>2433</v>
      </c>
      <c r="D35" s="14" t="n">
        <v>10</v>
      </c>
      <c r="E35" s="15" t="s">
        <v>2429</v>
      </c>
    </row>
    <row r="36" customFormat="false" ht="35.05" hidden="false" customHeight="false" outlineLevel="0" collapsed="false">
      <c r="A36" s="14" t="n">
        <v>3</v>
      </c>
      <c r="B36" s="15" t="s">
        <v>153</v>
      </c>
      <c r="C36" s="15" t="s">
        <v>2440</v>
      </c>
      <c r="D36" s="14" t="n">
        <v>10</v>
      </c>
      <c r="E36" s="15" t="s">
        <v>2441</v>
      </c>
    </row>
    <row r="37" customFormat="false" ht="46.25" hidden="false" customHeight="false" outlineLevel="0" collapsed="false">
      <c r="A37" s="14" t="n">
        <v>3</v>
      </c>
      <c r="B37" s="15" t="s">
        <v>153</v>
      </c>
      <c r="C37" s="15" t="s">
        <v>2443</v>
      </c>
      <c r="D37" s="14" t="n">
        <v>20</v>
      </c>
      <c r="E37" s="15" t="s">
        <v>2444</v>
      </c>
    </row>
    <row r="38" customFormat="false" ht="23.85" hidden="false" customHeight="false" outlineLevel="0" collapsed="false">
      <c r="A38" s="14" t="n">
        <v>3</v>
      </c>
      <c r="B38" s="15" t="s">
        <v>153</v>
      </c>
      <c r="C38" s="15" t="s">
        <v>2445</v>
      </c>
      <c r="D38" s="14" t="n">
        <v>10</v>
      </c>
      <c r="E38" s="15" t="s">
        <v>2441</v>
      </c>
    </row>
    <row r="39" customFormat="false" ht="46.25" hidden="false" customHeight="false" outlineLevel="0" collapsed="false">
      <c r="A39" s="14" t="n">
        <v>4</v>
      </c>
      <c r="B39" s="15" t="s">
        <v>153</v>
      </c>
      <c r="C39" s="15" t="s">
        <v>2472</v>
      </c>
      <c r="D39" s="14" t="n">
        <v>5</v>
      </c>
      <c r="E39" s="15" t="s">
        <v>2473</v>
      </c>
    </row>
    <row r="40" customFormat="false" ht="35.05" hidden="false" customHeight="false" outlineLevel="0" collapsed="false">
      <c r="A40" s="14" t="n">
        <v>4</v>
      </c>
      <c r="B40" s="15" t="s">
        <v>153</v>
      </c>
      <c r="C40" s="15" t="s">
        <v>2474</v>
      </c>
      <c r="D40" s="14" t="n">
        <v>10</v>
      </c>
      <c r="E40" s="15" t="s">
        <v>2475</v>
      </c>
    </row>
    <row r="41" customFormat="false" ht="35.05" hidden="false" customHeight="false" outlineLevel="0" collapsed="false">
      <c r="A41" s="14" t="n">
        <v>4</v>
      </c>
      <c r="B41" s="15" t="s">
        <v>153</v>
      </c>
      <c r="C41" s="15" t="s">
        <v>2476</v>
      </c>
      <c r="D41" s="14" t="n">
        <v>5</v>
      </c>
      <c r="E41" s="15" t="s">
        <v>2477</v>
      </c>
    </row>
    <row r="42" customFormat="false" ht="23.85" hidden="false" customHeight="false" outlineLevel="0" collapsed="false">
      <c r="A42" s="14" t="n">
        <v>4</v>
      </c>
      <c r="B42" s="15" t="s">
        <v>153</v>
      </c>
      <c r="C42" s="15" t="s">
        <v>2488</v>
      </c>
      <c r="D42" s="14" t="n">
        <v>5</v>
      </c>
      <c r="E42" s="15" t="s">
        <v>2489</v>
      </c>
    </row>
    <row r="43" customFormat="false" ht="23.85" hidden="false" customHeight="false" outlineLevel="0" collapsed="false">
      <c r="A43" s="14" t="n">
        <v>5</v>
      </c>
      <c r="B43" s="15" t="s">
        <v>39</v>
      </c>
      <c r="C43" s="15" t="s">
        <v>2494</v>
      </c>
      <c r="D43" s="14" t="n">
        <v>5</v>
      </c>
      <c r="E43" s="15" t="s">
        <v>2495</v>
      </c>
    </row>
    <row r="44" customFormat="false" ht="23.85" hidden="false" customHeight="false" outlineLevel="0" collapsed="false">
      <c r="A44" s="14" t="n">
        <v>5</v>
      </c>
      <c r="B44" s="15" t="s">
        <v>39</v>
      </c>
      <c r="C44" s="15" t="s">
        <v>2496</v>
      </c>
      <c r="D44" s="14" t="n">
        <v>3</v>
      </c>
      <c r="E44" s="15" t="s">
        <v>2495</v>
      </c>
    </row>
    <row r="45" customFormat="false" ht="23.85" hidden="false" customHeight="false" outlineLevel="0" collapsed="false">
      <c r="A45" s="14" t="n">
        <v>5</v>
      </c>
      <c r="B45" s="15" t="s">
        <v>39</v>
      </c>
      <c r="C45" s="15" t="s">
        <v>2510</v>
      </c>
      <c r="D45" s="14" t="n">
        <v>5</v>
      </c>
      <c r="E45" s="15" t="s">
        <v>2511</v>
      </c>
    </row>
    <row r="46" customFormat="false" ht="57.45" hidden="false" customHeight="false" outlineLevel="0" collapsed="false">
      <c r="A46" s="14" t="n">
        <v>5</v>
      </c>
      <c r="B46" s="15" t="s">
        <v>39</v>
      </c>
      <c r="C46" s="15" t="s">
        <v>2514</v>
      </c>
      <c r="D46" s="14" t="n">
        <v>15</v>
      </c>
      <c r="E46" s="15" t="s">
        <v>2515</v>
      </c>
    </row>
    <row r="47" customFormat="false" ht="46.25" hidden="false" customHeight="false" outlineLevel="0" collapsed="false">
      <c r="A47" s="14" t="n">
        <v>5</v>
      </c>
      <c r="B47" s="15" t="s">
        <v>39</v>
      </c>
      <c r="C47" s="15" t="s">
        <v>2516</v>
      </c>
      <c r="D47" s="14" t="n">
        <v>15</v>
      </c>
      <c r="E47" s="15" t="s">
        <v>2515</v>
      </c>
    </row>
    <row r="48" customFormat="false" ht="35.05" hidden="false" customHeight="false" outlineLevel="0" collapsed="false">
      <c r="A48" s="14" t="n">
        <v>5</v>
      </c>
      <c r="B48" s="15" t="s">
        <v>39</v>
      </c>
      <c r="C48" s="15" t="s">
        <v>2517</v>
      </c>
      <c r="D48" s="14" t="n">
        <v>12</v>
      </c>
      <c r="E48" s="15" t="s">
        <v>2518</v>
      </c>
    </row>
    <row r="49" customFormat="false" ht="23.85" hidden="false" customHeight="false" outlineLevel="0" collapsed="false">
      <c r="A49" s="14" t="n">
        <v>5</v>
      </c>
      <c r="B49" s="15" t="s">
        <v>153</v>
      </c>
      <c r="C49" s="15" t="s">
        <v>2527</v>
      </c>
      <c r="D49" s="14" t="n">
        <v>5</v>
      </c>
      <c r="E49" s="15" t="s">
        <v>2528</v>
      </c>
    </row>
    <row r="50" customFormat="false" ht="15" hidden="false" customHeight="false" outlineLevel="0" collapsed="false">
      <c r="A50" s="14" t="n">
        <v>5</v>
      </c>
      <c r="B50" s="15" t="s">
        <v>153</v>
      </c>
      <c r="C50" s="15" t="s">
        <v>2509</v>
      </c>
      <c r="D50" s="14" t="n">
        <v>5</v>
      </c>
      <c r="E50" s="15" t="s">
        <v>2542</v>
      </c>
    </row>
    <row r="51" customFormat="false" ht="23.85" hidden="false" customHeight="false" outlineLevel="0" collapsed="false">
      <c r="A51" s="14" t="n">
        <v>6</v>
      </c>
      <c r="B51" s="15" t="s">
        <v>39</v>
      </c>
      <c r="C51" s="15" t="s">
        <v>2543</v>
      </c>
      <c r="D51" s="14" t="n">
        <v>5</v>
      </c>
      <c r="E51" s="15" t="s">
        <v>2544</v>
      </c>
    </row>
    <row r="52" customFormat="false" ht="35.05" hidden="false" customHeight="false" outlineLevel="0" collapsed="false">
      <c r="A52" s="14" t="n">
        <v>6</v>
      </c>
      <c r="B52" s="15" t="s">
        <v>39</v>
      </c>
      <c r="C52" s="15" t="s">
        <v>2546</v>
      </c>
      <c r="D52" s="14" t="n">
        <v>15</v>
      </c>
      <c r="E52" s="15" t="s">
        <v>2547</v>
      </c>
    </row>
    <row r="53" customFormat="false" ht="35.05" hidden="false" customHeight="false" outlineLevel="0" collapsed="false">
      <c r="A53" s="14" t="n">
        <v>6</v>
      </c>
      <c r="B53" s="15" t="s">
        <v>39</v>
      </c>
      <c r="C53" s="15" t="s">
        <v>2549</v>
      </c>
      <c r="D53" s="14" t="n">
        <v>5</v>
      </c>
      <c r="E53" s="15" t="s">
        <v>2550</v>
      </c>
    </row>
    <row r="54" customFormat="false" ht="35.05" hidden="false" customHeight="false" outlineLevel="0" collapsed="false">
      <c r="A54" s="14" t="n">
        <v>6</v>
      </c>
      <c r="B54" s="15" t="s">
        <v>153</v>
      </c>
      <c r="C54" s="15" t="s">
        <v>2579</v>
      </c>
      <c r="D54" s="14" t="n">
        <v>8</v>
      </c>
      <c r="E54" s="15" t="s">
        <v>2580</v>
      </c>
    </row>
    <row r="55" customFormat="false" ht="35.05" hidden="false" customHeight="false" outlineLevel="0" collapsed="false">
      <c r="A55" s="14" t="n">
        <v>7</v>
      </c>
      <c r="B55" s="15" t="s">
        <v>39</v>
      </c>
      <c r="C55" s="15" t="s">
        <v>2588</v>
      </c>
      <c r="D55" s="14" t="n">
        <v>5</v>
      </c>
      <c r="E55" s="15" t="s">
        <v>2589</v>
      </c>
    </row>
    <row r="56" customFormat="false" ht="15" hidden="false" customHeight="false" outlineLevel="0" collapsed="false">
      <c r="A56" s="14" t="n">
        <v>7</v>
      </c>
      <c r="B56" s="15" t="s">
        <v>39</v>
      </c>
      <c r="C56" s="15" t="s">
        <v>2591</v>
      </c>
      <c r="D56" s="14" t="n">
        <v>5</v>
      </c>
      <c r="E56" s="15" t="s">
        <v>2592</v>
      </c>
    </row>
    <row r="57" customFormat="false" ht="35.05" hidden="false" customHeight="false" outlineLevel="0" collapsed="false">
      <c r="A57" s="14" t="n">
        <v>7</v>
      </c>
      <c r="B57" s="15" t="s">
        <v>153</v>
      </c>
      <c r="C57" s="15" t="s">
        <v>2617</v>
      </c>
      <c r="D57" s="14" t="n">
        <v>5</v>
      </c>
      <c r="E57" s="15" t="s">
        <v>2618</v>
      </c>
    </row>
    <row r="58" customFormat="false" ht="23.85" hidden="false" customHeight="false" outlineLevel="0" collapsed="false">
      <c r="A58" s="14" t="n">
        <v>8</v>
      </c>
      <c r="B58" s="15" t="s">
        <v>153</v>
      </c>
      <c r="C58" s="15" t="s">
        <v>2658</v>
      </c>
      <c r="D58" s="14" t="n">
        <v>15</v>
      </c>
      <c r="E58" s="15" t="s">
        <v>2659</v>
      </c>
    </row>
    <row r="59" customFormat="false" ht="46.25" hidden="false" customHeight="false" outlineLevel="0" collapsed="false">
      <c r="A59" s="14" t="n">
        <v>8</v>
      </c>
      <c r="B59" s="15" t="s">
        <v>153</v>
      </c>
      <c r="C59" s="15" t="s">
        <v>2665</v>
      </c>
      <c r="D59" s="14" t="n">
        <v>30</v>
      </c>
      <c r="E59" s="15" t="s">
        <v>2666</v>
      </c>
    </row>
    <row r="60" customFormat="false" ht="23.85" hidden="false" customHeight="false" outlineLevel="0" collapsed="false">
      <c r="A60" s="14" t="n">
        <v>8</v>
      </c>
      <c r="B60" s="15" t="s">
        <v>153</v>
      </c>
      <c r="C60" s="15" t="s">
        <v>2667</v>
      </c>
      <c r="D60" s="14" t="n">
        <v>5</v>
      </c>
      <c r="E60" s="15" t="s">
        <v>2668</v>
      </c>
    </row>
    <row r="61" customFormat="false" ht="35.05" hidden="false" customHeight="false" outlineLevel="0" collapsed="false">
      <c r="A61" s="14" t="n">
        <v>9</v>
      </c>
      <c r="B61" s="15" t="s">
        <v>39</v>
      </c>
      <c r="C61" s="15" t="s">
        <v>2692</v>
      </c>
      <c r="D61" s="14" t="n">
        <v>10</v>
      </c>
      <c r="E61" s="15" t="s">
        <v>2693</v>
      </c>
    </row>
    <row r="62" customFormat="false" ht="15" hidden="false" customHeight="false" outlineLevel="0" collapsed="false">
      <c r="A62" s="14" t="n">
        <v>9</v>
      </c>
      <c r="B62" s="15" t="s">
        <v>39</v>
      </c>
      <c r="C62" s="15" t="s">
        <v>2695</v>
      </c>
      <c r="D62" s="14" t="n">
        <v>5</v>
      </c>
      <c r="E62" s="15" t="s">
        <v>2696</v>
      </c>
    </row>
    <row r="63" customFormat="false" ht="23.85" hidden="false" customHeight="false" outlineLevel="0" collapsed="false">
      <c r="A63" s="14" t="n">
        <v>10</v>
      </c>
      <c r="B63" s="15" t="s">
        <v>39</v>
      </c>
      <c r="C63" s="15" t="s">
        <v>2758</v>
      </c>
      <c r="D63" s="14" t="n">
        <v>20</v>
      </c>
      <c r="E63" s="15" t="s">
        <v>2759</v>
      </c>
    </row>
    <row r="64" customFormat="false" ht="23.85" hidden="false" customHeight="false" outlineLevel="0" collapsed="false">
      <c r="A64" s="14" t="n">
        <v>10</v>
      </c>
      <c r="B64" s="15" t="s">
        <v>39</v>
      </c>
      <c r="C64" s="15" t="s">
        <v>2760</v>
      </c>
      <c r="D64" s="14" t="n">
        <v>5</v>
      </c>
      <c r="E64" s="15" t="s">
        <v>2759</v>
      </c>
    </row>
    <row r="65" customFormat="false" ht="23.85" hidden="false" customHeight="false" outlineLevel="0" collapsed="false">
      <c r="A65" s="14" t="n">
        <v>10</v>
      </c>
      <c r="B65" s="15" t="s">
        <v>39</v>
      </c>
      <c r="C65" s="15" t="s">
        <v>2762</v>
      </c>
      <c r="D65" s="14" t="n">
        <v>10</v>
      </c>
      <c r="E65" s="15" t="s">
        <v>2759</v>
      </c>
    </row>
    <row r="67" customFormat="false" ht="15" hidden="false" customHeight="false" outlineLevel="0" collapsed="false">
      <c r="A67" s="18" t="s">
        <v>2807</v>
      </c>
    </row>
    <row r="68" customFormat="false" ht="15" hidden="false" customHeight="false" outlineLevel="0" collapsed="false">
      <c r="A68" s="5" t="s">
        <v>2808</v>
      </c>
    </row>
    <row r="69" customFormat="false" ht="15" hidden="false" customHeight="false" outlineLevel="0" collapsed="false">
      <c r="C69" s="5" t="s">
        <v>2809</v>
      </c>
      <c r="D69" s="9" t="n">
        <f aca="false">SUMIFS('Prep by week'!$E$19:$E$380,'Prep by week'!$C$19:$C$380,"After the lesson",'Prep by week'!$J$19:$J$380,"No")</f>
        <v>1630</v>
      </c>
    </row>
    <row r="70" customFormat="false" ht="15" hidden="false" customHeight="false" outlineLevel="0" collapsed="false">
      <c r="C70" s="5" t="s">
        <v>2810</v>
      </c>
      <c r="D70" s="9" t="n">
        <f aca="false">SUMIFS('Prep by week'!$E$19:$E$380,'Prep by week'!$C$19:$C$380,"&lt;&gt;After the lesson",'Prep by week'!$J$19:$J$380,"No")</f>
        <v>1952</v>
      </c>
    </row>
    <row r="72" customFormat="false" ht="15" hidden="false" customHeight="false" outlineLevel="0" collapsed="false">
      <c r="A72" s="18" t="s">
        <v>2811</v>
      </c>
    </row>
    <row r="73" customFormat="false" ht="15" hidden="false" customHeight="false" outlineLevel="0" collapsed="false">
      <c r="A73" s="5" t="s">
        <v>2812</v>
      </c>
    </row>
    <row r="74" customFormat="false" ht="15" hidden="false" customHeight="false" outlineLevel="0" collapsed="false">
      <c r="C74" s="5" t="s">
        <v>2813</v>
      </c>
      <c r="D74" s="9" t="n">
        <f aca="false">SUMIFS('Prep by week'!$E$19:$E$380,'Prep by week'!$J$19:$J$380,"Optional")</f>
        <v>280</v>
      </c>
    </row>
    <row r="76" customFormat="false" ht="15" hidden="false" customHeight="false" outlineLevel="0" collapsed="false">
      <c r="A76" s="18" t="s">
        <v>2814</v>
      </c>
    </row>
    <row r="77" customFormat="false" ht="15" hidden="false" customHeight="false" outlineLevel="0" collapsed="false">
      <c r="A77" s="10" t="s">
        <v>21</v>
      </c>
      <c r="B77" s="10" t="s">
        <v>22</v>
      </c>
      <c r="C77" s="10" t="s">
        <v>2815</v>
      </c>
      <c r="D77" s="10" t="s">
        <v>2805</v>
      </c>
    </row>
    <row r="78" customFormat="false" ht="15" hidden="false" customHeight="false" outlineLevel="0" collapsed="false">
      <c r="A78" s="14" t="n">
        <v>10</v>
      </c>
      <c r="B78" s="15" t="s">
        <v>153</v>
      </c>
      <c r="C78" s="15" t="s">
        <v>2816</v>
      </c>
      <c r="D78" s="14" t="n">
        <v>395</v>
      </c>
    </row>
    <row r="79" customFormat="false" ht="15" hidden="false" customHeight="false" outlineLevel="0" collapsed="false">
      <c r="A79" s="14" t="n">
        <v>10</v>
      </c>
      <c r="B79" s="15" t="s">
        <v>39</v>
      </c>
      <c r="C79" s="15" t="s">
        <v>2817</v>
      </c>
      <c r="D79" s="14" t="n">
        <v>381</v>
      </c>
    </row>
    <row r="80" customFormat="false" ht="15" hidden="false" customHeight="false" outlineLevel="0" collapsed="false">
      <c r="A80" s="14" t="n">
        <v>1</v>
      </c>
      <c r="B80" s="15" t="s">
        <v>153</v>
      </c>
      <c r="C80" s="15" t="s">
        <v>2818</v>
      </c>
      <c r="D80" s="14" t="n">
        <v>325</v>
      </c>
    </row>
    <row r="81" customFormat="false" ht="15" hidden="false" customHeight="false" outlineLevel="0" collapsed="false">
      <c r="A81" s="14" t="n">
        <v>1</v>
      </c>
      <c r="B81" s="15" t="s">
        <v>39</v>
      </c>
      <c r="C81" s="15" t="s">
        <v>2819</v>
      </c>
      <c r="D81" s="14" t="n">
        <v>295</v>
      </c>
    </row>
    <row r="82" customFormat="false" ht="15" hidden="false" customHeight="false" outlineLevel="0" collapsed="false">
      <c r="A82" s="14" t="n">
        <v>8</v>
      </c>
      <c r="B82" s="15" t="s">
        <v>153</v>
      </c>
      <c r="C82" s="15" t="s">
        <v>2820</v>
      </c>
      <c r="D82" s="14" t="n">
        <v>283</v>
      </c>
    </row>
    <row r="83" customFormat="false" ht="15" hidden="false" customHeight="false" outlineLevel="0" collapsed="false">
      <c r="A83" s="14" t="n">
        <v>7</v>
      </c>
      <c r="B83" s="15" t="s">
        <v>39</v>
      </c>
      <c r="C83" s="15" t="s">
        <v>2821</v>
      </c>
      <c r="D83" s="14" t="n">
        <v>210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2026-10-16T03:35:24Z</dcterms:created>
  <dc:creator>openpyxl</dc:creator>
  <dc:description/>
  <dc:language>en-US</dc:language>
  <cp:lastModifiedBy/>
  <dcterms:modified xsi:type="dcterms:W3CDTF">2026-10-16T03:35:25Z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