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Order list" sheetId="2" state="visible" r:id="rId2"/>
    <sheet name="Prep room check" sheetId="3" state="visible" r:id="rId3"/>
    <sheet name="Canteen and kitchen" sheetId="4" state="visible" r:id="rId4"/>
    <sheet name="Collect or borrow" sheetId="5" state="visible" r:id="rId5"/>
    <sheet name="Teacher made" sheetId="6" state="visible" r:id="rId6"/>
    <sheet name="By week" sheetId="7" state="visible" r:id="rId7"/>
    <sheet name="Data by week" sheetId="8" state="visible" r:id="rId8"/>
  </sheets>
  <definedNames>
    <definedName name="_xlnm._FilterDatabase" localSheetId="1" hidden="1">'Order list'!$A$1:$P$69</definedName>
    <definedName name="_xlnm.Print_Titles" localSheetId="1">'Order list'!$1:$1</definedName>
    <definedName name="_xlnm._FilterDatabase" localSheetId="2" hidden="1">'Prep room check'!$A$1:$L$33</definedName>
    <definedName name="_xlnm.Print_Titles" localSheetId="2">'Prep room check'!$1:$1</definedName>
    <definedName name="_xlnm._FilterDatabase" localSheetId="3" hidden="1">'Canteen and kitchen'!$A$1:$M$26</definedName>
    <definedName name="_xlnm.Print_Titles" localSheetId="3">'Canteen and kitchen'!$1:$1</definedName>
    <definedName name="_xlnm._FilterDatabase" localSheetId="4" hidden="1">'Collect or borrow'!$A$1:$M$28</definedName>
    <definedName name="_xlnm.Print_Titles" localSheetId="4">'Collect or borrow'!$1:$1</definedName>
    <definedName name="_xlnm._FilterDatabase" localSheetId="5" hidden="1">'Teacher made'!$A$1:$M$42</definedName>
    <definedName name="_xlnm.Print_Titles" localSheetId="5">'Teacher made'!$1:$1</definedName>
    <definedName name="_xlnm._FilterDatabase" localSheetId="6" hidden="1">'By week'!$A$1:$I$500</definedName>
    <definedName name="_xlnm.Print_Titles" localSheetId="6">'By week'!$1:$1</definedName>
    <definedName name="_xlnm._FilterDatabase" localSheetId="7" hidden="1">'Data by week'!$A$1:$AY$210</definedName>
    <definedName name="_xlnm.Print_Titles" localSheetId="7">'Data by week'!$1:$1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0"/>
    </font>
    <font>
      <name val="Arial"/>
      <b val="1"/>
      <color rgb="0000235F"/>
      <sz val="14"/>
    </font>
    <font>
      <name val="Arial"/>
      <b val="1"/>
      <color rgb="0000235F"/>
      <sz val="11"/>
    </font>
  </fonts>
  <fills count="4">
    <fill>
      <patternFill/>
    </fill>
    <fill>
      <patternFill patternType="gray125"/>
    </fill>
    <fill>
      <patternFill patternType="solid">
        <fgColor rgb="0000235F"/>
      </patternFill>
    </fill>
    <fill>
      <patternFill patternType="solid">
        <fgColor rgb="00FFFF00"/>
      </patternFill>
    </fill>
  </fills>
  <borders count="2">
    <border>
      <left/>
      <right/>
      <top/>
      <bottom/>
      <diagonal/>
    </border>
    <border>
      <left style="thin">
        <color rgb="00B7C2D3"/>
      </left>
      <right style="thin">
        <color rgb="00B7C2D3"/>
      </right>
      <top style="thin">
        <color rgb="00B7C2D3"/>
      </top>
      <bottom style="thin">
        <color rgb="00B7C2D3"/>
      </bottom>
    </border>
  </borders>
  <cellStyleXfs count="1">
    <xf numFmtId="0" fontId="0" fillId="0" borderId="0"/>
  </cellStyleXfs>
  <cellXfs count="13">
    <xf numFmtId="0" fontId="0" fillId="0" borderId="0" pivotButton="0" quotePrefix="0" xfId="0"/>
    <xf numFmtId="0" fontId="4" fillId="0" borderId="0" pivotButton="0" quotePrefix="0" xfId="0"/>
    <xf numFmtId="0" fontId="2" fillId="0" borderId="0" pivotButton="0" quotePrefix="0" xfId="0"/>
    <xf numFmtId="0" fontId="5" fillId="0" borderId="0" pivotButton="0" quotePrefix="0" xfId="0"/>
    <xf numFmtId="0" fontId="3" fillId="0" borderId="0" pivotButton="0" quotePrefix="0" xfId="0"/>
    <xf numFmtId="0" fontId="3" fillId="3" borderId="1" applyAlignment="1" pivotButton="0" quotePrefix="0" xfId="0">
      <alignment horizontal="center" vertical="top" wrapText="1"/>
    </xf>
    <xf numFmtId="0" fontId="2" fillId="0" borderId="0" applyAlignment="1" pivotButton="0" quotePrefix="0" xfId="0">
      <alignment vertical="top" wrapText="1"/>
    </xf>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3" fillId="0" borderId="1" applyAlignment="1" pivotButton="0" quotePrefix="0" xfId="0">
      <alignment horizontal="center" vertical="top" wrapText="1"/>
    </xf>
    <xf numFmtId="0" fontId="2" fillId="3" borderId="1" applyAlignment="1" pivotButton="0" quotePrefix="0" xfId="0">
      <alignment vertical="top" wrapText="1"/>
    </xf>
    <xf numFmtId="0" fontId="2"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D38"/>
  <sheetViews>
    <sheetView workbookViewId="0">
      <selection activeCell="A1" sqref="A1"/>
    </sheetView>
  </sheetViews>
  <sheetFormatPr baseColWidth="8" defaultRowHeight="15"/>
  <cols>
    <col width="3" customWidth="1" min="1" max="1"/>
    <col width="34" customWidth="1" min="2" max="2"/>
    <col width="16" customWidth="1" min="3" max="3"/>
    <col width="90" customWidth="1" min="4" max="4"/>
  </cols>
  <sheetData>
    <row r="1">
      <c r="B1" s="1" t="inlineStr">
        <is>
          <t>Think Like a Scientist: science requisition, Weeks 1 to 10</t>
        </is>
      </c>
    </row>
    <row r="2">
      <c r="B2" s="2" t="inlineStr">
        <is>
          <t>Years 7, 8 and 9. Quantities come from the kit card in every lesson file (Section 5), checked against the Teacher Guide prep calendar.</t>
        </is>
      </c>
    </row>
    <row r="4">
      <c r="B4" s="3" t="inlineStr">
        <is>
          <t>Inputs (yellow cells: change these)</t>
        </is>
      </c>
    </row>
    <row r="5">
      <c r="B5" s="4" t="inlineStr">
        <is>
          <t>Year 7 classes</t>
        </is>
      </c>
      <c r="C5" s="5" t="n">
        <v>1</v>
      </c>
      <c r="D5" s="2" t="inlineStr">
        <is>
          <t>Number of Year 7 classes taking the programme. Used-up items are multiplied by this.</t>
        </is>
      </c>
    </row>
    <row r="6">
      <c r="B6" s="4" t="inlineStr">
        <is>
          <t>Year 8 classes</t>
        </is>
      </c>
      <c r="C6" s="5" t="n">
        <v>1</v>
      </c>
      <c r="D6" s="2" t="inlineStr">
        <is>
          <t>Number of Year 8 classes. Used-up items are multiplied by this.</t>
        </is>
      </c>
    </row>
    <row r="7">
      <c r="B7" s="4" t="inlineStr">
        <is>
          <t>Year 9 classes</t>
        </is>
      </c>
      <c r="C7" s="5" t="n">
        <v>1</v>
      </c>
      <c r="D7" s="2" t="inlineStr">
        <is>
          <t>Number of Year 9 classes. Type 0 if Year 9 is not running this term.</t>
        </is>
      </c>
    </row>
    <row r="9">
      <c r="B9" s="4" t="inlineStr">
        <is>
          <t>Freezer plan</t>
        </is>
      </c>
      <c r="C9" s="5" t="inlineStr">
        <is>
          <t>A and B</t>
        </is>
      </c>
      <c r="D9" s="2" t="inlineStr">
        <is>
          <t>Type A (freezer available), B (no freezer) or "A and B". Decide by Week 4. Leave "A and B" until then so both are costed; no Plan A or Plan B item is needed before Week 5.</t>
        </is>
      </c>
    </row>
    <row r="10">
      <c r="B10" s="4" t="inlineStr">
        <is>
          <t>Other cells to fill in</t>
        </is>
      </c>
      <c r="D10" s="2" t="inlineStr">
        <is>
          <t>"Already have" on the Prep room check sheet (for example, type 6 if the prep room has 6 stopwatches; the shortfall updates), and the "Ordered" and "Received" columns on the Order list.</t>
        </is>
      </c>
    </row>
    <row r="12">
      <c r="B12" s="3" t="inlineStr">
        <is>
          <t>How the quantities work</t>
        </is>
      </c>
    </row>
    <row r="13" ht="30" customHeight="1">
      <c r="B13" s="6" t="inlineStr">
        <is>
          <t>• Quantities are for one class of up to 24 students in 6 groups, including the teacher demonstration and the spares the kit cards name.</t>
        </is>
      </c>
    </row>
    <row r="14" ht="30" customHeight="1">
      <c r="B14" s="6" t="inlineStr">
        <is>
          <t>• Used-up items (salt, filter paper, card, tape) are added up across all ten weeks and multiplied by the number of classes, then rounded up.</t>
        </is>
      </c>
    </row>
    <row r="15" ht="30" customHeight="1">
      <c r="B15" s="6" t="inlineStr">
        <is>
          <t>• Reusable items (stopwatches, measuring cylinders, goggles) show the most any one class needs at once. The year groups are taught at different times, so they share them. If two classes are ever taught at the same time, add their columns together.</t>
        </is>
      </c>
    </row>
    <row r="16" ht="30" customHeight="1">
      <c r="B16" s="6" t="inlineStr">
        <is>
          <t>• Kept by class items (name cards, group folders, Year 9 role cards, Year 7 spinner envelopes) belong to one class for the series, so they are multiplied by the number of classes.</t>
        </is>
      </c>
    </row>
    <row r="17" ht="16" customHeight="1">
      <c r="B17" s="6" t="inlineStr">
        <is>
          <t>• Weeks, not dates. "First needed" is the week an item must be in school; order it at least a week earlier.</t>
        </is>
      </c>
    </row>
    <row r="18" ht="30" customHeight="1">
      <c r="B18" s="6" t="inlineStr">
        <is>
          <t>• Print jobs are not on the order list: worksheets, the Scientist's Logbook and the My Science Dictionary booklets go to reprographics (they are listed on the By week sheet). Card, laminating pouches, A3 and colour prints are included because they are stock to buy.</t>
        </is>
      </c>
    </row>
    <row r="19" ht="30" customHeight="1">
      <c r="B19" s="6" t="inlineStr">
        <is>
          <t>• Weeks 7 and 8 depend on what each group chooses (Year 7 test plans, Year 8 test options, Year 9 claims). The list costs the maximum the kit cards allow; trim it once the choices are made in Week 7.</t>
        </is>
      </c>
    </row>
    <row r="20" ht="16" customHeight="1">
      <c r="B20" s="6" t="inlineStr">
        <is>
          <t>• Chinese names are drafts for the purchasing team. Ask a colleague to check them before sending.</t>
        </is>
      </c>
    </row>
    <row r="22">
      <c r="B22" s="3" t="inlineStr">
        <is>
          <t>The sheets</t>
        </is>
      </c>
    </row>
    <row r="23" ht="30" customHeight="1">
      <c r="B23" s="6" t="inlineStr">
        <is>
          <t>• Order list: everything to buy (consumables, reusable items a science prep room would not usually have, stationery and card). This is the requisition.</t>
        </is>
      </c>
    </row>
    <row r="24" ht="30" customHeight="1">
      <c r="B24" s="6" t="inlineStr">
        <is>
          <t>• Prep room check: standard school science equipment. Ask the technician to fill in "Already have"; add any shortfall to the requisition.</t>
        </is>
      </c>
    </row>
    <row r="25" ht="30" customHeight="1">
      <c r="B25" s="6" t="inlineStr">
        <is>
          <t>• Canteen and kitchen: food, ice, freezer space and a kettle to request from the canteen or boarding house. Check the allergy notes.</t>
        </is>
      </c>
    </row>
    <row r="26" ht="30" customHeight="1">
      <c r="B26" s="6" t="inlineStr">
        <is>
          <t>• Collect or borrow: things students and staff can bring in or lend (bottles, jars, newspaper, towels, textbooks, the teacher's phone).</t>
        </is>
      </c>
    </row>
    <row r="27" ht="30" customHeight="1">
      <c r="B27" s="6" t="inlineStr">
        <is>
          <t>• Teacher made: things the teacher prepares from the items above (mystery cups, indicator, evidence bags). Their ingredients are already on the other sheets.</t>
        </is>
      </c>
    </row>
    <row r="28" ht="16" customHeight="1">
      <c r="B28" s="6" t="inlineStr">
        <is>
          <t>• By week: every item, week by week, for staging kit before each lesson.</t>
        </is>
      </c>
    </row>
    <row r="29" ht="16" customHeight="1">
      <c r="B29" s="6" t="inlineStr">
        <is>
          <t>• Data by week: the numbers behind the totals. Edit a quantity here and every total updates.</t>
        </is>
      </c>
    </row>
    <row r="31">
      <c r="B31" s="3" t="inlineStr">
        <is>
          <t>Decide before ordering</t>
        </is>
      </c>
    </row>
    <row r="32" ht="30" customHeight="1">
      <c r="B32" s="6" t="inlineStr">
        <is>
          <t>• Freezer: Plan A or Plan B, by Week 4 (cell C9). Can the canteen supply the ice on the day (Year 7 Week 6, Year 9 Weeks 6 and 8)?</t>
        </is>
      </c>
    </row>
    <row r="33" ht="16" customHeight="1">
      <c r="B33" s="6" t="inlineStr">
        <is>
          <t>• Laminator and A3 printing: does the school have both? If not, print the laminated cards on card instead.</t>
        </is>
      </c>
    </row>
    <row r="34" ht="16" customHeight="1">
      <c r="B34" s="6" t="inlineStr">
        <is>
          <t>• Thermometers: count them in Week 1. Year 7 Plan B needs 7 in Week 6; Year 9 needs 12 plus spares in Week 6.</t>
        </is>
      </c>
    </row>
    <row r="35" ht="30" customHeight="1">
      <c r="B35" s="6" t="inlineStr">
        <is>
          <t>• Year 8 felt-tip pens: the list buys 6 full sets of pens A to D (24 pens), one set per group. Buying only 2 of each brand works if the teacher pre-dots every strip (adds about 10 minutes of prep). Run the pen pre-test in Week 1.</t>
        </is>
      </c>
    </row>
    <row r="36" ht="16" customHeight="1">
      <c r="B36" s="6" t="inlineStr">
        <is>
          <t>• Allergies: check for wheat, flour and corn allergies before Year 7 Plan B (Weeks 5, 7, 8) and Year 8 Weeks 4 and 8.</t>
        </is>
      </c>
    </row>
    <row r="37" ht="30" customHeight="1">
      <c r="B37" s="6" t="inlineStr">
        <is>
          <t>• Year 8 soil test (Week 8): check that the four soil locations named in the Case Bible exist on this campus and are safe to dig.</t>
        </is>
      </c>
    </row>
    <row r="38" ht="30" customHeight="1">
      <c r="B38" s="6" t="inlineStr">
        <is>
          <t>• Not on the kit cards but likely useful: reusable adhesive (Blu Tack) for posters, permanent markers and labels, a guillotine for cutting card sets, badge holders for the Year 8 expert witnesses.</t>
        </is>
      </c>
    </row>
  </sheetData>
  <mergeCells count="22">
    <mergeCell ref="B14:D14"/>
    <mergeCell ref="B23:D23"/>
    <mergeCell ref="B17:D17"/>
    <mergeCell ref="B13:D13"/>
    <mergeCell ref="B29:D29"/>
    <mergeCell ref="B38:D38"/>
    <mergeCell ref="B34:D34"/>
    <mergeCell ref="B28:D28"/>
    <mergeCell ref="B19:D19"/>
    <mergeCell ref="B37:D37"/>
    <mergeCell ref="B15:D15"/>
    <mergeCell ref="B24:D24"/>
    <mergeCell ref="B20:D20"/>
    <mergeCell ref="B33:D33"/>
    <mergeCell ref="B36:D36"/>
    <mergeCell ref="B32:D32"/>
    <mergeCell ref="B35:D35"/>
    <mergeCell ref="B26:D26"/>
    <mergeCell ref="B25:D25"/>
    <mergeCell ref="B16:D16"/>
    <mergeCell ref="B18:D18"/>
    <mergeCell ref="B27:D27"/>
  </mergeCells>
  <dataValidations count="4">
    <dataValidation sqref="C9" showDropDown="0" showInputMessage="0" showErrorMessage="0" allowBlank="0" type="list">
      <formula1>"A and B,A,B"</formula1>
    </dataValidation>
    <dataValidation sqref="C5" showDropDown="0" showInputMessage="0" showErrorMessage="0" allowBlank="0" type="whole" operator="between">
      <formula1>0</formula1>
      <formula2>10</formula2>
    </dataValidation>
    <dataValidation sqref="C6" showDropDown="0" showInputMessage="0" showErrorMessage="0" allowBlank="0" type="whole" operator="between">
      <formula1>0</formula1>
      <formula2>10</formula2>
    </dataValidation>
    <dataValidation sqref="C7" showDropDown="0" showInputMessage="0" showErrorMessage="0" allowBlank="0" type="whole" operator="between">
      <formula1>0</formula1>
      <formula2>10</formula2>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P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34" customWidth="1" min="3" max="3"/>
    <col width="16" customWidth="1" min="4" max="4"/>
    <col width="10" customWidth="1" min="5" max="5"/>
    <col width="10" customWidth="1" min="6" max="6"/>
    <col width="10" customWidth="1" min="7" max="7"/>
    <col width="10" customWidth="1" min="8" max="8"/>
    <col width="11" customWidth="1" min="9" max="9"/>
    <col width="12" customWidth="1" min="10" max="10"/>
    <col width="9" customWidth="1" min="11" max="11"/>
    <col width="30" customWidth="1" min="12" max="12"/>
    <col width="16" customWidth="1" min="13" max="13"/>
    <col width="40" customWidth="1" min="14" max="14"/>
    <col width="9" customWidth="1" min="15" max="15"/>
    <col width="9" customWidth="1" min="16" max="16"/>
  </cols>
  <sheetData>
    <row r="1" ht="32" customHeight="1">
      <c r="A1" s="7" t="inlineStr">
        <is>
          <t>Item</t>
        </is>
      </c>
      <c r="B1" s="7" t="inlineStr">
        <is>
          <t>中文名称（草稿）</t>
        </is>
      </c>
      <c r="C1" s="7" t="inlineStr">
        <is>
          <t>Specification</t>
        </is>
      </c>
      <c r="D1" s="7" t="inlineStr">
        <is>
          <t>Category</t>
        </is>
      </c>
      <c r="E1" s="7" t="inlineStr">
        <is>
          <t>Type</t>
        </is>
      </c>
      <c r="F1" s="7" t="inlineStr">
        <is>
          <t>Year 7 per class</t>
        </is>
      </c>
      <c r="G1" s="7" t="inlineStr">
        <is>
          <t>Year 8 per class</t>
        </is>
      </c>
      <c r="H1" s="7" t="inlineStr">
        <is>
          <t>Year 9 per class</t>
        </is>
      </c>
      <c r="I1" s="7" t="inlineStr">
        <is>
          <t>Quantity to order</t>
        </is>
      </c>
      <c r="J1" s="7" t="inlineStr">
        <is>
          <t>Unit</t>
        </is>
      </c>
      <c r="K1" s="7" t="inlineStr">
        <is>
          <t>First needed</t>
        </is>
      </c>
      <c r="L1" s="7" t="inlineStr">
        <is>
          <t>Weeks used</t>
        </is>
      </c>
      <c r="M1" s="7" t="inlineStr">
        <is>
          <t>Plan</t>
        </is>
      </c>
      <c r="N1" s="7" t="inlineStr">
        <is>
          <t>Safety and notes</t>
        </is>
      </c>
      <c r="O1" s="7" t="inlineStr">
        <is>
          <t>Ordered</t>
        </is>
      </c>
      <c r="P1" s="7" t="inlineStr">
        <is>
          <t>Received</t>
        </is>
      </c>
    </row>
    <row r="2">
      <c r="A2" s="8" t="inlineStr">
        <is>
          <t>Plain bar soap</t>
        </is>
      </c>
      <c r="B2" s="8" t="inlineStr">
        <is>
          <t>普通块状肥皂</t>
        </is>
      </c>
      <c r="C2" s="8" t="inlineStr">
        <is>
          <t>Plain bar soap, not washing-up liquid (which is often close to neutral); 1 bar.</t>
        </is>
      </c>
      <c r="D2" s="8" t="inlineStr">
        <is>
          <t>Buy: used up</t>
        </is>
      </c>
      <c r="E2" s="8" t="inlineStr">
        <is>
          <t>Used up</t>
        </is>
      </c>
      <c r="F2" s="9">
        <f>ROUND('Data by week'!$AW$2*'Data by week'!$H$2,2)</f>
        <v/>
      </c>
      <c r="G2" s="9">
        <f>ROUND('Data by week'!$AX$2*'Data by week'!$H$2,2)</f>
        <v/>
      </c>
      <c r="H2" s="9">
        <f>ROUND('Data by week'!$AY$2*'Data by week'!$H$2,2)</f>
        <v/>
      </c>
      <c r="I2" s="10">
        <f>ROUNDUP(F2*'Read me'!$C$5+G2*'Read me'!$C$6+H2*'Read me'!$C$7,0)</f>
        <v/>
      </c>
      <c r="J2" s="8" t="inlineStr">
        <is>
          <t>teaspoon, grated</t>
        </is>
      </c>
      <c r="K2" s="8" t="inlineStr">
        <is>
          <t>Week 1</t>
        </is>
      </c>
      <c r="L2" s="8" t="inlineStr">
        <is>
          <t>Year 8: W1, W5</t>
        </is>
      </c>
      <c r="M2" s="8" t="inlineStr">
        <is>
          <t>Both plans</t>
        </is>
      </c>
      <c r="N2" s="8" t="inlineStr">
        <is>
          <t>Soap solution stings eyes: goggles when using it.</t>
        </is>
      </c>
      <c r="O2" s="11" t="n"/>
      <c r="P2" s="11" t="n"/>
    </row>
    <row r="3">
      <c r="A3" s="8" t="inlineStr">
        <is>
          <t>White coffee filters (for chromatography strips)</t>
        </is>
      </c>
      <c r="B3" s="8" t="inlineStr">
        <is>
          <t>白色咖啡滤纸（用于色谱滤纸条）</t>
        </is>
      </c>
      <c r="C3" s="8" t="inlineStr">
        <is>
          <t>White coffee-filter paper, cut into strips 2 cm x 10 cm.</t>
        </is>
      </c>
      <c r="D3" s="8" t="inlineStr">
        <is>
          <t>Buy: used up</t>
        </is>
      </c>
      <c r="E3" s="8" t="inlineStr">
        <is>
          <t>Used up</t>
        </is>
      </c>
      <c r="F3" s="9">
        <f>ROUND('Data by week'!$AW$3*'Data by week'!$H$3,2)</f>
        <v/>
      </c>
      <c r="G3" s="9">
        <f>ROUND('Data by week'!$AX$3*'Data by week'!$H$3,2)</f>
        <v/>
      </c>
      <c r="H3" s="9">
        <f>ROUND('Data by week'!$AY$3*'Data by week'!$H$3,2)</f>
        <v/>
      </c>
      <c r="I3" s="10">
        <f>ROUNDUP(F3*'Read me'!$C$5+G3*'Read me'!$C$6+H3*'Read me'!$C$7,0)</f>
        <v/>
      </c>
      <c r="J3" s="8" t="inlineStr">
        <is>
          <t>strips (2 cm x 10 cm)</t>
        </is>
      </c>
      <c r="K3" s="8" t="inlineStr">
        <is>
          <t>Week 1</t>
        </is>
      </c>
      <c r="L3" s="8" t="inlineStr">
        <is>
          <t>Year 8: W1, W3, W7, W8</t>
        </is>
      </c>
      <c r="M3" s="8" t="inlineStr">
        <is>
          <t>Both plans</t>
        </is>
      </c>
      <c r="N3" s="8" t="inlineStr"/>
      <c r="O3" s="11" t="n"/>
      <c r="P3" s="11" t="n"/>
    </row>
    <row r="4">
      <c r="A4" s="8" t="inlineStr">
        <is>
          <t>Cotton wool</t>
        </is>
      </c>
      <c r="B4" s="8" t="inlineStr">
        <is>
          <t>棉花（脱脂棉）</t>
        </is>
      </c>
      <c r="C4" s="8" t="inlineStr">
        <is>
          <t>Sheet form for insulation squares; loose cotton wool or a cotton ball for the mystery cup and fibre.</t>
        </is>
      </c>
      <c r="D4" s="8" t="inlineStr">
        <is>
          <t>Buy: used up</t>
        </is>
      </c>
      <c r="E4" s="8" t="inlineStr">
        <is>
          <t>Used up</t>
        </is>
      </c>
      <c r="F4" s="9">
        <f>ROUND('Data by week'!$AW$4*'Data by week'!$H$4,2)</f>
        <v/>
      </c>
      <c r="G4" s="9">
        <f>ROUND('Data by week'!$AX$4*'Data by week'!$H$4,2)</f>
        <v/>
      </c>
      <c r="H4" s="9">
        <f>ROUND('Data by week'!$AY$4*'Data by week'!$H$4,2)</f>
        <v/>
      </c>
      <c r="I4" s="10">
        <f>ROUNDUP(F4*'Read me'!$C$5+G4*'Read me'!$C$6+H4*'Read me'!$C$7,0)</f>
        <v/>
      </c>
      <c r="J4" s="8" t="inlineStr">
        <is>
          <t>cotton ball</t>
        </is>
      </c>
      <c r="K4" s="8" t="inlineStr">
        <is>
          <t>Week 2</t>
        </is>
      </c>
      <c r="L4" s="8" t="inlineStr">
        <is>
          <t>Year 7: W2</t>
        </is>
      </c>
      <c r="M4" s="8" t="inlineStr">
        <is>
          <t>Both plans</t>
        </is>
      </c>
      <c r="N4" s="8" t="inlineStr"/>
      <c r="O4" s="11" t="n"/>
      <c r="P4" s="11" t="n"/>
    </row>
    <row r="5">
      <c r="A5" s="8" t="inlineStr">
        <is>
          <t>Paper cups, opaque</t>
        </is>
      </c>
      <c r="B5" s="8" t="inlineStr">
        <is>
          <t>纸杯（不透明）</t>
        </is>
      </c>
      <c r="C5" s="8" t="inlineStr">
        <is>
          <t>Opaque paper cups for the mystery cups; small paper cups also hold pre-portioned fibre.</t>
        </is>
      </c>
      <c r="D5" s="8" t="inlineStr">
        <is>
          <t>Buy: used up</t>
        </is>
      </c>
      <c r="E5" s="8" t="inlineStr">
        <is>
          <t>Used up</t>
        </is>
      </c>
      <c r="F5" s="9">
        <f>ROUND('Data by week'!$AW$5*'Data by week'!$H$5,2)</f>
        <v/>
      </c>
      <c r="G5" s="9">
        <f>ROUND('Data by week'!$AX$5*'Data by week'!$H$5,2)</f>
        <v/>
      </c>
      <c r="H5" s="9">
        <f>ROUND('Data by week'!$AY$5*'Data by week'!$H$5,2)</f>
        <v/>
      </c>
      <c r="I5" s="10">
        <f>ROUNDUP(F5*'Read me'!$C$5+G5*'Read me'!$C$6+H5*'Read me'!$C$7,0)</f>
        <v/>
      </c>
      <c r="J5" s="8" t="inlineStr">
        <is>
          <t>cups</t>
        </is>
      </c>
      <c r="K5" s="8" t="inlineStr">
        <is>
          <t>Week 2</t>
        </is>
      </c>
      <c r="L5" s="8" t="inlineStr">
        <is>
          <t>Year 7: W2, W7</t>
        </is>
      </c>
      <c r="M5" s="8" t="inlineStr">
        <is>
          <t>Both plans</t>
        </is>
      </c>
      <c r="N5" s="8" t="inlineStr"/>
      <c r="O5" s="11" t="n"/>
      <c r="P5" s="11" t="n"/>
    </row>
    <row r="6">
      <c r="A6" s="8" t="inlineStr">
        <is>
          <t>Stirring sticks</t>
        </is>
      </c>
      <c r="B6" s="8" t="inlineStr">
        <is>
          <t>搅拌棒（一次性）</t>
        </is>
      </c>
      <c r="C6" s="8" t="inlineStr">
        <is>
          <t>Disposable stirring sticks.</t>
        </is>
      </c>
      <c r="D6" s="8" t="inlineStr">
        <is>
          <t>Buy: used up</t>
        </is>
      </c>
      <c r="E6" s="8" t="inlineStr">
        <is>
          <t>Used up</t>
        </is>
      </c>
      <c r="F6" s="9">
        <f>ROUND('Data by week'!$AW$6*'Data by week'!$H$6,2)</f>
        <v/>
      </c>
      <c r="G6" s="9">
        <f>ROUND('Data by week'!$AX$6*'Data by week'!$H$6,2)</f>
        <v/>
      </c>
      <c r="H6" s="9">
        <f>ROUND('Data by week'!$AY$6*'Data by week'!$H$6,2)</f>
        <v/>
      </c>
      <c r="I6" s="10">
        <f>ROUNDUP(F6*'Read me'!$C$5+G6*'Read me'!$C$6+H6*'Read me'!$C$7,0)</f>
        <v/>
      </c>
      <c r="J6" s="8" t="inlineStr">
        <is>
          <t>sticks</t>
        </is>
      </c>
      <c r="K6" s="8" t="inlineStr">
        <is>
          <t>Week 4</t>
        </is>
      </c>
      <c r="L6" s="8" t="inlineStr">
        <is>
          <t>Year 8: W4, W8</t>
        </is>
      </c>
      <c r="M6" s="8" t="inlineStr">
        <is>
          <t>Both plans</t>
        </is>
      </c>
      <c r="N6" s="8" t="inlineStr"/>
      <c r="O6" s="11" t="n"/>
      <c r="P6" s="11" t="n"/>
    </row>
    <row r="7">
      <c r="A7" s="8" t="inlineStr">
        <is>
          <t>Zip-lock bags, small (sandwich size)</t>
        </is>
      </c>
      <c r="B7" s="8" t="inlineStr">
        <is>
          <t>小号自封袋（三明治袋大小）</t>
        </is>
      </c>
      <c r="C7" s="8" t="inlineStr">
        <is>
          <t>Small resealable bags, sandwich size, that seal watertight; used for ice cubes, dough balls, spare fibre and as evidence bags.</t>
        </is>
      </c>
      <c r="D7" s="8" t="inlineStr">
        <is>
          <t>Buy: used up</t>
        </is>
      </c>
      <c r="E7" s="8" t="inlineStr">
        <is>
          <t>Used up</t>
        </is>
      </c>
      <c r="F7" s="9">
        <f>ROUND('Data by week'!$AW$7*'Data by week'!$H$7,2)</f>
        <v/>
      </c>
      <c r="G7" s="9">
        <f>ROUND('Data by week'!$AX$7*'Data by week'!$H$7,2)</f>
        <v/>
      </c>
      <c r="H7" s="9">
        <f>ROUND('Data by week'!$AY$7*'Data by week'!$H$7,2)</f>
        <v/>
      </c>
      <c r="I7" s="10">
        <f>ROUNDUP(F7*'Read me'!$C$5+G7*'Read me'!$C$6+H7*'Read me'!$C$7,0)</f>
        <v/>
      </c>
      <c r="J7" s="8" t="inlineStr">
        <is>
          <t>bags</t>
        </is>
      </c>
      <c r="K7" s="8" t="inlineStr">
        <is>
          <t>Week 4</t>
        </is>
      </c>
      <c r="L7" s="8" t="inlineStr">
        <is>
          <t>Year 7: W6, W7; Year 8: W4, W7</t>
        </is>
      </c>
      <c r="M7" s="8" t="inlineStr">
        <is>
          <t>Both plans</t>
        </is>
      </c>
      <c r="N7" s="8" t="inlineStr">
        <is>
          <t>Evidence bags stay sealed in Week 7: do not open, smell or taste. Plan B: knead dough inside the closed bag so flour dust stays in.</t>
        </is>
      </c>
      <c r="O7" s="11" t="n"/>
      <c r="P7" s="11" t="n"/>
    </row>
    <row r="8">
      <c r="A8" s="8" t="inlineStr">
        <is>
          <t>Aluminium foil, kitchen roll</t>
        </is>
      </c>
      <c r="B8" s="8" t="inlineStr">
        <is>
          <t>铝箔纸（厨房用）</t>
        </is>
      </c>
      <c r="C8" s="8" t="inlineStr">
        <is>
          <t>Kitchen foil roll; each trough uses a piece about 20 x 10 cm folded to double thickness.</t>
        </is>
      </c>
      <c r="D8" s="8" t="inlineStr">
        <is>
          <t>Buy: used up</t>
        </is>
      </c>
      <c r="E8" s="8" t="inlineStr">
        <is>
          <t>Used up</t>
        </is>
      </c>
      <c r="F8" s="9">
        <f>ROUND('Data by week'!$AW$8*'Data by week'!$H$8,2)</f>
        <v/>
      </c>
      <c r="G8" s="9">
        <f>ROUND('Data by week'!$AX$8*'Data by week'!$H$8,2)</f>
        <v/>
      </c>
      <c r="H8" s="9">
        <f>ROUND('Data by week'!$AY$8*'Data by week'!$H$8,2)</f>
        <v/>
      </c>
      <c r="I8" s="10">
        <f>ROUNDUP(F8*'Read me'!$C$5+G8*'Read me'!$C$6+H8*'Read me'!$C$7,0)</f>
        <v/>
      </c>
      <c r="J8" s="8" t="inlineStr">
        <is>
          <t>pieces</t>
        </is>
      </c>
      <c r="K8" s="8" t="inlineStr">
        <is>
          <t>Week 5</t>
        </is>
      </c>
      <c r="L8" s="8" t="inlineStr">
        <is>
          <t>Year 7: W5, W6, W7</t>
        </is>
      </c>
      <c r="M8" s="8" t="inlineStr">
        <is>
          <t>Both plans</t>
        </is>
      </c>
      <c r="N8" s="8" t="inlineStr"/>
      <c r="O8" s="11" t="n"/>
      <c r="P8" s="11" t="n"/>
    </row>
    <row r="9">
      <c r="A9" s="8" t="inlineStr">
        <is>
          <t>Bottled or purified water</t>
        </is>
      </c>
      <c r="B9" s="8" t="inlineStr">
        <is>
          <t>纯净水（瓶装）</t>
        </is>
      </c>
      <c r="C9" s="8" t="inlineStr">
        <is>
          <t>Bottled or purified, not tap (tap water can be slightly alkaline).</t>
        </is>
      </c>
      <c r="D9" s="8" t="inlineStr">
        <is>
          <t>Buy: used up</t>
        </is>
      </c>
      <c r="E9" s="8" t="inlineStr">
        <is>
          <t>Used up</t>
        </is>
      </c>
      <c r="F9" s="9">
        <f>ROUND('Data by week'!$AW$9*'Data by week'!$H$9,2)</f>
        <v/>
      </c>
      <c r="G9" s="9">
        <f>ROUND('Data by week'!$AX$9*'Data by week'!$H$9,2)</f>
        <v/>
      </c>
      <c r="H9" s="9">
        <f>ROUND('Data by week'!$AY$9*'Data by week'!$H$9,2)</f>
        <v/>
      </c>
      <c r="I9" s="10">
        <f>ROUNDUP(F9*'Read me'!$C$5+G9*'Read me'!$C$6+H9*'Read me'!$C$7,0)</f>
        <v/>
      </c>
      <c r="J9" s="8" t="inlineStr">
        <is>
          <t>ml</t>
        </is>
      </c>
      <c r="K9" s="8" t="inlineStr">
        <is>
          <t>Week 5</t>
        </is>
      </c>
      <c r="L9" s="8" t="inlineStr">
        <is>
          <t>Year 8: W5</t>
        </is>
      </c>
      <c r="M9" s="8" t="inlineStr">
        <is>
          <t>Both plans</t>
        </is>
      </c>
      <c r="N9" s="8" t="inlineStr">
        <is>
          <t>No drinking any liquid in the practical.</t>
        </is>
      </c>
      <c r="O9" s="11" t="n"/>
      <c r="P9" s="11" t="n"/>
    </row>
    <row r="10">
      <c r="A10" s="8" t="inlineStr">
        <is>
          <t>Cotton wool</t>
        </is>
      </c>
      <c r="B10" s="8" t="inlineStr">
        <is>
          <t>棉花（脱脂棉）</t>
        </is>
      </c>
      <c r="C10" s="8" t="inlineStr">
        <is>
          <t>Sheet form for insulation squares; loose cotton wool or a cotton ball for the mystery cup and fibre.</t>
        </is>
      </c>
      <c r="D10" s="8" t="inlineStr">
        <is>
          <t>Buy: used up</t>
        </is>
      </c>
      <c r="E10" s="8" t="inlineStr">
        <is>
          <t>Used up</t>
        </is>
      </c>
      <c r="F10" s="9">
        <f>ROUND('Data by week'!$AW$10*'Data by week'!$H$10,2)</f>
        <v/>
      </c>
      <c r="G10" s="9">
        <f>ROUND('Data by week'!$AX$10*'Data by week'!$H$10,2)</f>
        <v/>
      </c>
      <c r="H10" s="9">
        <f>ROUND('Data by week'!$AY$10*'Data by week'!$H$10,2)</f>
        <v/>
      </c>
      <c r="I10" s="10">
        <f>ROUNDUP(F10*'Read me'!$C$5+G10*'Read me'!$C$6+H10*'Read me'!$C$7,0)</f>
        <v/>
      </c>
      <c r="J10" s="8" t="inlineStr">
        <is>
          <t>pieces</t>
        </is>
      </c>
      <c r="K10" s="8" t="inlineStr">
        <is>
          <t>Week 6</t>
        </is>
      </c>
      <c r="L10" s="8" t="inlineStr">
        <is>
          <t>Year 7: W6</t>
        </is>
      </c>
      <c r="M10" s="8" t="inlineStr">
        <is>
          <t>Both plans</t>
        </is>
      </c>
      <c r="N10" s="8" t="inlineStr"/>
      <c r="O10" s="11" t="n"/>
      <c r="P10" s="11" t="n"/>
    </row>
    <row r="11">
      <c r="A11" s="8" t="inlineStr">
        <is>
          <t>Disposable gloves</t>
        </is>
      </c>
      <c r="B11" s="8" t="inlineStr">
        <is>
          <t>一次性手套</t>
        </is>
      </c>
      <c r="C11" s="8" t="inlineStr">
        <is>
          <t>Disposable gloves, boxed (latex-free nitrile suggested); for handling ice, ice and salt mixture, and soil.</t>
        </is>
      </c>
      <c r="D11" s="8" t="inlineStr">
        <is>
          <t>Buy: used up</t>
        </is>
      </c>
      <c r="E11" s="8" t="inlineStr">
        <is>
          <t>Used up</t>
        </is>
      </c>
      <c r="F11" s="9">
        <f>ROUND('Data by week'!$AW$11*'Data by week'!$H$11+'Data by week'!$AW$18*'Data by week'!$H$18,2)</f>
        <v/>
      </c>
      <c r="G11" s="9">
        <f>ROUND('Data by week'!$AX$11*'Data by week'!$H$11+'Data by week'!$AX$18*'Data by week'!$H$18,2)</f>
        <v/>
      </c>
      <c r="H11" s="9">
        <f>ROUND('Data by week'!$AY$11*'Data by week'!$H$11+'Data by week'!$AY$18*'Data by week'!$H$18,2)</f>
        <v/>
      </c>
      <c r="I11" s="10">
        <f>ROUNDUP(F11*'Read me'!$C$5+G11*'Read me'!$C$6+H11*'Read me'!$C$7,0)</f>
        <v/>
      </c>
      <c r="J11" s="8" t="inlineStr">
        <is>
          <t>pairs</t>
        </is>
      </c>
      <c r="K11" s="8" t="inlineStr">
        <is>
          <t>Week 6</t>
        </is>
      </c>
      <c r="L11" s="8" t="inlineStr">
        <is>
          <t>Year 7: W6, W8; Year 8: W8; Year 9: W6, W8</t>
        </is>
      </c>
      <c r="M11" s="8" t="inlineStr">
        <is>
          <t>Both plans, Plan A (freezer)</t>
        </is>
      </c>
      <c r="N11" s="8" t="inlineStr">
        <is>
          <t>Soil can carry germs: cover cuts or wear gloves; do not touch face or mouth; wash hands with soap after. Wear gloves if you hold ice for more than a minute; peel strips with gloves on. Gloves go in the bin. Wear gloves whenever you handle the ice and salt mixture or salted ice. They are cold enough to hurt skin</t>
        </is>
      </c>
      <c r="O11" s="11" t="n"/>
      <c r="P11" s="11" t="n"/>
    </row>
    <row r="12">
      <c r="A12" s="8" t="inlineStr">
        <is>
          <t>Freezer bags, strong</t>
        </is>
      </c>
      <c r="B12" s="8" t="inlineStr">
        <is>
          <t>冷冻袋（加厚）</t>
        </is>
      </c>
      <c r="C12" s="8" t="inlineStr">
        <is>
          <t>Strong, clean freezer bags; one holds the notebook prop in the freezer, one is used to crush ice with a rolling pin.</t>
        </is>
      </c>
      <c r="D12" s="8" t="inlineStr">
        <is>
          <t>Buy: used up</t>
        </is>
      </c>
      <c r="E12" s="8" t="inlineStr">
        <is>
          <t>Used up</t>
        </is>
      </c>
      <c r="F12" s="9">
        <f>ROUND('Data by week'!$AW$12*'Data by week'!$H$12+'Data by week'!$AW$23*'Data by week'!$H$23,2)</f>
        <v/>
      </c>
      <c r="G12" s="9">
        <f>ROUND('Data by week'!$AX$12*'Data by week'!$H$12+'Data by week'!$AX$23*'Data by week'!$H$23,2)</f>
        <v/>
      </c>
      <c r="H12" s="9">
        <f>ROUND('Data by week'!$AY$12*'Data by week'!$H$12+'Data by week'!$AY$23*'Data by week'!$H$23,2)</f>
        <v/>
      </c>
      <c r="I12" s="10">
        <f>ROUNDUP(F12*'Read me'!$C$5+G12*'Read me'!$C$6+H12*'Read me'!$C$7,0)</f>
        <v/>
      </c>
      <c r="J12" s="8" t="inlineStr">
        <is>
          <t>bag</t>
        </is>
      </c>
      <c r="K12" s="8" t="inlineStr">
        <is>
          <t>Week 6</t>
        </is>
      </c>
      <c r="L12" s="8" t="inlineStr">
        <is>
          <t>Year 8: W10; Year 9: W6, W8</t>
        </is>
      </c>
      <c r="M12" s="8" t="inlineStr">
        <is>
          <t>Both plans, Plan A (freezer)</t>
        </is>
      </c>
      <c r="N12" s="8" t="inlineStr"/>
      <c r="O12" s="11" t="n"/>
      <c r="P12" s="11" t="n"/>
    </row>
    <row r="13">
      <c r="A13" s="8" t="inlineStr">
        <is>
          <t>Kitchen roll (shop-bought paper towels)</t>
        </is>
      </c>
      <c r="B13" s="8" t="inlineStr">
        <is>
          <t>厨房纸（卷筒）</t>
        </is>
      </c>
      <c r="C13" s="8" t="inlineStr">
        <is>
          <t>Shop-bought kitchen roll, not the lab dispenser towels; for spills, and one sheet is Y8 paper reference P4.</t>
        </is>
      </c>
      <c r="D13" s="8" t="inlineStr">
        <is>
          <t>Buy: used up</t>
        </is>
      </c>
      <c r="E13" s="8" t="inlineStr">
        <is>
          <t>Used up</t>
        </is>
      </c>
      <c r="F13" s="9">
        <f>ROUND('Data by week'!$AW$13*'Data by week'!$H$13,2)</f>
        <v/>
      </c>
      <c r="G13" s="9">
        <f>ROUND('Data by week'!$AX$13*'Data by week'!$H$13,2)</f>
        <v/>
      </c>
      <c r="H13" s="9">
        <f>ROUND('Data by week'!$AY$13*'Data by week'!$H$13,2)</f>
        <v/>
      </c>
      <c r="I13" s="10">
        <f>ROUNDUP(F13*'Read me'!$C$5+G13*'Read me'!$C$6+H13*'Read me'!$C$7,0)</f>
        <v/>
      </c>
      <c r="J13" s="8" t="inlineStr">
        <is>
          <t>rolls</t>
        </is>
      </c>
      <c r="K13" s="8" t="inlineStr">
        <is>
          <t>Week 6</t>
        </is>
      </c>
      <c r="L13" s="8" t="inlineStr">
        <is>
          <t>Year 7: W6, W7, W8; Year 8: W8; Year 9: W6, W8</t>
        </is>
      </c>
      <c r="M13" s="8" t="inlineStr">
        <is>
          <t>Both plans</t>
        </is>
      </c>
      <c r="N13" s="8" t="inlineStr">
        <is>
          <t>Mop up spills straight away so no one slips. Wipe up spills at once: a wet floor is slippery</t>
        </is>
      </c>
      <c r="O13" s="11" t="n"/>
      <c r="P13" s="11" t="n"/>
    </row>
    <row r="14">
      <c r="A14" s="8" t="inlineStr">
        <is>
          <t>Cotton wool</t>
        </is>
      </c>
      <c r="B14" s="8" t="inlineStr">
        <is>
          <t>棉花（脱脂棉）</t>
        </is>
      </c>
      <c r="C14" s="8" t="inlineStr">
        <is>
          <t>Sheet form for insulation squares; loose cotton wool or a cotton ball for the mystery cup and fibre.</t>
        </is>
      </c>
      <c r="D14" s="8" t="inlineStr">
        <is>
          <t>Buy: used up</t>
        </is>
      </c>
      <c r="E14" s="8" t="inlineStr">
        <is>
          <t>Used up</t>
        </is>
      </c>
      <c r="F14" s="9">
        <f>ROUND('Data by week'!$AW$14*'Data by week'!$H$14,2)</f>
        <v/>
      </c>
      <c r="G14" s="9">
        <f>ROUND('Data by week'!$AX$14*'Data by week'!$H$14,2)</f>
        <v/>
      </c>
      <c r="H14" s="9">
        <f>ROUND('Data by week'!$AY$14*'Data by week'!$H$14,2)</f>
        <v/>
      </c>
      <c r="I14" s="10">
        <f>ROUNDUP(F14*'Read me'!$C$5+G14*'Read me'!$C$6+H14*'Read me'!$C$7,0)</f>
        <v/>
      </c>
      <c r="J14" s="8" t="inlineStr">
        <is>
          <t>g</t>
        </is>
      </c>
      <c r="K14" s="8" t="inlineStr">
        <is>
          <t>Week 7</t>
        </is>
      </c>
      <c r="L14" s="8" t="inlineStr">
        <is>
          <t>Year 7: W7</t>
        </is>
      </c>
      <c r="M14" s="8" t="inlineStr">
        <is>
          <t>Both plans</t>
        </is>
      </c>
      <c r="N14" s="8" t="inlineStr"/>
      <c r="O14" s="11" t="n"/>
      <c r="P14" s="11" t="n"/>
    </row>
    <row r="15">
      <c r="A15" s="8" t="inlineStr">
        <is>
          <t>Paper tissues (facial tissues)</t>
        </is>
      </c>
      <c r="B15" s="8" t="inlineStr">
        <is>
          <t>面巾纸</t>
        </is>
      </c>
      <c r="C15" s="8" t="inlineStr">
        <is>
          <t>Plain facial tissues; Y7 fibre (torn into 5 mm pieces) and Y8 paper reference P3.</t>
        </is>
      </c>
      <c r="D15" s="8" t="inlineStr">
        <is>
          <t>Buy: used up</t>
        </is>
      </c>
      <c r="E15" s="8" t="inlineStr">
        <is>
          <t>Used up</t>
        </is>
      </c>
      <c r="F15" s="9">
        <f>ROUND('Data by week'!$AW$15*'Data by week'!$H$15,2)</f>
        <v/>
      </c>
      <c r="G15" s="9">
        <f>ROUND('Data by week'!$AX$15*'Data by week'!$H$15,2)</f>
        <v/>
      </c>
      <c r="H15" s="9">
        <f>ROUND('Data by week'!$AY$15*'Data by week'!$H$15,2)</f>
        <v/>
      </c>
      <c r="I15" s="10">
        <f>ROUNDUP(F15*'Read me'!$C$5+G15*'Read me'!$C$6+H15*'Read me'!$C$7,0)</f>
        <v/>
      </c>
      <c r="J15" s="8" t="inlineStr">
        <is>
          <t>g</t>
        </is>
      </c>
      <c r="K15" s="8" t="inlineStr">
        <is>
          <t>Week 7</t>
        </is>
      </c>
      <c r="L15" s="8" t="inlineStr">
        <is>
          <t>Year 7: W7</t>
        </is>
      </c>
      <c r="M15" s="8" t="inlineStr">
        <is>
          <t>Both plans</t>
        </is>
      </c>
      <c r="N15" s="8" t="inlineStr"/>
      <c r="O15" s="11" t="n"/>
      <c r="P15" s="11" t="n"/>
    </row>
    <row r="16">
      <c r="A16" s="8" t="inlineStr">
        <is>
          <t>Sawdust, untreated natural wood</t>
        </is>
      </c>
      <c r="B16" s="8" t="inlineStr">
        <is>
          <t>未经处理的木屑</t>
        </is>
      </c>
      <c r="C16" s="8" t="inlineStr">
        <is>
          <t>Untreated natural wood sawdust or pet-bedding wood shavings only; never MDF dust (resin glues). One small bag.</t>
        </is>
      </c>
      <c r="D16" s="8" t="inlineStr">
        <is>
          <t>Buy: used up</t>
        </is>
      </c>
      <c r="E16" s="8" t="inlineStr">
        <is>
          <t>Used up</t>
        </is>
      </c>
      <c r="F16" s="9">
        <f>ROUND('Data by week'!$AW$16*'Data by week'!$H$16,2)</f>
        <v/>
      </c>
      <c r="G16" s="9">
        <f>ROUND('Data by week'!$AX$16*'Data by week'!$H$16,2)</f>
        <v/>
      </c>
      <c r="H16" s="9">
        <f>ROUND('Data by week'!$AY$16*'Data by week'!$H$16,2)</f>
        <v/>
      </c>
      <c r="I16" s="10">
        <f>ROUNDUP(F16*'Read me'!$C$5+G16*'Read me'!$C$6+H16*'Read me'!$C$7,0)</f>
        <v/>
      </c>
      <c r="J16" s="8" t="inlineStr">
        <is>
          <t>g</t>
        </is>
      </c>
      <c r="K16" s="8" t="inlineStr">
        <is>
          <t>Week 7</t>
        </is>
      </c>
      <c r="L16" s="8" t="inlineStr">
        <is>
          <t>Year 7: W7</t>
        </is>
      </c>
      <c r="M16" s="8" t="inlineStr">
        <is>
          <t>Both plans</t>
        </is>
      </c>
      <c r="N16" s="8" t="inlineStr">
        <is>
          <t>Untreated natural wood sawdust or pet-bedding shavings only, never MDF dust (contains resin glues). Keep it damp in a sealed bag; do not blow it or tip it from a height. Broken ice and sawdust go in the bin, not the sink (blocks drains). Store leftovers sealed and labelled 'untreated, not MDF'.</t>
        </is>
      </c>
      <c r="O16" s="11" t="n"/>
      <c r="P16" s="11" t="n"/>
    </row>
    <row r="17">
      <c r="A17" s="8" t="inlineStr">
        <is>
          <t>Bags for soil samples, about 1 litre (holds about 2 cups of soil)</t>
        </is>
      </c>
      <c r="B17" s="8" t="inlineStr">
        <is>
          <t>土壤采样袋（约1升）</t>
        </is>
      </c>
      <c r="C17" s="8" t="inlineStr">
        <is>
          <t>Labelled bags, each holding about 2 cups (about 500 ml) of soil with room to close the top.</t>
        </is>
      </c>
      <c r="D17" s="8" t="inlineStr">
        <is>
          <t>Buy: used up</t>
        </is>
      </c>
      <c r="E17" s="8" t="inlineStr">
        <is>
          <t>Used up</t>
        </is>
      </c>
      <c r="F17" s="9">
        <f>ROUND('Data by week'!$AW$17*'Data by week'!$H$17,2)</f>
        <v/>
      </c>
      <c r="G17" s="9">
        <f>ROUND('Data by week'!$AX$17*'Data by week'!$H$17,2)</f>
        <v/>
      </c>
      <c r="H17" s="9">
        <f>ROUND('Data by week'!$AY$17*'Data by week'!$H$17,2)</f>
        <v/>
      </c>
      <c r="I17" s="10">
        <f>ROUNDUP(F17*'Read me'!$C$5+G17*'Read me'!$C$6+H17*'Read me'!$C$7,0)</f>
        <v/>
      </c>
      <c r="J17" s="8" t="inlineStr">
        <is>
          <t>bags</t>
        </is>
      </c>
      <c r="K17" s="8" t="inlineStr">
        <is>
          <t>Week 8</t>
        </is>
      </c>
      <c r="L17" s="8" t="inlineStr">
        <is>
          <t>Year 8: W8</t>
        </is>
      </c>
      <c r="M17" s="8" t="inlineStr">
        <is>
          <t>Both plans</t>
        </is>
      </c>
      <c r="N17" s="8" t="inlineStr"/>
      <c r="O17" s="11" t="n"/>
      <c r="P17" s="11" t="n"/>
    </row>
    <row r="18">
      <c r="A18" s="8" t="inlineStr">
        <is>
          <t>Fizzy drink, small bottles</t>
        </is>
      </c>
      <c r="B18" s="8" t="inlineStr">
        <is>
          <t>碳酸饮料（小瓶装）</t>
        </is>
      </c>
      <c r="C18" s="8" t="inlineStr">
        <is>
          <t>4 identical small bottles of the same drink; bring to room temperature; never drunk.</t>
        </is>
      </c>
      <c r="D18" s="8" t="inlineStr">
        <is>
          <t>Buy: used up</t>
        </is>
      </c>
      <c r="E18" s="8" t="inlineStr">
        <is>
          <t>Used up</t>
        </is>
      </c>
      <c r="F18" s="9">
        <f>ROUND('Data by week'!$AW$19*'Data by week'!$H$19,2)</f>
        <v/>
      </c>
      <c r="G18" s="9">
        <f>ROUND('Data by week'!$AX$19*'Data by week'!$H$19,2)</f>
        <v/>
      </c>
      <c r="H18" s="9">
        <f>ROUND('Data by week'!$AY$19*'Data by week'!$H$19,2)</f>
        <v/>
      </c>
      <c r="I18" s="10">
        <f>ROUNDUP(F18*'Read me'!$C$5+G18*'Read me'!$C$6+H18*'Read me'!$C$7,0)</f>
        <v/>
      </c>
      <c r="J18" s="8" t="inlineStr">
        <is>
          <t>bottles</t>
        </is>
      </c>
      <c r="K18" s="8" t="inlineStr">
        <is>
          <t>Week 8</t>
        </is>
      </c>
      <c r="L18" s="8" t="inlineStr">
        <is>
          <t>Year 9: W8</t>
        </is>
      </c>
      <c r="M18" s="8" t="inlineStr">
        <is>
          <t>Both plans</t>
        </is>
      </c>
      <c r="N18" s="8" t="inlineStr">
        <is>
          <t>Never drink it and do not shake it. The teacher pours it away; the bottles go into recycling</t>
        </is>
      </c>
      <c r="O18" s="11" t="n"/>
      <c r="P18" s="11" t="n"/>
    </row>
    <row r="19">
      <c r="A19" s="8" t="inlineStr">
        <is>
          <t>Flat sticks for levelling spoonfuls</t>
        </is>
      </c>
      <c r="B19" s="8" t="inlineStr">
        <is>
          <t>刮平用扁木棒</t>
        </is>
      </c>
      <c r="C19" s="8" t="inlineStr">
        <is>
          <t>Any flat stick that levels a tablespoon of soil.</t>
        </is>
      </c>
      <c r="D19" s="8" t="inlineStr">
        <is>
          <t>Buy: used up</t>
        </is>
      </c>
      <c r="E19" s="8" t="inlineStr">
        <is>
          <t>Used up</t>
        </is>
      </c>
      <c r="F19" s="9">
        <f>ROUND('Data by week'!$AW$20*'Data by week'!$H$20,2)</f>
        <v/>
      </c>
      <c r="G19" s="9">
        <f>ROUND('Data by week'!$AX$20*'Data by week'!$H$20,2)</f>
        <v/>
      </c>
      <c r="H19" s="9">
        <f>ROUND('Data by week'!$AY$20*'Data by week'!$H$20,2)</f>
        <v/>
      </c>
      <c r="I19" s="10">
        <f>ROUNDUP(F19*'Read me'!$C$5+G19*'Read me'!$C$6+H19*'Read me'!$C$7,0)</f>
        <v/>
      </c>
      <c r="J19" s="8" t="inlineStr">
        <is>
          <t>sticks</t>
        </is>
      </c>
      <c r="K19" s="8" t="inlineStr">
        <is>
          <t>Week 8</t>
        </is>
      </c>
      <c r="L19" s="8" t="inlineStr">
        <is>
          <t>Year 8: W8</t>
        </is>
      </c>
      <c r="M19" s="8" t="inlineStr">
        <is>
          <t>Both plans</t>
        </is>
      </c>
      <c r="N19" s="8" t="inlineStr"/>
      <c r="O19" s="11" t="n"/>
      <c r="P19" s="11" t="n"/>
    </row>
    <row r="20">
      <c r="A20" s="8" t="inlineStr">
        <is>
          <t>Paper tissues (facial tissues)</t>
        </is>
      </c>
      <c r="B20" s="8" t="inlineStr">
        <is>
          <t>面巾纸</t>
        </is>
      </c>
      <c r="C20" s="8" t="inlineStr">
        <is>
          <t>Plain facial tissues; Y7 fibre (torn into 5 mm pieces) and Y8 paper reference P3.</t>
        </is>
      </c>
      <c r="D20" s="8" t="inlineStr">
        <is>
          <t>Buy: used up</t>
        </is>
      </c>
      <c r="E20" s="8" t="inlineStr">
        <is>
          <t>Used up</t>
        </is>
      </c>
      <c r="F20" s="9">
        <f>ROUND('Data by week'!$AW$21*'Data by week'!$H$21,2)</f>
        <v/>
      </c>
      <c r="G20" s="9">
        <f>ROUND('Data by week'!$AX$21*'Data by week'!$H$21,2)</f>
        <v/>
      </c>
      <c r="H20" s="9">
        <f>ROUND('Data by week'!$AY$21*'Data by week'!$H$21,2)</f>
        <v/>
      </c>
      <c r="I20" s="10">
        <f>ROUNDUP(F20*'Read me'!$C$5+G20*'Read me'!$C$6+H20*'Read me'!$C$7,0)</f>
        <v/>
      </c>
      <c r="J20" s="8" t="inlineStr">
        <is>
          <t>tissues</t>
        </is>
      </c>
      <c r="K20" s="8" t="inlineStr">
        <is>
          <t>Week 8</t>
        </is>
      </c>
      <c r="L20" s="8" t="inlineStr">
        <is>
          <t>Year 8: W8</t>
        </is>
      </c>
      <c r="M20" s="8" t="inlineStr">
        <is>
          <t>Both plans</t>
        </is>
      </c>
      <c r="N20" s="8" t="inlineStr"/>
      <c r="O20" s="11" t="n"/>
      <c r="P20" s="11" t="n"/>
    </row>
    <row r="21">
      <c r="A21" s="8" t="inlineStr">
        <is>
          <t>Paper towels, three different brands</t>
        </is>
      </c>
      <c r="B21" s="8" t="inlineStr">
        <is>
          <t>纸巾（3个不同品牌，各1卷或1包）</t>
        </is>
      </c>
      <c r="C21" s="8" t="inlineStr">
        <is>
          <t>One roll or pack of each of 3 brands; the teacher relabels them A, B and C and keeps the key.</t>
        </is>
      </c>
      <c r="D21" s="8" t="inlineStr">
        <is>
          <t>Buy: used up</t>
        </is>
      </c>
      <c r="E21" s="8" t="inlineStr">
        <is>
          <t>Used up</t>
        </is>
      </c>
      <c r="F21" s="9">
        <f>ROUND('Data by week'!$AW$22*'Data by week'!$H$22,2)</f>
        <v/>
      </c>
      <c r="G21" s="9">
        <f>ROUND('Data by week'!$AX$22*'Data by week'!$H$22,2)</f>
        <v/>
      </c>
      <c r="H21" s="9">
        <f>ROUND('Data by week'!$AY$22*'Data by week'!$H$22,2)</f>
        <v/>
      </c>
      <c r="I21" s="10">
        <f>ROUNDUP(F21*'Read me'!$C$5+G21*'Read me'!$C$6+H21*'Read me'!$C$7,0)</f>
        <v/>
      </c>
      <c r="J21" s="8" t="inlineStr">
        <is>
          <t>rolls (1 per brand)</t>
        </is>
      </c>
      <c r="K21" s="8" t="inlineStr">
        <is>
          <t>Week 8</t>
        </is>
      </c>
      <c r="L21" s="8" t="inlineStr">
        <is>
          <t>Year 9: W8</t>
        </is>
      </c>
      <c r="M21" s="8" t="inlineStr">
        <is>
          <t>Both plans</t>
        </is>
      </c>
      <c r="N21" s="8" t="inlineStr">
        <is>
          <t>Wipe up drips at once</t>
        </is>
      </c>
      <c r="O21" s="11" t="n"/>
      <c r="P21" s="11" t="n"/>
    </row>
    <row r="22">
      <c r="A22" s="8" t="inlineStr">
        <is>
          <t>Black washable felt-tip pens, four different brands</t>
        </is>
      </c>
      <c r="B22" s="8" t="inlineStr">
        <is>
          <t>黑色可水洗水彩笔（水性墨水，4个不同品牌）</t>
        </is>
      </c>
      <c r="C22" s="8" t="inlineStr">
        <is>
          <t>Black, washable (water-based) felt-tip pens from four different brands; not permanent markers. Cover brand names with masking tape and label A to D after the pre-test.</t>
        </is>
      </c>
      <c r="D22" s="8" t="inlineStr">
        <is>
          <t>Buy: reusable</t>
        </is>
      </c>
      <c r="E22" s="8" t="inlineStr">
        <is>
          <t>Reusable</t>
        </is>
      </c>
      <c r="F22" s="9">
        <f>ROUND(MAX(N('Data by week'!$I$24)*'Data by week'!$H$24,N('Data by week'!$J$24)*'Data by week'!$H$24,N('Data by week'!$K$24)*'Data by week'!$H$24,N('Data by week'!$L$24)*'Data by week'!$H$24,N('Data by week'!$M$24)*'Data by week'!$H$24,N('Data by week'!$N$24)*'Data by week'!$H$24,N('Data by week'!$O$24)*'Data by week'!$H$24,N('Data by week'!$P$24)*'Data by week'!$H$24,N('Data by week'!$Q$24)*'Data by week'!$H$24,N('Data by week'!$R$24)*'Data by week'!$H$24),2)</f>
        <v/>
      </c>
      <c r="G22" s="9">
        <f>ROUND(MAX(N('Data by week'!$S$24)*'Data by week'!$H$24,N('Data by week'!$T$24)*'Data by week'!$H$24,N('Data by week'!$U$24)*'Data by week'!$H$24,N('Data by week'!$V$24)*'Data by week'!$H$24,N('Data by week'!$W$24)*'Data by week'!$H$24,N('Data by week'!$X$24)*'Data by week'!$H$24,N('Data by week'!$Y$24)*'Data by week'!$H$24,N('Data by week'!$Z$24)*'Data by week'!$H$24,N('Data by week'!$AA$24)*'Data by week'!$H$24,N('Data by week'!$AB$24)*'Data by week'!$H$24),2)</f>
        <v/>
      </c>
      <c r="H22" s="9">
        <f>ROUND(MAX(N('Data by week'!$AC$24)*'Data by week'!$H$24,N('Data by week'!$AD$24)*'Data by week'!$H$24,N('Data by week'!$AE$24)*'Data by week'!$H$24,N('Data by week'!$AF$24)*'Data by week'!$H$24,N('Data by week'!$AG$24)*'Data by week'!$H$24,N('Data by week'!$AH$24)*'Data by week'!$H$24,N('Data by week'!$AI$24)*'Data by week'!$H$24,N('Data by week'!$AJ$24)*'Data by week'!$H$24,N('Data by week'!$AK$24)*'Data by week'!$H$24,N('Data by week'!$AL$24)*'Data by week'!$H$24),2)</f>
        <v/>
      </c>
      <c r="I22" s="10">
        <f>MAX(F22:H22)</f>
        <v/>
      </c>
      <c r="J22" s="8" t="inlineStr">
        <is>
          <t>pens</t>
        </is>
      </c>
      <c r="K22" s="8" t="inlineStr">
        <is>
          <t>Week 1</t>
        </is>
      </c>
      <c r="L22" s="8" t="inlineStr">
        <is>
          <t>Year 8: W1, W3, W8</t>
        </is>
      </c>
      <c r="M22" s="8" t="inlineStr">
        <is>
          <t>Both plans</t>
        </is>
      </c>
      <c r="N22" s="8" t="inlineStr">
        <is>
          <t>Ink stains clothes: keep caps on. Pen B never sits on a student table except as a labelled reference pen. Permanent markers will not work (ink does not move with water).</t>
        </is>
      </c>
      <c r="O22" s="11" t="n"/>
      <c r="P22" s="11" t="n"/>
    </row>
    <row r="23">
      <c r="A23" s="8" t="inlineStr">
        <is>
          <t>Storage boxes, plastic with lid</t>
        </is>
      </c>
      <c r="B23" s="8" t="inlineStr">
        <is>
          <t>带盖塑料收纳箱</t>
        </is>
      </c>
      <c r="C23" s="8" t="inlineStr">
        <is>
          <t>Lidded storage boxes big enough for 24 A4 case files or logbooks; also the Y7 mystery-cup box and Ice Engineers kit box.</t>
        </is>
      </c>
      <c r="D23" s="8" t="inlineStr">
        <is>
          <t>Buy: reusable</t>
        </is>
      </c>
      <c r="E23" s="8" t="inlineStr">
        <is>
          <t>Reusable</t>
        </is>
      </c>
      <c r="F23" s="9">
        <f>ROUND(MAX(N('Data by week'!$I$25)*'Data by week'!$H$25,N('Data by week'!$J$25)*'Data by week'!$H$25,N('Data by week'!$K$25)*'Data by week'!$H$25,N('Data by week'!$L$25)*'Data by week'!$H$25,N('Data by week'!$M$25)*'Data by week'!$H$25,N('Data by week'!$N$25)*'Data by week'!$H$25,N('Data by week'!$O$25)*'Data by week'!$H$25,N('Data by week'!$P$25)*'Data by week'!$H$25,N('Data by week'!$Q$25)*'Data by week'!$H$25,N('Data by week'!$R$25)*'Data by week'!$H$25),2)</f>
        <v/>
      </c>
      <c r="G23" s="9">
        <f>ROUND(MAX(N('Data by week'!$S$25)*'Data by week'!$H$25,N('Data by week'!$T$25)*'Data by week'!$H$25,N('Data by week'!$U$25)*'Data by week'!$H$25,N('Data by week'!$V$25)*'Data by week'!$H$25,N('Data by week'!$W$25)*'Data by week'!$H$25,N('Data by week'!$X$25)*'Data by week'!$H$25,N('Data by week'!$Y$25)*'Data by week'!$H$25,N('Data by week'!$Z$25)*'Data by week'!$H$25,N('Data by week'!$AA$25)*'Data by week'!$H$25,N('Data by week'!$AB$25)*'Data by week'!$H$25),2)</f>
        <v/>
      </c>
      <c r="H23" s="9">
        <f>ROUND(MAX(N('Data by week'!$AC$25)*'Data by week'!$H$25,N('Data by week'!$AD$25)*'Data by week'!$H$25,N('Data by week'!$AE$25)*'Data by week'!$H$25,N('Data by week'!$AF$25)*'Data by week'!$H$25,N('Data by week'!$AG$25)*'Data by week'!$H$25,N('Data by week'!$AH$25)*'Data by week'!$H$25,N('Data by week'!$AI$25)*'Data by week'!$H$25,N('Data by week'!$AJ$25)*'Data by week'!$H$25,N('Data by week'!$AK$25)*'Data by week'!$H$25,N('Data by week'!$AL$25)*'Data by week'!$H$25),2)</f>
        <v/>
      </c>
      <c r="I23" s="10">
        <f>MAX(F23:H23)</f>
        <v/>
      </c>
      <c r="J23" s="8" t="inlineStr">
        <is>
          <t>boxes</t>
        </is>
      </c>
      <c r="K23" s="8" t="inlineStr">
        <is>
          <t>Week 1</t>
        </is>
      </c>
      <c r="L23" s="8" t="inlineStr">
        <is>
          <t>Year 7: W1, W2, W10; Year 8: W1</t>
        </is>
      </c>
      <c r="M23" s="8" t="inlineStr">
        <is>
          <t>Both plans</t>
        </is>
      </c>
      <c r="N23" s="8" t="inlineStr"/>
      <c r="O23" s="11" t="n"/>
      <c r="P23" s="11" t="n"/>
    </row>
    <row r="24">
      <c r="A24" s="8" t="inlineStr">
        <is>
          <t>Small lidded pots</t>
        </is>
      </c>
      <c r="B24" s="8" t="inlineStr">
        <is>
          <t>带盖小样品盒</t>
        </is>
      </c>
      <c r="C24" s="8" t="inlineStr">
        <is>
          <t>Small pots with lids, labelled.</t>
        </is>
      </c>
      <c r="D24" s="8" t="inlineStr">
        <is>
          <t>Buy: reusable</t>
        </is>
      </c>
      <c r="E24" s="8" t="inlineStr">
        <is>
          <t>Reusable</t>
        </is>
      </c>
      <c r="F24" s="9">
        <f>ROUND(MAX(N('Data by week'!$I$26)*'Data by week'!$H$26,N('Data by week'!$J$26)*'Data by week'!$H$26,N('Data by week'!$K$26)*'Data by week'!$H$26,N('Data by week'!$L$26)*'Data by week'!$H$26,N('Data by week'!$M$26)*'Data by week'!$H$26,N('Data by week'!$N$26)*'Data by week'!$H$26,N('Data by week'!$O$26)*'Data by week'!$H$26,N('Data by week'!$P$26)*'Data by week'!$H$26,N('Data by week'!$Q$26)*'Data by week'!$H$26,N('Data by week'!$R$26)*'Data by week'!$H$26),2)</f>
        <v/>
      </c>
      <c r="G24" s="9">
        <f>ROUND(MAX(N('Data by week'!$S$26)*'Data by week'!$H$26,N('Data by week'!$T$26)*'Data by week'!$H$26,N('Data by week'!$U$26)*'Data by week'!$H$26,N('Data by week'!$V$26)*'Data by week'!$H$26,N('Data by week'!$W$26)*'Data by week'!$H$26,N('Data by week'!$X$26)*'Data by week'!$H$26,N('Data by week'!$Y$26)*'Data by week'!$H$26,N('Data by week'!$Z$26)*'Data by week'!$H$26,N('Data by week'!$AA$26)*'Data by week'!$H$26,N('Data by week'!$AB$26)*'Data by week'!$H$26),2)</f>
        <v/>
      </c>
      <c r="H24" s="9">
        <f>ROUND(MAX(N('Data by week'!$AC$26)*'Data by week'!$H$26,N('Data by week'!$AD$26)*'Data by week'!$H$26,N('Data by week'!$AE$26)*'Data by week'!$H$26,N('Data by week'!$AF$26)*'Data by week'!$H$26,N('Data by week'!$AG$26)*'Data by week'!$H$26,N('Data by week'!$AH$26)*'Data by week'!$H$26,N('Data by week'!$AI$26)*'Data by week'!$H$26,N('Data by week'!$AJ$26)*'Data by week'!$H$26,N('Data by week'!$AK$26)*'Data by week'!$H$26,N('Data by week'!$AL$26)*'Data by week'!$H$26),2)</f>
        <v/>
      </c>
      <c r="I24" s="10">
        <f>MAX(F24:H24)</f>
        <v/>
      </c>
      <c r="J24" s="8" t="inlineStr">
        <is>
          <t>pots</t>
        </is>
      </c>
      <c r="K24" s="8" t="inlineStr">
        <is>
          <t>Week 4</t>
        </is>
      </c>
      <c r="L24" s="8" t="inlineStr">
        <is>
          <t>Year 8: W4, W8</t>
        </is>
      </c>
      <c r="M24" s="8" t="inlineStr">
        <is>
          <t>Both plans</t>
        </is>
      </c>
      <c r="N24" s="8" t="inlineStr"/>
      <c r="O24" s="11" t="n"/>
      <c r="P24" s="11" t="n"/>
    </row>
    <row r="25">
      <c r="A25" s="8" t="inlineStr">
        <is>
          <t>Ballpoint pens, identical</t>
        </is>
      </c>
      <c r="B25" s="8" t="inlineStr">
        <is>
          <t>圆珠笔（同款同色）</t>
        </is>
      </c>
      <c r="C25" s="8" t="inlineStr">
        <is>
          <t>24 identical pens: same model and colour, ideally new; check every one writes. Reused for raw data in later weeks.</t>
        </is>
      </c>
      <c r="D25" s="8" t="inlineStr">
        <is>
          <t>Buy: reusable</t>
        </is>
      </c>
      <c r="E25" s="8" t="inlineStr">
        <is>
          <t>Reusable</t>
        </is>
      </c>
      <c r="F25" s="9">
        <f>ROUND(MAX(N('Data by week'!$I$27)*'Data by week'!$H$27,N('Data by week'!$J$27)*'Data by week'!$H$27,N('Data by week'!$K$27)*'Data by week'!$H$27,N('Data by week'!$L$27)*'Data by week'!$H$27,N('Data by week'!$M$27)*'Data by week'!$H$27,N('Data by week'!$N$27)*'Data by week'!$H$27,N('Data by week'!$O$27)*'Data by week'!$H$27,N('Data by week'!$P$27)*'Data by week'!$H$27,N('Data by week'!$Q$27)*'Data by week'!$H$27,N('Data by week'!$R$27)*'Data by week'!$H$27),2)</f>
        <v/>
      </c>
      <c r="G25" s="9">
        <f>ROUND(MAX(N('Data by week'!$S$27)*'Data by week'!$H$27,N('Data by week'!$T$27)*'Data by week'!$H$27,N('Data by week'!$U$27)*'Data by week'!$H$27,N('Data by week'!$V$27)*'Data by week'!$H$27,N('Data by week'!$W$27)*'Data by week'!$H$27,N('Data by week'!$X$27)*'Data by week'!$H$27,N('Data by week'!$Y$27)*'Data by week'!$H$27,N('Data by week'!$Z$27)*'Data by week'!$H$27,N('Data by week'!$AA$27)*'Data by week'!$H$27,N('Data by week'!$AB$27)*'Data by week'!$H$27),2)</f>
        <v/>
      </c>
      <c r="H25" s="9">
        <f>ROUND(MAX(N('Data by week'!$AC$27)*'Data by week'!$H$27,N('Data by week'!$AD$27)*'Data by week'!$H$27,N('Data by week'!$AE$27)*'Data by week'!$H$27,N('Data by week'!$AF$27)*'Data by week'!$H$27,N('Data by week'!$AG$27)*'Data by week'!$H$27,N('Data by week'!$AH$27)*'Data by week'!$H$27,N('Data by week'!$AI$27)*'Data by week'!$H$27,N('Data by week'!$AJ$27)*'Data by week'!$H$27,N('Data by week'!$AK$27)*'Data by week'!$H$27,N('Data by week'!$AL$27)*'Data by week'!$H$27),2)</f>
        <v/>
      </c>
      <c r="I25" s="10">
        <f>MAX(F25:H25)</f>
        <v/>
      </c>
      <c r="J25" s="8" t="inlineStr">
        <is>
          <t>pens</t>
        </is>
      </c>
      <c r="K25" s="8" t="inlineStr">
        <is>
          <t>Week 5</t>
        </is>
      </c>
      <c r="L25" s="8" t="inlineStr">
        <is>
          <t>Year 9: W5, W8, W9</t>
        </is>
      </c>
      <c r="M25" s="8" t="inlineStr">
        <is>
          <t>Both plans</t>
        </is>
      </c>
      <c r="N25" s="8" t="inlineStr">
        <is>
          <t>Week 5 involves mild deception, so: explain the secret in the same lesson straight after the test; taking part is voluntary; any student may withdraw their score</t>
        </is>
      </c>
      <c r="O25" s="11" t="n"/>
      <c r="P25" s="11" t="n"/>
    </row>
    <row r="26">
      <c r="A26" s="8" t="inlineStr">
        <is>
          <t>Cool box, insulated, with lid</t>
        </is>
      </c>
      <c r="B26" s="8" t="inlineStr">
        <is>
          <t>保温箱（带盖）</t>
        </is>
      </c>
      <c r="C26" s="8" t="inlineStr">
        <is>
          <t>Insulated cool box with lid; big enough for 2 to 3 kg of ice or a group's flat tray of ice strips.</t>
        </is>
      </c>
      <c r="D26" s="8" t="inlineStr">
        <is>
          <t>Buy: reusable</t>
        </is>
      </c>
      <c r="E26" s="8" t="inlineStr">
        <is>
          <t>Reusable</t>
        </is>
      </c>
      <c r="F26" s="9">
        <f>ROUND(MAX(N('Data by week'!$I$28)*'Data by week'!$H$28,N('Data by week'!$J$28)*'Data by week'!$H$28,N('Data by week'!$K$28)*'Data by week'!$H$28,N('Data by week'!$L$28)*'Data by week'!$H$28,N('Data by week'!$M$28)*'Data by week'!$H$28,N('Data by week'!$N$28)*'Data by week'!$H$28,N('Data by week'!$O$28)*'Data by week'!$H$28,N('Data by week'!$P$28)*'Data by week'!$H$28,N('Data by week'!$Q$28)*'Data by week'!$H$28,N('Data by week'!$R$28)*'Data by week'!$H$28),2)</f>
        <v/>
      </c>
      <c r="G26" s="9">
        <f>ROUND(MAX(N('Data by week'!$S$28)*'Data by week'!$H$28,N('Data by week'!$T$28)*'Data by week'!$H$28,N('Data by week'!$U$28)*'Data by week'!$H$28,N('Data by week'!$V$28)*'Data by week'!$H$28,N('Data by week'!$W$28)*'Data by week'!$H$28,N('Data by week'!$X$28)*'Data by week'!$H$28,N('Data by week'!$Y$28)*'Data by week'!$H$28,N('Data by week'!$Z$28)*'Data by week'!$H$28,N('Data by week'!$AA$28)*'Data by week'!$H$28,N('Data by week'!$AB$28)*'Data by week'!$H$28),2)</f>
        <v/>
      </c>
      <c r="H26" s="9">
        <f>ROUND(MAX(N('Data by week'!$AC$28)*'Data by week'!$H$28,N('Data by week'!$AD$28)*'Data by week'!$H$28,N('Data by week'!$AE$28)*'Data by week'!$H$28,N('Data by week'!$AF$28)*'Data by week'!$H$28,N('Data by week'!$AG$28)*'Data by week'!$H$28,N('Data by week'!$AH$28)*'Data by week'!$H$28,N('Data by week'!$AI$28)*'Data by week'!$H$28,N('Data by week'!$AJ$28)*'Data by week'!$H$28,N('Data by week'!$AK$28)*'Data by week'!$H$28,N('Data by week'!$AL$28)*'Data by week'!$H$28),2)</f>
        <v/>
      </c>
      <c r="I26" s="10">
        <f>MAX(F26:H26)</f>
        <v/>
      </c>
      <c r="J26" s="8" t="inlineStr">
        <is>
          <t>boxes</t>
        </is>
      </c>
      <c r="K26" s="8" t="inlineStr">
        <is>
          <t>Week 6</t>
        </is>
      </c>
      <c r="L26" s="8" t="inlineStr">
        <is>
          <t>Year 7: W6, W8; Year 9: W6, W8</t>
        </is>
      </c>
      <c r="M26" s="8" t="inlineStr">
        <is>
          <t>Plan A (freezer)</t>
        </is>
      </c>
      <c r="N26" s="8" t="inlineStr"/>
      <c r="O26" s="11" t="n"/>
      <c r="P26" s="11" t="n"/>
    </row>
    <row r="27">
      <c r="A27" s="8" t="inlineStr">
        <is>
          <t>Height charts, paper, for the wall, 130 to 190 cm</t>
        </is>
      </c>
      <c r="B27" s="8" t="inlineStr">
        <is>
          <t>纸质身高表（墙贴，130至190厘米）</t>
        </is>
      </c>
      <c r="C27" s="8" t="inlineStr">
        <is>
          <t>Wall height chart covering 130 to 190 cm.</t>
        </is>
      </c>
      <c r="D27" s="8" t="inlineStr">
        <is>
          <t>Buy: reusable</t>
        </is>
      </c>
      <c r="E27" s="8" t="inlineStr">
        <is>
          <t>Reusable</t>
        </is>
      </c>
      <c r="F27" s="9">
        <f>ROUND(MAX(N('Data by week'!$I$29)*'Data by week'!$H$29,N('Data by week'!$J$29)*'Data by week'!$H$29,N('Data by week'!$K$29)*'Data by week'!$H$29,N('Data by week'!$L$29)*'Data by week'!$H$29,N('Data by week'!$M$29)*'Data by week'!$H$29,N('Data by week'!$N$29)*'Data by week'!$H$29,N('Data by week'!$O$29)*'Data by week'!$H$29,N('Data by week'!$P$29)*'Data by week'!$H$29,N('Data by week'!$Q$29)*'Data by week'!$H$29,N('Data by week'!$R$29)*'Data by week'!$H$29),2)</f>
        <v/>
      </c>
      <c r="G27" s="9">
        <f>ROUND(MAX(N('Data by week'!$S$29)*'Data by week'!$H$29,N('Data by week'!$T$29)*'Data by week'!$H$29,N('Data by week'!$U$29)*'Data by week'!$H$29,N('Data by week'!$V$29)*'Data by week'!$H$29,N('Data by week'!$W$29)*'Data by week'!$H$29,N('Data by week'!$X$29)*'Data by week'!$H$29,N('Data by week'!$Y$29)*'Data by week'!$H$29,N('Data by week'!$Z$29)*'Data by week'!$H$29,N('Data by week'!$AA$29)*'Data by week'!$H$29,N('Data by week'!$AB$29)*'Data by week'!$H$29),2)</f>
        <v/>
      </c>
      <c r="H27" s="9">
        <f>ROUND(MAX(N('Data by week'!$AC$29)*'Data by week'!$H$29,N('Data by week'!$AD$29)*'Data by week'!$H$29,N('Data by week'!$AE$29)*'Data by week'!$H$29,N('Data by week'!$AF$29)*'Data by week'!$H$29,N('Data by week'!$AG$29)*'Data by week'!$H$29,N('Data by week'!$AH$29)*'Data by week'!$H$29,N('Data by week'!$AI$29)*'Data by week'!$H$29,N('Data by week'!$AJ$29)*'Data by week'!$H$29,N('Data by week'!$AK$29)*'Data by week'!$H$29,N('Data by week'!$AL$29)*'Data by week'!$H$29),2)</f>
        <v/>
      </c>
      <c r="I27" s="10">
        <f>MAX(F27:H27)</f>
        <v/>
      </c>
      <c r="J27" s="8" t="inlineStr">
        <is>
          <t>charts</t>
        </is>
      </c>
      <c r="K27" s="8" t="inlineStr">
        <is>
          <t>Week 6</t>
        </is>
      </c>
      <c r="L27" s="8" t="inlineStr">
        <is>
          <t>Year 8: W6</t>
        </is>
      </c>
      <c r="M27" s="8" t="inlineStr">
        <is>
          <t>Both plans</t>
        </is>
      </c>
      <c r="N27" s="8" t="inlineStr">
        <is>
          <t>Shoes off for measuring and under desks, not in walkways; no standing on chairs or tables; measuring is voluntary and data have numbers, not names.</t>
        </is>
      </c>
      <c r="O27" s="11" t="n"/>
      <c r="P27" s="11" t="n"/>
    </row>
    <row r="28">
      <c r="A28" s="8" t="inlineStr">
        <is>
          <t>Ice-cube trays</t>
        </is>
      </c>
      <c r="B28" s="8" t="inlineStr">
        <is>
          <t>冰格</t>
        </is>
      </c>
      <c r="C28" s="8" t="inlineStr">
        <is>
          <t>Two of the same tray type.</t>
        </is>
      </c>
      <c r="D28" s="8" t="inlineStr">
        <is>
          <t>Buy: reusable</t>
        </is>
      </c>
      <c r="E28" s="8" t="inlineStr">
        <is>
          <t>Reusable</t>
        </is>
      </c>
      <c r="F28" s="9">
        <f>ROUND(MAX(N('Data by week'!$I$30)*'Data by week'!$H$30,N('Data by week'!$J$30)*'Data by week'!$H$30,N('Data by week'!$K$30)*'Data by week'!$H$30,N('Data by week'!$L$30)*'Data by week'!$H$30,N('Data by week'!$M$30)*'Data by week'!$H$30,N('Data by week'!$N$30)*'Data by week'!$H$30,N('Data by week'!$O$30)*'Data by week'!$H$30,N('Data by week'!$P$30)*'Data by week'!$H$30,N('Data by week'!$Q$30)*'Data by week'!$H$30,N('Data by week'!$R$30)*'Data by week'!$H$30),2)</f>
        <v/>
      </c>
      <c r="G28" s="9">
        <f>ROUND(MAX(N('Data by week'!$S$30)*'Data by week'!$H$30,N('Data by week'!$T$30)*'Data by week'!$H$30,N('Data by week'!$U$30)*'Data by week'!$H$30,N('Data by week'!$V$30)*'Data by week'!$H$30,N('Data by week'!$W$30)*'Data by week'!$H$30,N('Data by week'!$X$30)*'Data by week'!$H$30,N('Data by week'!$Y$30)*'Data by week'!$H$30,N('Data by week'!$Z$30)*'Data by week'!$H$30,N('Data by week'!$AA$30)*'Data by week'!$H$30,N('Data by week'!$AB$30)*'Data by week'!$H$30),2)</f>
        <v/>
      </c>
      <c r="H28" s="9">
        <f>ROUND(MAX(N('Data by week'!$AC$30)*'Data by week'!$H$30,N('Data by week'!$AD$30)*'Data by week'!$H$30,N('Data by week'!$AE$30)*'Data by week'!$H$30,N('Data by week'!$AF$30)*'Data by week'!$H$30,N('Data by week'!$AG$30)*'Data by week'!$H$30,N('Data by week'!$AH$30)*'Data by week'!$H$30,N('Data by week'!$AI$30)*'Data by week'!$H$30,N('Data by week'!$AJ$30)*'Data by week'!$H$30,N('Data by week'!$AK$30)*'Data by week'!$H$30,N('Data by week'!$AL$30)*'Data by week'!$H$30),2)</f>
        <v/>
      </c>
      <c r="I28" s="10">
        <f>MAX(F28:H28)</f>
        <v/>
      </c>
      <c r="J28" s="8" t="inlineStr">
        <is>
          <t>trays</t>
        </is>
      </c>
      <c r="K28" s="8" t="inlineStr">
        <is>
          <t>Week 6</t>
        </is>
      </c>
      <c r="L28" s="8" t="inlineStr">
        <is>
          <t>Year 7: W6</t>
        </is>
      </c>
      <c r="M28" s="8" t="inlineStr">
        <is>
          <t>Plan A (freezer)</t>
        </is>
      </c>
      <c r="N28" s="8" t="inlineStr"/>
      <c r="O28" s="11" t="n"/>
      <c r="P28" s="11" t="n"/>
    </row>
    <row r="29">
      <c r="A29" s="8" t="inlineStr">
        <is>
          <t>Polystyrene cups (insulated foam cups)</t>
        </is>
      </c>
      <c r="B29" s="8" t="inlineStr">
        <is>
          <t>泡沫杯（聚苯乙烯，隔热）</t>
        </is>
      </c>
      <c r="C29" s="8" t="inlineStr">
        <is>
          <t>Insulated cup for the freezing mixture; two nested plastic cups will do instead.</t>
        </is>
      </c>
      <c r="D29" s="8" t="inlineStr">
        <is>
          <t>Buy: reusable</t>
        </is>
      </c>
      <c r="E29" s="8" t="inlineStr">
        <is>
          <t>Reusable</t>
        </is>
      </c>
      <c r="F29" s="9">
        <f>ROUND(MAX(N('Data by week'!$I$31)*'Data by week'!$H$31,N('Data by week'!$J$31)*'Data by week'!$H$31,N('Data by week'!$K$31)*'Data by week'!$H$31,N('Data by week'!$L$31)*'Data by week'!$H$31,N('Data by week'!$M$31)*'Data by week'!$H$31,N('Data by week'!$N$31)*'Data by week'!$H$31,N('Data by week'!$O$31)*'Data by week'!$H$31,N('Data by week'!$P$31)*'Data by week'!$H$31,N('Data by week'!$Q$31)*'Data by week'!$H$31,N('Data by week'!$R$31)*'Data by week'!$H$31),2)</f>
        <v/>
      </c>
      <c r="G29" s="9">
        <f>ROUND(MAX(N('Data by week'!$S$31)*'Data by week'!$H$31,N('Data by week'!$T$31)*'Data by week'!$H$31,N('Data by week'!$U$31)*'Data by week'!$H$31,N('Data by week'!$V$31)*'Data by week'!$H$31,N('Data by week'!$W$31)*'Data by week'!$H$31,N('Data by week'!$X$31)*'Data by week'!$H$31,N('Data by week'!$Y$31)*'Data by week'!$H$31,N('Data by week'!$Z$31)*'Data by week'!$H$31,N('Data by week'!$AA$31)*'Data by week'!$H$31,N('Data by week'!$AB$31)*'Data by week'!$H$31),2)</f>
        <v/>
      </c>
      <c r="H29" s="9">
        <f>ROUND(MAX(N('Data by week'!$AC$31)*'Data by week'!$H$31,N('Data by week'!$AD$31)*'Data by week'!$H$31,N('Data by week'!$AE$31)*'Data by week'!$H$31,N('Data by week'!$AF$31)*'Data by week'!$H$31,N('Data by week'!$AG$31)*'Data by week'!$H$31,N('Data by week'!$AH$31)*'Data by week'!$H$31,N('Data by week'!$AI$31)*'Data by week'!$H$31,N('Data by week'!$AJ$31)*'Data by week'!$H$31,N('Data by week'!$AK$31)*'Data by week'!$H$31,N('Data by week'!$AL$31)*'Data by week'!$H$31),2)</f>
        <v/>
      </c>
      <c r="I29" s="10">
        <f>MAX(F29:H29)</f>
        <v/>
      </c>
      <c r="J29" s="8" t="inlineStr">
        <is>
          <t>cups</t>
        </is>
      </c>
      <c r="K29" s="8" t="inlineStr">
        <is>
          <t>Week 6</t>
        </is>
      </c>
      <c r="L29" s="8" t="inlineStr">
        <is>
          <t>Year 9: W6, W8</t>
        </is>
      </c>
      <c r="M29" s="8" t="inlineStr">
        <is>
          <t>Plan A (freezer)</t>
        </is>
      </c>
      <c r="N29" s="8" t="inlineStr"/>
      <c r="O29" s="11" t="n"/>
      <c r="P29" s="11" t="n"/>
    </row>
    <row r="30">
      <c r="A30" s="8" t="inlineStr">
        <is>
          <t>Mini whiteboards</t>
        </is>
      </c>
      <c r="B30" s="8" t="inlineStr">
        <is>
          <t>小白板（学生用）</t>
        </is>
      </c>
      <c r="C30" s="8" t="inlineStr">
        <is>
          <t>Mini whiteboards, 4 per group.</t>
        </is>
      </c>
      <c r="D30" s="8" t="inlineStr">
        <is>
          <t>Buy: reusable</t>
        </is>
      </c>
      <c r="E30" s="8" t="inlineStr">
        <is>
          <t>Reusable</t>
        </is>
      </c>
      <c r="F30" s="9">
        <f>ROUND(MAX(N('Data by week'!$I$32)*'Data by week'!$H$32,N('Data by week'!$J$32)*'Data by week'!$H$32,N('Data by week'!$K$32)*'Data by week'!$H$32,N('Data by week'!$L$32)*'Data by week'!$H$32,N('Data by week'!$M$32)*'Data by week'!$H$32,N('Data by week'!$N$32)*'Data by week'!$H$32,N('Data by week'!$O$32)*'Data by week'!$H$32,N('Data by week'!$P$32)*'Data by week'!$H$32,N('Data by week'!$Q$32)*'Data by week'!$H$32,N('Data by week'!$R$32)*'Data by week'!$H$32),2)</f>
        <v/>
      </c>
      <c r="G30" s="9">
        <f>ROUND(MAX(N('Data by week'!$S$32)*'Data by week'!$H$32,N('Data by week'!$T$32)*'Data by week'!$H$32,N('Data by week'!$U$32)*'Data by week'!$H$32,N('Data by week'!$V$32)*'Data by week'!$H$32,N('Data by week'!$W$32)*'Data by week'!$H$32,N('Data by week'!$X$32)*'Data by week'!$H$32,N('Data by week'!$Y$32)*'Data by week'!$H$32,N('Data by week'!$Z$32)*'Data by week'!$H$32,N('Data by week'!$AA$32)*'Data by week'!$H$32,N('Data by week'!$AB$32)*'Data by week'!$H$32),2)</f>
        <v/>
      </c>
      <c r="H30" s="9">
        <f>ROUND(MAX(N('Data by week'!$AC$32)*'Data by week'!$H$32,N('Data by week'!$AD$32)*'Data by week'!$H$32,N('Data by week'!$AE$32)*'Data by week'!$H$32,N('Data by week'!$AF$32)*'Data by week'!$H$32,N('Data by week'!$AG$32)*'Data by week'!$H$32,N('Data by week'!$AH$32)*'Data by week'!$H$32,N('Data by week'!$AI$32)*'Data by week'!$H$32,N('Data by week'!$AJ$32)*'Data by week'!$H$32,N('Data by week'!$AK$32)*'Data by week'!$H$32,N('Data by week'!$AL$32)*'Data by week'!$H$32),2)</f>
        <v/>
      </c>
      <c r="I30" s="10">
        <f>MAX(F30:H30)</f>
        <v/>
      </c>
      <c r="J30" s="8" t="inlineStr">
        <is>
          <t>boards</t>
        </is>
      </c>
      <c r="K30" s="8" t="inlineStr">
        <is>
          <t>Week 7</t>
        </is>
      </c>
      <c r="L30" s="8" t="inlineStr">
        <is>
          <t>Year 8: W7</t>
        </is>
      </c>
      <c r="M30" s="8" t="inlineStr">
        <is>
          <t>Both plans</t>
        </is>
      </c>
      <c r="N30" s="8" t="inlineStr"/>
      <c r="O30" s="11" t="n"/>
      <c r="P30" s="11" t="n"/>
    </row>
    <row r="31">
      <c r="A31" s="8" t="inlineStr">
        <is>
          <t>Waste bowl</t>
        </is>
      </c>
      <c r="B31" s="8" t="inlineStr">
        <is>
          <t>废料盆</t>
        </is>
      </c>
      <c r="C31" s="8" t="inlineStr">
        <is>
          <t>Plastic bowl, 1 per group.</t>
        </is>
      </c>
      <c r="D31" s="8" t="inlineStr">
        <is>
          <t>Buy: reusable</t>
        </is>
      </c>
      <c r="E31" s="8" t="inlineStr">
        <is>
          <t>Reusable</t>
        </is>
      </c>
      <c r="F31" s="9">
        <f>ROUND(MAX(N('Data by week'!$I$33)*'Data by week'!$H$33,N('Data by week'!$J$33)*'Data by week'!$H$33,N('Data by week'!$K$33)*'Data by week'!$H$33,N('Data by week'!$L$33)*'Data by week'!$H$33,N('Data by week'!$M$33)*'Data by week'!$H$33,N('Data by week'!$N$33)*'Data by week'!$H$33,N('Data by week'!$O$33)*'Data by week'!$H$33,N('Data by week'!$P$33)*'Data by week'!$H$33,N('Data by week'!$Q$33)*'Data by week'!$H$33,N('Data by week'!$R$33)*'Data by week'!$H$33),2)</f>
        <v/>
      </c>
      <c r="G31" s="9">
        <f>ROUND(MAX(N('Data by week'!$S$33)*'Data by week'!$H$33,N('Data by week'!$T$33)*'Data by week'!$H$33,N('Data by week'!$U$33)*'Data by week'!$H$33,N('Data by week'!$V$33)*'Data by week'!$H$33,N('Data by week'!$W$33)*'Data by week'!$H$33,N('Data by week'!$X$33)*'Data by week'!$H$33,N('Data by week'!$Y$33)*'Data by week'!$H$33,N('Data by week'!$Z$33)*'Data by week'!$H$33,N('Data by week'!$AA$33)*'Data by week'!$H$33,N('Data by week'!$AB$33)*'Data by week'!$H$33),2)</f>
        <v/>
      </c>
      <c r="H31" s="9">
        <f>ROUND(MAX(N('Data by week'!$AC$33)*'Data by week'!$H$33,N('Data by week'!$AD$33)*'Data by week'!$H$33,N('Data by week'!$AE$33)*'Data by week'!$H$33,N('Data by week'!$AF$33)*'Data by week'!$H$33,N('Data by week'!$AG$33)*'Data by week'!$H$33,N('Data by week'!$AH$33)*'Data by week'!$H$33,N('Data by week'!$AI$33)*'Data by week'!$H$33,N('Data by week'!$AJ$33)*'Data by week'!$H$33,N('Data by week'!$AK$33)*'Data by week'!$H$33,N('Data by week'!$AL$33)*'Data by week'!$H$33),2)</f>
        <v/>
      </c>
      <c r="I31" s="10">
        <f>MAX(F31:H31)</f>
        <v/>
      </c>
      <c r="J31" s="8" t="inlineStr">
        <is>
          <t>bowls</t>
        </is>
      </c>
      <c r="K31" s="8" t="inlineStr">
        <is>
          <t>Week 8</t>
        </is>
      </c>
      <c r="L31" s="8" t="inlineStr">
        <is>
          <t>Year 7: W8</t>
        </is>
      </c>
      <c r="M31" s="8" t="inlineStr">
        <is>
          <t>Both plans</t>
        </is>
      </c>
      <c r="N31" s="8" t="inlineStr"/>
      <c r="O31" s="11" t="n"/>
      <c r="P31" s="11" t="n"/>
    </row>
    <row r="32">
      <c r="A32" s="8" t="inlineStr">
        <is>
          <t>Bell, hand bell or desk bell (timing signal)</t>
        </is>
      </c>
      <c r="B32" s="8" t="inlineStr">
        <is>
          <t>手摇铃或桌铃（计时提示用）</t>
        </is>
      </c>
      <c r="C32" s="8" t="inlineStr">
        <is>
          <t>Rung at 1 min 45 s in each 2-minute talk; a phone alarm will do instead.</t>
        </is>
      </c>
      <c r="D32" s="8" t="inlineStr">
        <is>
          <t>Buy: reusable</t>
        </is>
      </c>
      <c r="E32" s="8" t="inlineStr">
        <is>
          <t>Reusable</t>
        </is>
      </c>
      <c r="F32" s="9">
        <f>ROUND(MAX(N('Data by week'!$I$34)*'Data by week'!$H$34,N('Data by week'!$J$34)*'Data by week'!$H$34,N('Data by week'!$K$34)*'Data by week'!$H$34,N('Data by week'!$L$34)*'Data by week'!$H$34,N('Data by week'!$M$34)*'Data by week'!$H$34,N('Data by week'!$N$34)*'Data by week'!$H$34,N('Data by week'!$O$34)*'Data by week'!$H$34,N('Data by week'!$P$34)*'Data by week'!$H$34,N('Data by week'!$Q$34)*'Data by week'!$H$34,N('Data by week'!$R$34)*'Data by week'!$H$34),2)</f>
        <v/>
      </c>
      <c r="G32" s="9">
        <f>ROUND(MAX(N('Data by week'!$S$34)*'Data by week'!$H$34,N('Data by week'!$T$34)*'Data by week'!$H$34,N('Data by week'!$U$34)*'Data by week'!$H$34,N('Data by week'!$V$34)*'Data by week'!$H$34,N('Data by week'!$W$34)*'Data by week'!$H$34,N('Data by week'!$X$34)*'Data by week'!$H$34,N('Data by week'!$Y$34)*'Data by week'!$H$34,N('Data by week'!$Z$34)*'Data by week'!$H$34,N('Data by week'!$AA$34)*'Data by week'!$H$34,N('Data by week'!$AB$34)*'Data by week'!$H$34),2)</f>
        <v/>
      </c>
      <c r="H32" s="9">
        <f>ROUND(MAX(N('Data by week'!$AC$34)*'Data by week'!$H$34,N('Data by week'!$AD$34)*'Data by week'!$H$34,N('Data by week'!$AE$34)*'Data by week'!$H$34,N('Data by week'!$AF$34)*'Data by week'!$H$34,N('Data by week'!$AG$34)*'Data by week'!$H$34,N('Data by week'!$AH$34)*'Data by week'!$H$34,N('Data by week'!$AI$34)*'Data by week'!$H$34,N('Data by week'!$AJ$34)*'Data by week'!$H$34,N('Data by week'!$AK$34)*'Data by week'!$H$34,N('Data by week'!$AL$34)*'Data by week'!$H$34),2)</f>
        <v/>
      </c>
      <c r="I32" s="10">
        <f>MAX(F32:H32)</f>
        <v/>
      </c>
      <c r="J32" s="8" t="inlineStr">
        <is>
          <t>bell</t>
        </is>
      </c>
      <c r="K32" s="8" t="inlineStr">
        <is>
          <t>Week 10</t>
        </is>
      </c>
      <c r="L32" s="8" t="inlineStr">
        <is>
          <t>Year 9: W10</t>
        </is>
      </c>
      <c r="M32" s="8" t="inlineStr">
        <is>
          <t>Both plans</t>
        </is>
      </c>
      <c r="N32" s="8" t="inlineStr"/>
      <c r="O32" s="11" t="n"/>
      <c r="P32" s="11" t="n"/>
    </row>
    <row r="33">
      <c r="A33" s="8" t="inlineStr">
        <is>
          <t>A3 paper, white, 80 gsm</t>
        </is>
      </c>
      <c r="B33" s="8" t="inlineStr">
        <is>
          <t>A3复印纸（白色，80克）</t>
        </is>
      </c>
      <c r="C33" s="8" t="inlineStr">
        <is>
          <t>A3 white paper for black-and-white (greyscale) printing; some sheets printed on both sides (Y9 Week 9 report template).</t>
        </is>
      </c>
      <c r="D33" s="8" t="inlineStr">
        <is>
          <t>Stationery and card</t>
        </is>
      </c>
      <c r="E33" s="8" t="inlineStr">
        <is>
          <t>Used up</t>
        </is>
      </c>
      <c r="F33" s="9">
        <f>ROUND('Data by week'!$AW$35*'Data by week'!$H$35,2)</f>
        <v/>
      </c>
      <c r="G33" s="9">
        <f>ROUND('Data by week'!$AX$35*'Data by week'!$H$35,2)</f>
        <v/>
      </c>
      <c r="H33" s="9">
        <f>ROUND('Data by week'!$AY$35*'Data by week'!$H$35,2)</f>
        <v/>
      </c>
      <c r="I33" s="10">
        <f>ROUNDUP(F33*'Read me'!$C$5+G33*'Read me'!$C$6+H33*'Read me'!$C$7,0)</f>
        <v/>
      </c>
      <c r="J33" s="8" t="inlineStr">
        <is>
          <t>sheets</t>
        </is>
      </c>
      <c r="K33" s="8" t="inlineStr">
        <is>
          <t>Week 1</t>
        </is>
      </c>
      <c r="L33" s="8" t="inlineStr">
        <is>
          <t>Year 7: W1, W2, W6, W7, W8, W9; Year 8: W1, W4, W5, W8, W9; Year 9: W1, W4, W6, W7, W9, W10</t>
        </is>
      </c>
      <c r="M33" s="8" t="inlineStr">
        <is>
          <t>Both plans</t>
        </is>
      </c>
      <c r="N33" s="8" t="inlineStr"/>
      <c r="O33" s="11" t="n"/>
      <c r="P33" s="11" t="n"/>
    </row>
    <row r="34">
      <c r="A34" s="8" t="inlineStr">
        <is>
          <t>A4 folders for case files</t>
        </is>
      </c>
      <c r="B34" s="8" t="inlineStr">
        <is>
          <t>A4文件夹（案件档案用）</t>
        </is>
      </c>
      <c r="C34" s="8" t="inlineStr">
        <is>
          <t>A4 folder, 1 per student, to hold the case file pages.</t>
        </is>
      </c>
      <c r="D34" s="8" t="inlineStr">
        <is>
          <t>Stationery and card</t>
        </is>
      </c>
      <c r="E34" s="8" t="inlineStr">
        <is>
          <t>Used up</t>
        </is>
      </c>
      <c r="F34" s="9">
        <f>ROUND('Data by week'!$AW$36*'Data by week'!$H$36,2)</f>
        <v/>
      </c>
      <c r="G34" s="9">
        <f>ROUND('Data by week'!$AX$36*'Data by week'!$H$36,2)</f>
        <v/>
      </c>
      <c r="H34" s="9">
        <f>ROUND('Data by week'!$AY$36*'Data by week'!$H$36,2)</f>
        <v/>
      </c>
      <c r="I34" s="10">
        <f>ROUNDUP(F34*'Read me'!$C$5+G34*'Read me'!$C$6+H34*'Read me'!$C$7,0)</f>
        <v/>
      </c>
      <c r="J34" s="8" t="inlineStr">
        <is>
          <t>folders</t>
        </is>
      </c>
      <c r="K34" s="8" t="inlineStr">
        <is>
          <t>Week 1</t>
        </is>
      </c>
      <c r="L34" s="8" t="inlineStr">
        <is>
          <t>Year 8: W1</t>
        </is>
      </c>
      <c r="M34" s="8" t="inlineStr">
        <is>
          <t>Both plans</t>
        </is>
      </c>
      <c r="N34" s="8" t="inlineStr"/>
      <c r="O34" s="11" t="n"/>
      <c r="P34" s="11" t="n"/>
    </row>
    <row r="35">
      <c r="A35" s="8" t="inlineStr">
        <is>
          <t>Envelopes, C4 (for A4)</t>
        </is>
      </c>
      <c r="B35" s="8" t="inlineStr">
        <is>
          <t>C4信封（可平放A4纸）</t>
        </is>
      </c>
      <c r="C35" s="8" t="inlineStr">
        <is>
          <t>C4 or similar, large enough to hold A4 landscape cards or A4 papers flat. Also covers the 2 A4-size envelopes Y9 needs in Week 10.</t>
        </is>
      </c>
      <c r="D35" s="8" t="inlineStr">
        <is>
          <t>Stationery and card</t>
        </is>
      </c>
      <c r="E35" s="8" t="inlineStr">
        <is>
          <t>Reusable</t>
        </is>
      </c>
      <c r="F35" s="9">
        <f>ROUND(MAX(N('Data by week'!$I$37)*'Data by week'!$H$37,N('Data by week'!$J$37)*'Data by week'!$H$37,N('Data by week'!$K$37)*'Data by week'!$H$37,N('Data by week'!$L$37)*'Data by week'!$H$37,N('Data by week'!$M$37)*'Data by week'!$H$37,N('Data by week'!$N$37)*'Data by week'!$H$37,N('Data by week'!$O$37)*'Data by week'!$H$37,N('Data by week'!$P$37)*'Data by week'!$H$37,N('Data by week'!$Q$37)*'Data by week'!$H$37,N('Data by week'!$R$37)*'Data by week'!$H$37),2)</f>
        <v/>
      </c>
      <c r="G35" s="9">
        <f>ROUND(MAX(N('Data by week'!$S$37)*'Data by week'!$H$37,N('Data by week'!$T$37)*'Data by week'!$H$37,N('Data by week'!$U$37)*'Data by week'!$H$37,N('Data by week'!$V$37)*'Data by week'!$H$37,N('Data by week'!$W$37)*'Data by week'!$H$37,N('Data by week'!$X$37)*'Data by week'!$H$37,N('Data by week'!$Y$37)*'Data by week'!$H$37,N('Data by week'!$Z$37)*'Data by week'!$H$37,N('Data by week'!$AA$37)*'Data by week'!$H$37,N('Data by week'!$AB$37)*'Data by week'!$H$37),2)</f>
        <v/>
      </c>
      <c r="H35" s="9">
        <f>ROUND(MAX(N('Data by week'!$AC$37)*'Data by week'!$H$37,N('Data by week'!$AD$37)*'Data by week'!$H$37,N('Data by week'!$AE$37)*'Data by week'!$H$37,N('Data by week'!$AF$37)*'Data by week'!$H$37,N('Data by week'!$AG$37)*'Data by week'!$H$37,N('Data by week'!$AH$37)*'Data by week'!$H$37,N('Data by week'!$AI$37)*'Data by week'!$H$37,N('Data by week'!$AJ$37)*'Data by week'!$H$37,N('Data by week'!$AK$37)*'Data by week'!$H$37,N('Data by week'!$AL$37)*'Data by week'!$H$37),2)</f>
        <v/>
      </c>
      <c r="I35" s="10">
        <f>MAX(F35:H35)</f>
        <v/>
      </c>
      <c r="J35" s="8" t="inlineStr">
        <is>
          <t>envelopes</t>
        </is>
      </c>
      <c r="K35" s="8" t="inlineStr">
        <is>
          <t>Week 1</t>
        </is>
      </c>
      <c r="L35" s="8" t="inlineStr">
        <is>
          <t>Year 7: W1</t>
        </is>
      </c>
      <c r="M35" s="8" t="inlineStr">
        <is>
          <t>Both plans</t>
        </is>
      </c>
      <c r="N35" s="8" t="inlineStr"/>
      <c r="O35" s="11" t="n"/>
      <c r="P35" s="11" t="n"/>
    </row>
    <row r="36">
      <c r="A36" s="8" t="inlineStr">
        <is>
          <t>Envelopes, C6 (for small card sets)</t>
        </is>
      </c>
      <c r="B36" s="8" t="inlineStr">
        <is>
          <t>C6信封（可装A6及名片大小卡片）</t>
        </is>
      </c>
      <c r="C36" s="8" t="inlineStr">
        <is>
          <t>C6 (114 x 162 mm), big enough for a set of cards up to A6 or business-card size (8.5 x 5.5 cm). Write the group number or contents on each. Y9's 2 A4-size envelopes for Week 10 come from the C4 line.</t>
        </is>
      </c>
      <c r="D36" s="8" t="inlineStr">
        <is>
          <t>Stationery and card</t>
        </is>
      </c>
      <c r="E36" s="8" t="inlineStr">
        <is>
          <t>Reusable</t>
        </is>
      </c>
      <c r="F36" s="9">
        <f>ROUND(MAX(N('Data by week'!$I$38)*'Data by week'!$H$38,N('Data by week'!$J$38)*'Data by week'!$H$38,N('Data by week'!$K$38)*'Data by week'!$H$38,N('Data by week'!$L$38)*'Data by week'!$H$38,N('Data by week'!$M$38)*'Data by week'!$H$38,N('Data by week'!$N$38)*'Data by week'!$H$38,N('Data by week'!$O$38)*'Data by week'!$H$38,N('Data by week'!$P$38)*'Data by week'!$H$38,N('Data by week'!$Q$38)*'Data by week'!$H$38,N('Data by week'!$R$38)*'Data by week'!$H$38),2)</f>
        <v/>
      </c>
      <c r="G36" s="9">
        <f>ROUND(MAX(N('Data by week'!$S$38)*'Data by week'!$H$38,N('Data by week'!$T$38)*'Data by week'!$H$38,N('Data by week'!$U$38)*'Data by week'!$H$38,N('Data by week'!$V$38)*'Data by week'!$H$38,N('Data by week'!$W$38)*'Data by week'!$H$38,N('Data by week'!$X$38)*'Data by week'!$H$38,N('Data by week'!$Y$38)*'Data by week'!$H$38,N('Data by week'!$Z$38)*'Data by week'!$H$38,N('Data by week'!$AA$38)*'Data by week'!$H$38,N('Data by week'!$AB$38)*'Data by week'!$H$38),2)</f>
        <v/>
      </c>
      <c r="H36" s="9">
        <f>ROUND(MAX(N('Data by week'!$AC$38)*'Data by week'!$H$38,N('Data by week'!$AD$38)*'Data by week'!$H$38,N('Data by week'!$AE$38)*'Data by week'!$H$38,N('Data by week'!$AF$38)*'Data by week'!$H$38,N('Data by week'!$AG$38)*'Data by week'!$H$38,N('Data by week'!$AH$38)*'Data by week'!$H$38,N('Data by week'!$AI$38)*'Data by week'!$H$38,N('Data by week'!$AJ$38)*'Data by week'!$H$38,N('Data by week'!$AK$38)*'Data by week'!$H$38,N('Data by week'!$AL$38)*'Data by week'!$H$38),2)</f>
        <v/>
      </c>
      <c r="I36" s="10">
        <f>MAX(F36:H36)</f>
        <v/>
      </c>
      <c r="J36" s="8" t="inlineStr">
        <is>
          <t>envelopes</t>
        </is>
      </c>
      <c r="K36" s="8" t="inlineStr">
        <is>
          <t>Week 1</t>
        </is>
      </c>
      <c r="L36" s="8" t="inlineStr">
        <is>
          <t>Year 7: W2; Year 9: W1, W2, W4, W7, W10</t>
        </is>
      </c>
      <c r="M36" s="8" t="inlineStr">
        <is>
          <t>Both plans</t>
        </is>
      </c>
      <c r="N36" s="8" t="inlineStr"/>
      <c r="O36" s="11" t="n"/>
      <c r="P36" s="11" t="n"/>
    </row>
    <row r="37">
      <c r="A37" s="8" t="inlineStr">
        <is>
          <t>Group role cards (Year 9)</t>
        </is>
      </c>
      <c r="B37" s="8" t="inlineStr">
        <is>
          <t>小组角色卡（九年级）</t>
        </is>
      </c>
      <c r="C37" s="8" t="inlineStr">
        <is>
          <t>Business-card size, one card per role (Lead Scientist, Measurer, Recorder, Safety Officer, Reporter); 1 set of 5 per group, stay on the tables all series.</t>
        </is>
      </c>
      <c r="D37" s="8" t="inlineStr">
        <is>
          <t>Stationery and card</t>
        </is>
      </c>
      <c r="E37" s="8" t="inlineStr">
        <is>
          <t>Kept by class</t>
        </is>
      </c>
      <c r="F37" s="9">
        <f>ROUND(MAX(N('Data by week'!$I$39)*'Data by week'!$H$39,N('Data by week'!$J$39)*'Data by week'!$H$39,N('Data by week'!$K$39)*'Data by week'!$H$39,N('Data by week'!$L$39)*'Data by week'!$H$39,N('Data by week'!$M$39)*'Data by week'!$H$39,N('Data by week'!$N$39)*'Data by week'!$H$39,N('Data by week'!$O$39)*'Data by week'!$H$39,N('Data by week'!$P$39)*'Data by week'!$H$39,N('Data by week'!$Q$39)*'Data by week'!$H$39,N('Data by week'!$R$39)*'Data by week'!$H$39),2)</f>
        <v/>
      </c>
      <c r="G37" s="9">
        <f>ROUND(MAX(N('Data by week'!$S$39)*'Data by week'!$H$39,N('Data by week'!$T$39)*'Data by week'!$H$39,N('Data by week'!$U$39)*'Data by week'!$H$39,N('Data by week'!$V$39)*'Data by week'!$H$39,N('Data by week'!$W$39)*'Data by week'!$H$39,N('Data by week'!$X$39)*'Data by week'!$H$39,N('Data by week'!$Y$39)*'Data by week'!$H$39,N('Data by week'!$Z$39)*'Data by week'!$H$39,N('Data by week'!$AA$39)*'Data by week'!$H$39,N('Data by week'!$AB$39)*'Data by week'!$H$39),2)</f>
        <v/>
      </c>
      <c r="H37" s="9">
        <f>ROUND(MAX(N('Data by week'!$AC$39)*'Data by week'!$H$39,N('Data by week'!$AD$39)*'Data by week'!$H$39,N('Data by week'!$AE$39)*'Data by week'!$H$39,N('Data by week'!$AF$39)*'Data by week'!$H$39,N('Data by week'!$AG$39)*'Data by week'!$H$39,N('Data by week'!$AH$39)*'Data by week'!$H$39,N('Data by week'!$AI$39)*'Data by week'!$H$39,N('Data by week'!$AJ$39)*'Data by week'!$H$39,N('Data by week'!$AK$39)*'Data by week'!$H$39,N('Data by week'!$AL$39)*'Data by week'!$H$39),2)</f>
        <v/>
      </c>
      <c r="I37" s="10">
        <f>ROUNDUP(F37*'Read me'!$C$5+G37*'Read me'!$C$6+H37*'Read me'!$C$7,0)</f>
        <v/>
      </c>
      <c r="J37" s="8" t="inlineStr">
        <is>
          <t>sets of 5</t>
        </is>
      </c>
      <c r="K37" s="8" t="inlineStr">
        <is>
          <t>Week 1</t>
        </is>
      </c>
      <c r="L37" s="8" t="inlineStr">
        <is>
          <t>Year 9: W1</t>
        </is>
      </c>
      <c r="M37" s="8" t="inlineStr">
        <is>
          <t>Both plans</t>
        </is>
      </c>
      <c r="N37" s="8" t="inlineStr"/>
      <c r="O37" s="11" t="n"/>
      <c r="P37" s="11" t="n"/>
    </row>
    <row r="38">
      <c r="A38" s="8" t="inlineStr">
        <is>
          <t>Laminating pouches, A3</t>
        </is>
      </c>
      <c r="B38" s="8" t="inlineStr">
        <is>
          <t>塑封膜 A3</t>
        </is>
      </c>
      <c r="C38" s="8" t="inlineStr">
        <is>
          <t>A3 laminating pouches for the school laminator (laminate 'if possible').</t>
        </is>
      </c>
      <c r="D38" s="8" t="inlineStr">
        <is>
          <t>Stationery and card</t>
        </is>
      </c>
      <c r="E38" s="8" t="inlineStr">
        <is>
          <t>Used up</t>
        </is>
      </c>
      <c r="F38" s="9">
        <f>ROUND('Data by week'!$AW$40*'Data by week'!$H$40,2)</f>
        <v/>
      </c>
      <c r="G38" s="9">
        <f>ROUND('Data by week'!$AX$40*'Data by week'!$H$40,2)</f>
        <v/>
      </c>
      <c r="H38" s="9">
        <f>ROUND('Data by week'!$AY$40*'Data by week'!$H$40,2)</f>
        <v/>
      </c>
      <c r="I38" s="10">
        <f>ROUNDUP(F38*'Read me'!$C$5+G38*'Read me'!$C$6+H38*'Read me'!$C$7,0)</f>
        <v/>
      </c>
      <c r="J38" s="8" t="inlineStr">
        <is>
          <t>pouches</t>
        </is>
      </c>
      <c r="K38" s="8" t="inlineStr">
        <is>
          <t>Week 1</t>
        </is>
      </c>
      <c r="L38" s="8" t="inlineStr">
        <is>
          <t>Year 7: W6, W7; Year 9: W1</t>
        </is>
      </c>
      <c r="M38" s="8" t="inlineStr">
        <is>
          <t>Both plans</t>
        </is>
      </c>
      <c r="N38" s="8" t="inlineStr"/>
      <c r="O38" s="11" t="n"/>
      <c r="P38" s="11" t="n"/>
    </row>
    <row r="39">
      <c r="A39" s="8" t="inlineStr">
        <is>
          <t>Laminating pouches, A4</t>
        </is>
      </c>
      <c r="B39" s="8" t="inlineStr">
        <is>
          <t>塑封膜 A4</t>
        </is>
      </c>
      <c r="C39" s="8" t="inlineStr">
        <is>
          <t>A4 laminating pouches for the school laminator.</t>
        </is>
      </c>
      <c r="D39" s="8" t="inlineStr">
        <is>
          <t>Stationery and card</t>
        </is>
      </c>
      <c r="E39" s="8" t="inlineStr">
        <is>
          <t>Used up</t>
        </is>
      </c>
      <c r="F39" s="9">
        <f>ROUND('Data by week'!$AW$41*'Data by week'!$H$41,2)</f>
        <v/>
      </c>
      <c r="G39" s="9">
        <f>ROUND('Data by week'!$AX$41*'Data by week'!$H$41,2)</f>
        <v/>
      </c>
      <c r="H39" s="9">
        <f>ROUND('Data by week'!$AY$41*'Data by week'!$H$41,2)</f>
        <v/>
      </c>
      <c r="I39" s="10">
        <f>ROUNDUP(F39*'Read me'!$C$5+G39*'Read me'!$C$6+H39*'Read me'!$C$7,0)</f>
        <v/>
      </c>
      <c r="J39" s="8" t="inlineStr">
        <is>
          <t>pouches</t>
        </is>
      </c>
      <c r="K39" s="8" t="inlineStr">
        <is>
          <t>Week 1</t>
        </is>
      </c>
      <c r="L39" s="8" t="inlineStr">
        <is>
          <t>Year 7: W1, W8, W9; Year 8: W1, W7; Year 9: W8</t>
        </is>
      </c>
      <c r="M39" s="8" t="inlineStr">
        <is>
          <t>Both plans</t>
        </is>
      </c>
      <c r="N39" s="8" t="inlineStr"/>
      <c r="O39" s="11" t="n"/>
      <c r="P39" s="11" t="n"/>
    </row>
    <row r="40">
      <c r="A40" s="8" t="inlineStr">
        <is>
          <t>Laminating pouches, A5</t>
        </is>
      </c>
      <c r="B40" s="8" t="inlineStr">
        <is>
          <t>塑封膜 A5</t>
        </is>
      </c>
      <c r="C40" s="8" t="inlineStr">
        <is>
          <t>A5 laminating pouches for the school laminator.</t>
        </is>
      </c>
      <c r="D40" s="8" t="inlineStr">
        <is>
          <t>Stationery and card</t>
        </is>
      </c>
      <c r="E40" s="8" t="inlineStr">
        <is>
          <t>Used up</t>
        </is>
      </c>
      <c r="F40" s="9">
        <f>ROUND('Data by week'!$AW$42*'Data by week'!$H$42,2)</f>
        <v/>
      </c>
      <c r="G40" s="9">
        <f>ROUND('Data by week'!$AX$42*'Data by week'!$H$42,2)</f>
        <v/>
      </c>
      <c r="H40" s="9">
        <f>ROUND('Data by week'!$AY$42*'Data by week'!$H$42,2)</f>
        <v/>
      </c>
      <c r="I40" s="10">
        <f>ROUNDUP(F40*'Read me'!$C$5+G40*'Read me'!$C$6+H40*'Read me'!$C$7,0)</f>
        <v/>
      </c>
      <c r="J40" s="8" t="inlineStr">
        <is>
          <t>pouches</t>
        </is>
      </c>
      <c r="K40" s="8" t="inlineStr">
        <is>
          <t>Week 1</t>
        </is>
      </c>
      <c r="L40" s="8" t="inlineStr">
        <is>
          <t>Year 7: W1, W4, W8; Year 8: W1, W3, W4, W5, W6; Year 9: W3, W5, W6, W8, W9</t>
        </is>
      </c>
      <c r="M40" s="8" t="inlineStr">
        <is>
          <t>Both plans</t>
        </is>
      </c>
      <c r="N40" s="8" t="inlineStr"/>
      <c r="O40" s="11" t="n"/>
      <c r="P40" s="11" t="n"/>
    </row>
    <row r="41">
      <c r="A41" s="8" t="inlineStr">
        <is>
          <t>Masking tape</t>
        </is>
      </c>
      <c r="B41" s="8" t="inlineStr">
        <is>
          <t>美纹纸胶带</t>
        </is>
      </c>
      <c r="C41" s="8" t="inlineStr">
        <is>
          <t>Masking tape rolls; writable, for labels, wall marks and taping the mystery cups shut.</t>
        </is>
      </c>
      <c r="D41" s="8" t="inlineStr">
        <is>
          <t>Stationery and card</t>
        </is>
      </c>
      <c r="E41" s="8" t="inlineStr">
        <is>
          <t>Used up</t>
        </is>
      </c>
      <c r="F41" s="9">
        <f>ROUND('Data by week'!$AW$43*'Data by week'!$H$43,2)</f>
        <v/>
      </c>
      <c r="G41" s="9">
        <f>ROUND('Data by week'!$AX$43*'Data by week'!$H$43,2)</f>
        <v/>
      </c>
      <c r="H41" s="9">
        <f>ROUND('Data by week'!$AY$43*'Data by week'!$H$43,2)</f>
        <v/>
      </c>
      <c r="I41" s="10">
        <f>ROUNDUP(F41*'Read me'!$C$5+G41*'Read me'!$C$6+H41*'Read me'!$C$7,0)</f>
        <v/>
      </c>
      <c r="J41" s="8" t="inlineStr">
        <is>
          <t>rolls</t>
        </is>
      </c>
      <c r="K41" s="8" t="inlineStr">
        <is>
          <t>Week 1</t>
        </is>
      </c>
      <c r="L41" s="8" t="inlineStr">
        <is>
          <t>Year 7: W2, W3, W4, W7; Year 8: W1, W6</t>
        </is>
      </c>
      <c r="M41" s="8" t="inlineStr">
        <is>
          <t>Both plans</t>
        </is>
      </c>
      <c r="N41" s="8" t="inlineStr"/>
      <c r="O41" s="11" t="n"/>
      <c r="P41" s="11" t="n"/>
    </row>
    <row r="42">
      <c r="A42" s="8" t="inlineStr">
        <is>
          <t>Name cards, one per student</t>
        </is>
      </c>
      <c r="B42" s="8" t="inlineStr">
        <is>
          <t>姓名卡（每人一张）</t>
        </is>
      </c>
      <c r="C42" s="8" t="inlineStr">
        <is>
          <t>Name cards for the group seating plan, 1 per student.</t>
        </is>
      </c>
      <c r="D42" s="8" t="inlineStr">
        <is>
          <t>Stationery and card</t>
        </is>
      </c>
      <c r="E42" s="8" t="inlineStr">
        <is>
          <t>Kept by class</t>
        </is>
      </c>
      <c r="F42" s="9">
        <f>ROUND(MAX(N('Data by week'!$I$44)*'Data by week'!$H$44,N('Data by week'!$J$44)*'Data by week'!$H$44,N('Data by week'!$K$44)*'Data by week'!$H$44,N('Data by week'!$L$44)*'Data by week'!$H$44,N('Data by week'!$M$44)*'Data by week'!$H$44,N('Data by week'!$N$44)*'Data by week'!$H$44,N('Data by week'!$O$44)*'Data by week'!$H$44,N('Data by week'!$P$44)*'Data by week'!$H$44,N('Data by week'!$Q$44)*'Data by week'!$H$44,N('Data by week'!$R$44)*'Data by week'!$H$44),2)</f>
        <v/>
      </c>
      <c r="G42" s="9">
        <f>ROUND(MAX(N('Data by week'!$S$44)*'Data by week'!$H$44,N('Data by week'!$T$44)*'Data by week'!$H$44,N('Data by week'!$U$44)*'Data by week'!$H$44,N('Data by week'!$V$44)*'Data by week'!$H$44,N('Data by week'!$W$44)*'Data by week'!$H$44,N('Data by week'!$X$44)*'Data by week'!$H$44,N('Data by week'!$Y$44)*'Data by week'!$H$44,N('Data by week'!$Z$44)*'Data by week'!$H$44,N('Data by week'!$AA$44)*'Data by week'!$H$44,N('Data by week'!$AB$44)*'Data by week'!$H$44),2)</f>
        <v/>
      </c>
      <c r="H42" s="9">
        <f>ROUND(MAX(N('Data by week'!$AC$44)*'Data by week'!$H$44,N('Data by week'!$AD$44)*'Data by week'!$H$44,N('Data by week'!$AE$44)*'Data by week'!$H$44,N('Data by week'!$AF$44)*'Data by week'!$H$44,N('Data by week'!$AG$44)*'Data by week'!$H$44,N('Data by week'!$AH$44)*'Data by week'!$H$44,N('Data by week'!$AI$44)*'Data by week'!$H$44,N('Data by week'!$AJ$44)*'Data by week'!$H$44,N('Data by week'!$AK$44)*'Data by week'!$H$44,N('Data by week'!$AL$44)*'Data by week'!$H$44),2)</f>
        <v/>
      </c>
      <c r="I42" s="10">
        <f>ROUNDUP(F42*'Read me'!$C$5+G42*'Read me'!$C$6+H42*'Read me'!$C$7,0)</f>
        <v/>
      </c>
      <c r="J42" s="8" t="inlineStr">
        <is>
          <t>cards</t>
        </is>
      </c>
      <c r="K42" s="8" t="inlineStr">
        <is>
          <t>Week 1</t>
        </is>
      </c>
      <c r="L42" s="8" t="inlineStr">
        <is>
          <t>Year 7: W1; Year 8: W1</t>
        </is>
      </c>
      <c r="M42" s="8" t="inlineStr">
        <is>
          <t>Both plans</t>
        </is>
      </c>
      <c r="N42" s="8" t="inlineStr"/>
      <c r="O42" s="11" t="n"/>
      <c r="P42" s="11" t="n"/>
    </row>
    <row r="43">
      <c r="A43" s="8" t="inlineStr">
        <is>
          <t>Pencils, HB</t>
        </is>
      </c>
      <c r="B43" s="8" t="inlineStr">
        <is>
          <t>铅笔（HB）</t>
        </is>
      </c>
      <c r="C43" s="8" t="inlineStr">
        <is>
          <t>Ordinary HB pencils, sharpened.</t>
        </is>
      </c>
      <c r="D43" s="8" t="inlineStr">
        <is>
          <t>Stationery and card</t>
        </is>
      </c>
      <c r="E43" s="8" t="inlineStr">
        <is>
          <t>Reusable</t>
        </is>
      </c>
      <c r="F43" s="9">
        <f>ROUND(MAX(N('Data by week'!$I$45)*'Data by week'!$H$45,N('Data by week'!$J$45)*'Data by week'!$H$45,N('Data by week'!$K$45)*'Data by week'!$H$45,N('Data by week'!$L$45)*'Data by week'!$H$45,N('Data by week'!$M$45)*'Data by week'!$H$45,N('Data by week'!$N$45)*'Data by week'!$H$45,N('Data by week'!$O$45)*'Data by week'!$H$45,N('Data by week'!$P$45)*'Data by week'!$H$45,N('Data by week'!$Q$45)*'Data by week'!$H$45,N('Data by week'!$R$45)*'Data by week'!$H$45),2)</f>
        <v/>
      </c>
      <c r="G43" s="9">
        <f>ROUND(MAX(N('Data by week'!$S$45)*'Data by week'!$H$45,N('Data by week'!$T$45)*'Data by week'!$H$45,N('Data by week'!$U$45)*'Data by week'!$H$45,N('Data by week'!$V$45)*'Data by week'!$H$45,N('Data by week'!$W$45)*'Data by week'!$H$45,N('Data by week'!$X$45)*'Data by week'!$H$45,N('Data by week'!$Y$45)*'Data by week'!$H$45,N('Data by week'!$Z$45)*'Data by week'!$H$45,N('Data by week'!$AA$45)*'Data by week'!$H$45,N('Data by week'!$AB$45)*'Data by week'!$H$45),2)</f>
        <v/>
      </c>
      <c r="H43" s="9">
        <f>ROUND(MAX(N('Data by week'!$AC$45)*'Data by week'!$H$45,N('Data by week'!$AD$45)*'Data by week'!$H$45,N('Data by week'!$AE$45)*'Data by week'!$H$45,N('Data by week'!$AF$45)*'Data by week'!$H$45,N('Data by week'!$AG$45)*'Data by week'!$H$45,N('Data by week'!$AH$45)*'Data by week'!$H$45,N('Data by week'!$AI$45)*'Data by week'!$H$45,N('Data by week'!$AJ$45)*'Data by week'!$H$45,N('Data by week'!$AK$45)*'Data by week'!$H$45,N('Data by week'!$AL$45)*'Data by week'!$H$45),2)</f>
        <v/>
      </c>
      <c r="I43" s="10">
        <f>MAX(F43:H43)</f>
        <v/>
      </c>
      <c r="J43" s="8" t="inlineStr">
        <is>
          <t>pencils</t>
        </is>
      </c>
      <c r="K43" s="8" t="inlineStr">
        <is>
          <t>Week 1</t>
        </is>
      </c>
      <c r="L43" s="8" t="inlineStr">
        <is>
          <t>Year 7: W1, W2, W5, W7, W10; Year 8: W1, W3, W6, W8, W10; Year 9: W1, W4, W7, W8, W9</t>
        </is>
      </c>
      <c r="M43" s="8" t="inlineStr">
        <is>
          <t>Both plans</t>
        </is>
      </c>
      <c r="N43" s="8" t="inlineStr">
        <is>
          <t>Carry rulers and pencils safely; do not wave them near faces (Week 5).</t>
        </is>
      </c>
      <c r="O43" s="11" t="n"/>
      <c r="P43" s="11" t="n"/>
    </row>
    <row r="44">
      <c r="A44" s="8" t="inlineStr">
        <is>
          <t>Scene footprint print, true size (24 cm), A4</t>
        </is>
      </c>
      <c r="B44" s="8" t="inlineStr">
        <is>
          <t>现场脚印打印图（实际尺寸，24厘米）A4</t>
        </is>
      </c>
      <c r="C44" s="8" t="inlineStr">
        <is>
          <t>A4 portrait, printed at 100% (actual size), never 'fit to page'; check with a ruler that the footprint measures exactly 24 cm.</t>
        </is>
      </c>
      <c r="D44" s="8" t="inlineStr">
        <is>
          <t>Stationery and card</t>
        </is>
      </c>
      <c r="E44" s="8" t="inlineStr">
        <is>
          <t>Used up</t>
        </is>
      </c>
      <c r="F44" s="9">
        <f>ROUND('Data by week'!$AW$46*'Data by week'!$H$46,2)</f>
        <v/>
      </c>
      <c r="G44" s="9">
        <f>ROUND('Data by week'!$AX$46*'Data by week'!$H$46,2)</f>
        <v/>
      </c>
      <c r="H44" s="9">
        <f>ROUND('Data by week'!$AY$46*'Data by week'!$H$46,2)</f>
        <v/>
      </c>
      <c r="I44" s="10">
        <f>ROUNDUP(F44*'Read me'!$C$5+G44*'Read me'!$C$6+H44*'Read me'!$C$7,0)</f>
        <v/>
      </c>
      <c r="J44" s="8" t="inlineStr">
        <is>
          <t>prints</t>
        </is>
      </c>
      <c r="K44" s="8" t="inlineStr">
        <is>
          <t>Week 1</t>
        </is>
      </c>
      <c r="L44" s="8" t="inlineStr">
        <is>
          <t>Year 8: W1, W6</t>
        </is>
      </c>
      <c r="M44" s="8" t="inlineStr">
        <is>
          <t>Both plans</t>
        </is>
      </c>
      <c r="N44" s="8" t="inlineStr"/>
      <c r="O44" s="11" t="n"/>
      <c r="P44" s="11" t="n"/>
    </row>
    <row r="45">
      <c r="A45" s="8" t="inlineStr">
        <is>
          <t>White card, A4, 160 gsm</t>
        </is>
      </c>
      <c r="B45" s="8" t="inlineStr">
        <is>
          <t>160克白卡纸 A4</t>
        </is>
      </c>
      <c r="C45" s="8" t="inlineStr">
        <is>
          <t>A4 white card, 160 gsm, that feeds through the school printer (greyscale printing). 160 gsm is required for the Y7 spinner templates and assumed for all other card prints (cards, certificates, case file covers, fingerprint record cards, PRIZE strip).</t>
        </is>
      </c>
      <c r="D45" s="8" t="inlineStr">
        <is>
          <t>Stationery and card</t>
        </is>
      </c>
      <c r="E45" s="8" t="inlineStr">
        <is>
          <t>Used up</t>
        </is>
      </c>
      <c r="F45" s="9">
        <f>ROUND('Data by week'!$AW$47*'Data by week'!$H$47,2)</f>
        <v/>
      </c>
      <c r="G45" s="9">
        <f>ROUND('Data by week'!$AX$47*'Data by week'!$H$47,2)</f>
        <v/>
      </c>
      <c r="H45" s="9">
        <f>ROUND('Data by week'!$AY$47*'Data by week'!$H$47,2)</f>
        <v/>
      </c>
      <c r="I45" s="10">
        <f>ROUNDUP(F45*'Read me'!$C$5+G45*'Read me'!$C$6+H45*'Read me'!$C$7,0)</f>
        <v/>
      </c>
      <c r="J45" s="8" t="inlineStr">
        <is>
          <t>sheets</t>
        </is>
      </c>
      <c r="K45" s="8" t="inlineStr">
        <is>
          <t>Week 1</t>
        </is>
      </c>
      <c r="L45" s="8" t="inlineStr">
        <is>
          <t>Year 7: W1, W2, W3, W4, W5, W10; Year 8: W1, W2, W9, W10; Year 9: W1, W3, W4, W7, W10</t>
        </is>
      </c>
      <c r="M45" s="8" t="inlineStr">
        <is>
          <t>Both plans</t>
        </is>
      </c>
      <c r="N45" s="8" t="inlineStr"/>
      <c r="O45" s="11" t="n"/>
      <c r="P45" s="11" t="n"/>
    </row>
    <row r="46">
      <c r="A46" s="8" t="inlineStr">
        <is>
          <t>A4 paper, plain white, 80 gsm</t>
        </is>
      </c>
      <c r="B46" s="8" t="inlineStr">
        <is>
          <t>A4复印纸（白色，80克）</t>
        </is>
      </c>
      <c r="C46" s="8" t="inlineStr">
        <is>
          <t>Plain, unprinted A4 white paper. Y7 demo sheets must be smaller than the hardback book cover.</t>
        </is>
      </c>
      <c r="D46" s="8" t="inlineStr">
        <is>
          <t>Stationery and card</t>
        </is>
      </c>
      <c r="E46" s="8" t="inlineStr">
        <is>
          <t>Used up</t>
        </is>
      </c>
      <c r="F46" s="9">
        <f>ROUND('Data by week'!$AW$48*'Data by week'!$H$48,2)</f>
        <v/>
      </c>
      <c r="G46" s="9">
        <f>ROUND('Data by week'!$AX$48*'Data by week'!$H$48,2)</f>
        <v/>
      </c>
      <c r="H46" s="9">
        <f>ROUND('Data by week'!$AY$48*'Data by week'!$H$48,2)</f>
        <v/>
      </c>
      <c r="I46" s="10">
        <f>ROUNDUP(F46*'Read me'!$C$5+G46*'Read me'!$C$6+H46*'Read me'!$C$7,0)</f>
        <v/>
      </c>
      <c r="J46" s="8" t="inlineStr">
        <is>
          <t>sheets</t>
        </is>
      </c>
      <c r="K46" s="8" t="inlineStr">
        <is>
          <t>Week 2</t>
        </is>
      </c>
      <c r="L46" s="8" t="inlineStr">
        <is>
          <t>Year 7: W2; Year 8: W5, W8; Year 9: W8</t>
        </is>
      </c>
      <c r="M46" s="8" t="inlineStr">
        <is>
          <t>Both plans</t>
        </is>
      </c>
      <c r="N46" s="8" t="inlineStr">
        <is>
          <t>Measuring is voluntary. Use codes, not names. No comments on size</t>
        </is>
      </c>
      <c r="O46" s="11" t="n"/>
      <c r="P46" s="11" t="n"/>
    </row>
    <row r="47">
      <c r="A47" s="8" t="inlineStr">
        <is>
          <t>Clear sticky tape</t>
        </is>
      </c>
      <c r="B47" s="8" t="inlineStr">
        <is>
          <t>透明胶带</t>
        </is>
      </c>
      <c r="C47" s="8" t="inlineStr">
        <is>
          <t>Clear sticky tape rolls; 1 roll per group in Y8 for lifting fingerprints.</t>
        </is>
      </c>
      <c r="D47" s="8" t="inlineStr">
        <is>
          <t>Stationery and card</t>
        </is>
      </c>
      <c r="E47" s="8" t="inlineStr">
        <is>
          <t>Used up</t>
        </is>
      </c>
      <c r="F47" s="9">
        <f>ROUND('Data by week'!$AW$49*'Data by week'!$H$49,2)</f>
        <v/>
      </c>
      <c r="G47" s="9">
        <f>ROUND('Data by week'!$AX$49*'Data by week'!$H$49,2)</f>
        <v/>
      </c>
      <c r="H47" s="9">
        <f>ROUND('Data by week'!$AY$49*'Data by week'!$H$49,2)</f>
        <v/>
      </c>
      <c r="I47" s="10">
        <f>ROUNDUP(F47*'Read me'!$C$5+G47*'Read me'!$C$6+H47*'Read me'!$C$7,0)</f>
        <v/>
      </c>
      <c r="J47" s="8" t="inlineStr">
        <is>
          <t>rolls</t>
        </is>
      </c>
      <c r="K47" s="8" t="inlineStr">
        <is>
          <t>Week 2</t>
        </is>
      </c>
      <c r="L47" s="8" t="inlineStr">
        <is>
          <t>Year 8: W2, W3, W4, W8; Year 9: W10</t>
        </is>
      </c>
      <c r="M47" s="8" t="inlineStr">
        <is>
          <t>Both plans</t>
        </is>
      </c>
      <c r="N47" s="8" t="inlineStr">
        <is>
          <t>Do not put tape in your mouth.</t>
        </is>
      </c>
      <c r="O47" s="11" t="n"/>
      <c r="P47" s="11" t="n"/>
    </row>
    <row r="48">
      <c r="A48" s="8" t="inlineStr">
        <is>
          <t>Paper clips, standard 28 mm</t>
        </is>
      </c>
      <c r="B48" s="8" t="inlineStr">
        <is>
          <t>回形针（标准28毫米）</t>
        </is>
      </c>
      <c r="C48" s="8" t="inlineStr">
        <is>
          <t>Standard 28 mm metal paper clips, all the same size (they set the spinner mass).</t>
        </is>
      </c>
      <c r="D48" s="8" t="inlineStr">
        <is>
          <t>Stationery and card</t>
        </is>
      </c>
      <c r="E48" s="8" t="inlineStr">
        <is>
          <t>Used up</t>
        </is>
      </c>
      <c r="F48" s="9">
        <f>ROUND('Data by week'!$AW$50*'Data by week'!$H$50,2)</f>
        <v/>
      </c>
      <c r="G48" s="9">
        <f>ROUND('Data by week'!$AX$50*'Data by week'!$H$50,2)</f>
        <v/>
      </c>
      <c r="H48" s="9">
        <f>ROUND('Data by week'!$AY$50*'Data by week'!$H$50,2)</f>
        <v/>
      </c>
      <c r="I48" s="10">
        <f>ROUNDUP(F48*'Read me'!$C$5+G48*'Read me'!$C$6+H48*'Read me'!$C$7,0)</f>
        <v/>
      </c>
      <c r="J48" s="8" t="inlineStr">
        <is>
          <t>clips</t>
        </is>
      </c>
      <c r="K48" s="8" t="inlineStr">
        <is>
          <t>Week 2</t>
        </is>
      </c>
      <c r="L48" s="8" t="inlineStr">
        <is>
          <t>Year 7: W2, W3, W4; Year 8: W3</t>
        </is>
      </c>
      <c r="M48" s="8" t="inlineStr">
        <is>
          <t>Both plans</t>
        </is>
      </c>
      <c r="N48" s="8" t="inlineStr">
        <is>
          <t>Do not unbend paper clips or point them at anyone.</t>
        </is>
      </c>
      <c r="O48" s="11" t="n"/>
      <c r="P48" s="11" t="n"/>
    </row>
    <row r="49">
      <c r="A49" s="8" t="inlineStr">
        <is>
          <t>Permanent marker pens, black</t>
        </is>
      </c>
      <c r="B49" s="8" t="inlineStr">
        <is>
          <t>黑色油性记号笔</t>
        </is>
      </c>
      <c r="C49" s="8" t="inlineStr">
        <is>
          <t>Black permanent marker that writes on plastic cups, paper cups, bottles and laminated boards.</t>
        </is>
      </c>
      <c r="D49" s="8" t="inlineStr">
        <is>
          <t>Stationery and card</t>
        </is>
      </c>
      <c r="E49" s="8" t="inlineStr">
        <is>
          <t>Reusable</t>
        </is>
      </c>
      <c r="F49" s="9">
        <f>ROUND(MAX(N('Data by week'!$I$51)*'Data by week'!$H$51,N('Data by week'!$J$51)*'Data by week'!$H$51,N('Data by week'!$K$51)*'Data by week'!$H$51,N('Data by week'!$L$51)*'Data by week'!$H$51,N('Data by week'!$M$51)*'Data by week'!$H$51,N('Data by week'!$N$51)*'Data by week'!$H$51,N('Data by week'!$O$51)*'Data by week'!$H$51,N('Data by week'!$P$51)*'Data by week'!$H$51,N('Data by week'!$Q$51)*'Data by week'!$H$51,N('Data by week'!$R$51)*'Data by week'!$H$51),2)</f>
        <v/>
      </c>
      <c r="G49" s="9">
        <f>ROUND(MAX(N('Data by week'!$S$51)*'Data by week'!$H$51,N('Data by week'!$T$51)*'Data by week'!$H$51,N('Data by week'!$U$51)*'Data by week'!$H$51,N('Data by week'!$V$51)*'Data by week'!$H$51,N('Data by week'!$W$51)*'Data by week'!$H$51,N('Data by week'!$X$51)*'Data by week'!$H$51,N('Data by week'!$Y$51)*'Data by week'!$H$51,N('Data by week'!$Z$51)*'Data by week'!$H$51,N('Data by week'!$AA$51)*'Data by week'!$H$51,N('Data by week'!$AB$51)*'Data by week'!$H$51),2)</f>
        <v/>
      </c>
      <c r="H49" s="9">
        <f>ROUND(MAX(N('Data by week'!$AC$51)*'Data by week'!$H$51,N('Data by week'!$AD$51)*'Data by week'!$H$51,N('Data by week'!$AE$51)*'Data by week'!$H$51,N('Data by week'!$AF$51)*'Data by week'!$H$51,N('Data by week'!$AG$51)*'Data by week'!$H$51,N('Data by week'!$AH$51)*'Data by week'!$H$51,N('Data by week'!$AI$51)*'Data by week'!$H$51,N('Data by week'!$AJ$51)*'Data by week'!$H$51,N('Data by week'!$AK$51)*'Data by week'!$H$51,N('Data by week'!$AL$51)*'Data by week'!$H$51),2)</f>
        <v/>
      </c>
      <c r="I49" s="10">
        <f>MAX(F49:H49)</f>
        <v/>
      </c>
      <c r="J49" s="8" t="inlineStr">
        <is>
          <t>markers</t>
        </is>
      </c>
      <c r="K49" s="8" t="inlineStr">
        <is>
          <t>Week 2</t>
        </is>
      </c>
      <c r="L49" s="8" t="inlineStr">
        <is>
          <t>Year 7: W2, W5, W6, W7, W8; Year 8: W8</t>
        </is>
      </c>
      <c r="M49" s="8" t="inlineStr">
        <is>
          <t>Both plans</t>
        </is>
      </c>
      <c r="N49" s="8" t="inlineStr"/>
      <c r="O49" s="11" t="n"/>
      <c r="P49" s="11" t="n"/>
    </row>
    <row r="50">
      <c r="A50" s="8" t="inlineStr">
        <is>
          <t>Soft pencils, 2B to 4B</t>
        </is>
      </c>
      <c r="B50" s="8" t="inlineStr">
        <is>
          <t>2B至4B铅笔（软芯）</t>
        </is>
      </c>
      <c r="C50" s="8" t="inlineStr">
        <is>
          <t>2B to 4B soft pencils for shading graphite patches to take fingerprints.</t>
        </is>
      </c>
      <c r="D50" s="8" t="inlineStr">
        <is>
          <t>Stationery and card</t>
        </is>
      </c>
      <c r="E50" s="8" t="inlineStr">
        <is>
          <t>Reusable</t>
        </is>
      </c>
      <c r="F50" s="9">
        <f>ROUND(MAX(N('Data by week'!$I$52)*'Data by week'!$H$52,N('Data by week'!$J$52)*'Data by week'!$H$52,N('Data by week'!$K$52)*'Data by week'!$H$52,N('Data by week'!$L$52)*'Data by week'!$H$52,N('Data by week'!$M$52)*'Data by week'!$H$52,N('Data by week'!$N$52)*'Data by week'!$H$52,N('Data by week'!$O$52)*'Data by week'!$H$52,N('Data by week'!$P$52)*'Data by week'!$H$52,N('Data by week'!$Q$52)*'Data by week'!$H$52,N('Data by week'!$R$52)*'Data by week'!$H$52),2)</f>
        <v/>
      </c>
      <c r="G50" s="9">
        <f>ROUND(MAX(N('Data by week'!$S$52)*'Data by week'!$H$52,N('Data by week'!$T$52)*'Data by week'!$H$52,N('Data by week'!$U$52)*'Data by week'!$H$52,N('Data by week'!$V$52)*'Data by week'!$H$52,N('Data by week'!$W$52)*'Data by week'!$H$52,N('Data by week'!$X$52)*'Data by week'!$H$52,N('Data by week'!$Y$52)*'Data by week'!$H$52,N('Data by week'!$Z$52)*'Data by week'!$H$52,N('Data by week'!$AA$52)*'Data by week'!$H$52,N('Data by week'!$AB$52)*'Data by week'!$H$52),2)</f>
        <v/>
      </c>
      <c r="H50" s="9">
        <f>ROUND(MAX(N('Data by week'!$AC$52)*'Data by week'!$H$52,N('Data by week'!$AD$52)*'Data by week'!$H$52,N('Data by week'!$AE$52)*'Data by week'!$H$52,N('Data by week'!$AF$52)*'Data by week'!$H$52,N('Data by week'!$AG$52)*'Data by week'!$H$52,N('Data by week'!$AH$52)*'Data by week'!$H$52,N('Data by week'!$AI$52)*'Data by week'!$H$52,N('Data by week'!$AJ$52)*'Data by week'!$H$52,N('Data by week'!$AK$52)*'Data by week'!$H$52,N('Data by week'!$AL$52)*'Data by week'!$H$52),2)</f>
        <v/>
      </c>
      <c r="I50" s="10">
        <f>MAX(F50:H50)</f>
        <v/>
      </c>
      <c r="J50" s="8" t="inlineStr">
        <is>
          <t>pencils</t>
        </is>
      </c>
      <c r="K50" s="8" t="inlineStr">
        <is>
          <t>Week 2</t>
        </is>
      </c>
      <c r="L50" s="8" t="inlineStr">
        <is>
          <t>Year 8: W2</t>
        </is>
      </c>
      <c r="M50" s="8" t="inlineStr">
        <is>
          <t>Both plans</t>
        </is>
      </c>
      <c r="N50" s="8" t="inlineStr">
        <is>
          <t>Graphite makes fingers dirty: wash hands after taking fingerprints. Do not put pencils in your mouth.</t>
        </is>
      </c>
      <c r="O50" s="11" t="n"/>
      <c r="P50" s="11" t="n"/>
    </row>
    <row r="51">
      <c r="A51" s="8" t="inlineStr">
        <is>
          <t>Whiteboard marker (board pen)</t>
        </is>
      </c>
      <c r="B51" s="8" t="inlineStr">
        <is>
          <t>白板笔（教师用）</t>
        </is>
      </c>
      <c r="C51" s="8" t="inlineStr">
        <is>
          <t>Whiteboard marker for the class board.</t>
        </is>
      </c>
      <c r="D51" s="8" t="inlineStr">
        <is>
          <t>Stationery and card</t>
        </is>
      </c>
      <c r="E51" s="8" t="inlineStr">
        <is>
          <t>Reusable</t>
        </is>
      </c>
      <c r="F51" s="9">
        <f>ROUND(MAX(N('Data by week'!$I$53)*'Data by week'!$H$53,N('Data by week'!$J$53)*'Data by week'!$H$53,N('Data by week'!$K$53)*'Data by week'!$H$53,N('Data by week'!$L$53)*'Data by week'!$H$53,N('Data by week'!$M$53)*'Data by week'!$H$53,N('Data by week'!$N$53)*'Data by week'!$H$53,N('Data by week'!$O$53)*'Data by week'!$H$53,N('Data by week'!$P$53)*'Data by week'!$H$53,N('Data by week'!$Q$53)*'Data by week'!$H$53,N('Data by week'!$R$53)*'Data by week'!$H$53),2)</f>
        <v/>
      </c>
      <c r="G51" s="9">
        <f>ROUND(MAX(N('Data by week'!$S$53)*'Data by week'!$H$53,N('Data by week'!$T$53)*'Data by week'!$H$53,N('Data by week'!$U$53)*'Data by week'!$H$53,N('Data by week'!$V$53)*'Data by week'!$H$53,N('Data by week'!$W$53)*'Data by week'!$H$53,N('Data by week'!$X$53)*'Data by week'!$H$53,N('Data by week'!$Y$53)*'Data by week'!$H$53,N('Data by week'!$Z$53)*'Data by week'!$H$53,N('Data by week'!$AA$53)*'Data by week'!$H$53,N('Data by week'!$AB$53)*'Data by week'!$H$53),2)</f>
        <v/>
      </c>
      <c r="H51" s="9">
        <f>ROUND(MAX(N('Data by week'!$AC$53)*'Data by week'!$H$53,N('Data by week'!$AD$53)*'Data by week'!$H$53,N('Data by week'!$AE$53)*'Data by week'!$H$53,N('Data by week'!$AF$53)*'Data by week'!$H$53,N('Data by week'!$AG$53)*'Data by week'!$H$53,N('Data by week'!$AH$53)*'Data by week'!$H$53,N('Data by week'!$AI$53)*'Data by week'!$H$53,N('Data by week'!$AJ$53)*'Data by week'!$H$53,N('Data by week'!$AK$53)*'Data by week'!$H$53,N('Data by week'!$AL$53)*'Data by week'!$H$53),2)</f>
        <v/>
      </c>
      <c r="I51" s="10">
        <f>MAX(F51:H51)</f>
        <v/>
      </c>
      <c r="J51" s="8" t="inlineStr">
        <is>
          <t>pens</t>
        </is>
      </c>
      <c r="K51" s="8" t="inlineStr">
        <is>
          <t>Week 2</t>
        </is>
      </c>
      <c r="L51" s="8" t="inlineStr">
        <is>
          <t>Year 9: W2</t>
        </is>
      </c>
      <c r="M51" s="8" t="inlineStr">
        <is>
          <t>Both plans</t>
        </is>
      </c>
      <c r="N51" s="8" t="inlineStr"/>
      <c r="O51" s="11" t="n"/>
      <c r="P51" s="11" t="n"/>
    </row>
    <row r="52">
      <c r="A52" s="8" t="inlineStr">
        <is>
          <t>Envelopes, C5 (for A5)</t>
        </is>
      </c>
      <c r="B52" s="8" t="inlineStr">
        <is>
          <t>C5信封（可放A5纸）</t>
        </is>
      </c>
      <c r="C52" s="8" t="inlineStr">
        <is>
          <t>C5, holds A5 cards or a results table flat (Y7 group spinner envelopes; Y8 envelope to hide six A5 cleaning log cards). Label with the group name.</t>
        </is>
      </c>
      <c r="D52" s="8" t="inlineStr">
        <is>
          <t>Stationery and card</t>
        </is>
      </c>
      <c r="E52" s="8" t="inlineStr">
        <is>
          <t>Kept by class</t>
        </is>
      </c>
      <c r="F52" s="9">
        <f>ROUND(MAX(N('Data by week'!$I$54)*'Data by week'!$H$54,N('Data by week'!$J$54)*'Data by week'!$H$54,N('Data by week'!$K$54)*'Data by week'!$H$54,N('Data by week'!$L$54)*'Data by week'!$H$54,N('Data by week'!$M$54)*'Data by week'!$H$54,N('Data by week'!$N$54)*'Data by week'!$H$54,N('Data by week'!$O$54)*'Data by week'!$H$54,N('Data by week'!$P$54)*'Data by week'!$H$54,N('Data by week'!$Q$54)*'Data by week'!$H$54,N('Data by week'!$R$54)*'Data by week'!$H$54),2)</f>
        <v/>
      </c>
      <c r="G52" s="9">
        <f>ROUND(MAX(N('Data by week'!$S$54)*'Data by week'!$H$54,N('Data by week'!$T$54)*'Data by week'!$H$54,N('Data by week'!$U$54)*'Data by week'!$H$54,N('Data by week'!$V$54)*'Data by week'!$H$54,N('Data by week'!$W$54)*'Data by week'!$H$54,N('Data by week'!$X$54)*'Data by week'!$H$54,N('Data by week'!$Y$54)*'Data by week'!$H$54,N('Data by week'!$Z$54)*'Data by week'!$H$54,N('Data by week'!$AA$54)*'Data by week'!$H$54,N('Data by week'!$AB$54)*'Data by week'!$H$54),2)</f>
        <v/>
      </c>
      <c r="H52" s="9">
        <f>ROUND(MAX(N('Data by week'!$AC$54)*'Data by week'!$H$54,N('Data by week'!$AD$54)*'Data by week'!$H$54,N('Data by week'!$AE$54)*'Data by week'!$H$54,N('Data by week'!$AF$54)*'Data by week'!$H$54,N('Data by week'!$AG$54)*'Data by week'!$H$54,N('Data by week'!$AH$54)*'Data by week'!$H$54,N('Data by week'!$AI$54)*'Data by week'!$H$54,N('Data by week'!$AJ$54)*'Data by week'!$H$54,N('Data by week'!$AK$54)*'Data by week'!$H$54,N('Data by week'!$AL$54)*'Data by week'!$H$54),2)</f>
        <v/>
      </c>
      <c r="I52" s="10">
        <f>ROUNDUP(F52*'Read me'!$C$5+G52*'Read me'!$C$6+H52*'Read me'!$C$7,0)</f>
        <v/>
      </c>
      <c r="J52" s="8" t="inlineStr">
        <is>
          <t>envelopes</t>
        </is>
      </c>
      <c r="K52" s="8" t="inlineStr">
        <is>
          <t>Week 3</t>
        </is>
      </c>
      <c r="L52" s="8" t="inlineStr">
        <is>
          <t>Year 7: W3, W4, W5; Year 8: W9</t>
        </is>
      </c>
      <c r="M52" s="8" t="inlineStr">
        <is>
          <t>Both plans</t>
        </is>
      </c>
      <c r="N52" s="8" t="inlineStr"/>
      <c r="O52" s="11" t="n"/>
      <c r="P52" s="11" t="n"/>
    </row>
    <row r="53">
      <c r="A53" s="8" t="inlineStr">
        <is>
          <t>Black card, small pieces</t>
        </is>
      </c>
      <c r="B53" s="8" t="inlineStr">
        <is>
          <t>黑色卡纸（小张）</t>
        </is>
      </c>
      <c r="C53" s="8" t="inlineStr">
        <is>
          <t>Small pieces of black card to view white powders on (with a magnifying glass).</t>
        </is>
      </c>
      <c r="D53" s="8" t="inlineStr">
        <is>
          <t>Stationery and card</t>
        </is>
      </c>
      <c r="E53" s="8" t="inlineStr">
        <is>
          <t>Reusable</t>
        </is>
      </c>
      <c r="F53" s="9">
        <f>ROUND(MAX(N('Data by week'!$I$55)*'Data by week'!$H$55,N('Data by week'!$J$55)*'Data by week'!$H$55,N('Data by week'!$K$55)*'Data by week'!$H$55,N('Data by week'!$L$55)*'Data by week'!$H$55,N('Data by week'!$M$55)*'Data by week'!$H$55,N('Data by week'!$N$55)*'Data by week'!$H$55,N('Data by week'!$O$55)*'Data by week'!$H$55,N('Data by week'!$P$55)*'Data by week'!$H$55,N('Data by week'!$Q$55)*'Data by week'!$H$55,N('Data by week'!$R$55)*'Data by week'!$H$55),2)</f>
        <v/>
      </c>
      <c r="G53" s="9">
        <f>ROUND(MAX(N('Data by week'!$S$55)*'Data by week'!$H$55,N('Data by week'!$T$55)*'Data by week'!$H$55,N('Data by week'!$U$55)*'Data by week'!$H$55,N('Data by week'!$V$55)*'Data by week'!$H$55,N('Data by week'!$W$55)*'Data by week'!$H$55,N('Data by week'!$X$55)*'Data by week'!$H$55,N('Data by week'!$Y$55)*'Data by week'!$H$55,N('Data by week'!$Z$55)*'Data by week'!$H$55,N('Data by week'!$AA$55)*'Data by week'!$H$55,N('Data by week'!$AB$55)*'Data by week'!$H$55),2)</f>
        <v/>
      </c>
      <c r="H53" s="9">
        <f>ROUND(MAX(N('Data by week'!$AC$55)*'Data by week'!$H$55,N('Data by week'!$AD$55)*'Data by week'!$H$55,N('Data by week'!$AE$55)*'Data by week'!$H$55,N('Data by week'!$AF$55)*'Data by week'!$H$55,N('Data by week'!$AG$55)*'Data by week'!$H$55,N('Data by week'!$AH$55)*'Data by week'!$H$55,N('Data by week'!$AI$55)*'Data by week'!$H$55,N('Data by week'!$AJ$55)*'Data by week'!$H$55,N('Data by week'!$AK$55)*'Data by week'!$H$55,N('Data by week'!$AL$55)*'Data by week'!$H$55),2)</f>
        <v/>
      </c>
      <c r="I53" s="10">
        <f>MAX(F53:H53)</f>
        <v/>
      </c>
      <c r="J53" s="8" t="inlineStr">
        <is>
          <t>pieces</t>
        </is>
      </c>
      <c r="K53" s="8" t="inlineStr">
        <is>
          <t>Week 4</t>
        </is>
      </c>
      <c r="L53" s="8" t="inlineStr">
        <is>
          <t>Year 8: W4, W8</t>
        </is>
      </c>
      <c r="M53" s="8" t="inlineStr">
        <is>
          <t>Both plans</t>
        </is>
      </c>
      <c r="N53" s="8" t="inlineStr"/>
      <c r="O53" s="11" t="n"/>
      <c r="P53" s="11" t="n"/>
    </row>
    <row r="54">
      <c r="A54" s="8" t="inlineStr">
        <is>
          <t>Sticky labels</t>
        </is>
      </c>
      <c r="B54" s="8" t="inlineStr">
        <is>
          <t>不干胶标签</t>
        </is>
      </c>
      <c r="C54" s="8" t="inlineStr">
        <is>
          <t>Sticky labels for pots, cups, bottles and bags (or write on them with a permanent marker).</t>
        </is>
      </c>
      <c r="D54" s="8" t="inlineStr">
        <is>
          <t>Stationery and card</t>
        </is>
      </c>
      <c r="E54" s="8" t="inlineStr">
        <is>
          <t>Used up</t>
        </is>
      </c>
      <c r="F54" s="9">
        <f>ROUND('Data by week'!$AW$56*'Data by week'!$H$56,2)</f>
        <v/>
      </c>
      <c r="G54" s="9">
        <f>ROUND('Data by week'!$AX$56*'Data by week'!$H$56,2)</f>
        <v/>
      </c>
      <c r="H54" s="9">
        <f>ROUND('Data by week'!$AY$56*'Data by week'!$H$56,2)</f>
        <v/>
      </c>
      <c r="I54" s="10">
        <f>ROUNDUP(F54*'Read me'!$C$5+G54*'Read me'!$C$6+H54*'Read me'!$C$7,0)</f>
        <v/>
      </c>
      <c r="J54" s="8" t="inlineStr">
        <is>
          <t>labels</t>
        </is>
      </c>
      <c r="K54" s="8" t="inlineStr">
        <is>
          <t>Week 4</t>
        </is>
      </c>
      <c r="L54" s="8" t="inlineStr">
        <is>
          <t>Year 8: W4, W5, W7, W8</t>
        </is>
      </c>
      <c r="M54" s="8" t="inlineStr">
        <is>
          <t>Both plans</t>
        </is>
      </c>
      <c r="N54" s="8" t="inlineStr"/>
      <c r="O54" s="11" t="n"/>
      <c r="P54" s="11" t="n"/>
    </row>
    <row r="55">
      <c r="A55" s="8" t="inlineStr">
        <is>
          <t>Sticky notes</t>
        </is>
      </c>
      <c r="B55" s="8" t="inlineStr">
        <is>
          <t>便利贴</t>
        </is>
      </c>
      <c r="C55" s="8" t="inlineStr">
        <is>
          <t>Sticky note pads.</t>
        </is>
      </c>
      <c r="D55" s="8" t="inlineStr">
        <is>
          <t>Stationery and card</t>
        </is>
      </c>
      <c r="E55" s="8" t="inlineStr">
        <is>
          <t>Used up</t>
        </is>
      </c>
      <c r="F55" s="9">
        <f>ROUND('Data by week'!$AW$57*'Data by week'!$H$57,2)</f>
        <v/>
      </c>
      <c r="G55" s="9">
        <f>ROUND('Data by week'!$AX$57*'Data by week'!$H$57,2)</f>
        <v/>
      </c>
      <c r="H55" s="9">
        <f>ROUND('Data by week'!$AY$57*'Data by week'!$H$57,2)</f>
        <v/>
      </c>
      <c r="I55" s="10">
        <f>ROUNDUP(F55*'Read me'!$C$5+G55*'Read me'!$C$6+H55*'Read me'!$C$7,0)</f>
        <v/>
      </c>
      <c r="J55" s="8" t="inlineStr">
        <is>
          <t>notes</t>
        </is>
      </c>
      <c r="K55" s="8" t="inlineStr">
        <is>
          <t>Week 4</t>
        </is>
      </c>
      <c r="L55" s="8" t="inlineStr">
        <is>
          <t>Year 7: W10; Year 8: W5; Year 9: W4, W8</t>
        </is>
      </c>
      <c r="M55" s="8" t="inlineStr">
        <is>
          <t>Both plans</t>
        </is>
      </c>
      <c r="N55" s="8" t="inlineStr">
        <is>
          <t>Take the sticky notes off the walls at clean-up</t>
        </is>
      </c>
      <c r="O55" s="11" t="n"/>
      <c r="P55" s="11" t="n"/>
    </row>
    <row r="56">
      <c r="A56" s="8" t="inlineStr">
        <is>
          <t>Colour printing: red cabbage pH colour chart</t>
        </is>
      </c>
      <c r="B56" s="8" t="inlineStr">
        <is>
          <t>彩色打印：紫甘蓝pH比色卡</t>
        </is>
      </c>
      <c r="C56" s="8" t="inlineStr">
        <is>
          <t>Colour prints of the red cabbage pH colour chart with the colour name written in every box: 6 A5 group copies (then laminated) plus 1 A3 wall copy.</t>
        </is>
      </c>
      <c r="D56" s="8" t="inlineStr">
        <is>
          <t>Stationery and card</t>
        </is>
      </c>
      <c r="E56" s="8" t="inlineStr">
        <is>
          <t>Used up</t>
        </is>
      </c>
      <c r="F56" s="9">
        <f>ROUND('Data by week'!$AW$58*'Data by week'!$H$58,2)</f>
        <v/>
      </c>
      <c r="G56" s="9">
        <f>ROUND('Data by week'!$AX$58*'Data by week'!$H$58,2)</f>
        <v/>
      </c>
      <c r="H56" s="9">
        <f>ROUND('Data by week'!$AY$58*'Data by week'!$H$58,2)</f>
        <v/>
      </c>
      <c r="I56" s="10">
        <f>ROUNDUP(F56*'Read me'!$C$5+G56*'Read me'!$C$6+H56*'Read me'!$C$7,0)</f>
        <v/>
      </c>
      <c r="J56" s="8" t="inlineStr">
        <is>
          <t>colour prints</t>
        </is>
      </c>
      <c r="K56" s="8" t="inlineStr">
        <is>
          <t>Week 5</t>
        </is>
      </c>
      <c r="L56" s="8" t="inlineStr">
        <is>
          <t>Year 8: W5</t>
        </is>
      </c>
      <c r="M56" s="8" t="inlineStr">
        <is>
          <t>Both plans</t>
        </is>
      </c>
      <c r="N56" s="8" t="inlineStr"/>
      <c r="O56" s="11" t="n"/>
      <c r="P56" s="11" t="n"/>
    </row>
    <row r="57">
      <c r="A57" s="8" t="inlineStr">
        <is>
          <t>Pencil sharpener</t>
        </is>
      </c>
      <c r="B57" s="8" t="inlineStr">
        <is>
          <t>卷笔刀</t>
        </is>
      </c>
      <c r="C57" s="8" t="inlineStr">
        <is>
          <t>For the teacher desk.</t>
        </is>
      </c>
      <c r="D57" s="8" t="inlineStr">
        <is>
          <t>Stationery and card</t>
        </is>
      </c>
      <c r="E57" s="8" t="inlineStr">
        <is>
          <t>Reusable</t>
        </is>
      </c>
      <c r="F57" s="9">
        <f>ROUND(MAX(N('Data by week'!$I$59)*'Data by week'!$H$59,N('Data by week'!$J$59)*'Data by week'!$H$59,N('Data by week'!$K$59)*'Data by week'!$H$59,N('Data by week'!$L$59)*'Data by week'!$H$59,N('Data by week'!$M$59)*'Data by week'!$H$59,N('Data by week'!$N$59)*'Data by week'!$H$59,N('Data by week'!$O$59)*'Data by week'!$H$59,N('Data by week'!$P$59)*'Data by week'!$H$59,N('Data by week'!$Q$59)*'Data by week'!$H$59,N('Data by week'!$R$59)*'Data by week'!$H$59),2)</f>
        <v/>
      </c>
      <c r="G57" s="9">
        <f>ROUND(MAX(N('Data by week'!$S$59)*'Data by week'!$H$59,N('Data by week'!$T$59)*'Data by week'!$H$59,N('Data by week'!$U$59)*'Data by week'!$H$59,N('Data by week'!$V$59)*'Data by week'!$H$59,N('Data by week'!$W$59)*'Data by week'!$H$59,N('Data by week'!$X$59)*'Data by week'!$H$59,N('Data by week'!$Y$59)*'Data by week'!$H$59,N('Data by week'!$Z$59)*'Data by week'!$H$59,N('Data by week'!$AA$59)*'Data by week'!$H$59,N('Data by week'!$AB$59)*'Data by week'!$H$59),2)</f>
        <v/>
      </c>
      <c r="H57" s="9">
        <f>ROUND(MAX(N('Data by week'!$AC$59)*'Data by week'!$H$59,N('Data by week'!$AD$59)*'Data by week'!$H$59,N('Data by week'!$AE$59)*'Data by week'!$H$59,N('Data by week'!$AF$59)*'Data by week'!$H$59,N('Data by week'!$AG$59)*'Data by week'!$H$59,N('Data by week'!$AH$59)*'Data by week'!$H$59,N('Data by week'!$AI$59)*'Data by week'!$H$59,N('Data by week'!$AJ$59)*'Data by week'!$H$59,N('Data by week'!$AK$59)*'Data by week'!$H$59,N('Data by week'!$AL$59)*'Data by week'!$H$59),2)</f>
        <v/>
      </c>
      <c r="I57" s="10">
        <f>MAX(F57:H57)</f>
        <v/>
      </c>
      <c r="J57" s="8" t="inlineStr">
        <is>
          <t>sharpeners</t>
        </is>
      </c>
      <c r="K57" s="8" t="inlineStr">
        <is>
          <t>Week 5</t>
        </is>
      </c>
      <c r="L57" s="8" t="inlineStr">
        <is>
          <t>Year 7: W5</t>
        </is>
      </c>
      <c r="M57" s="8" t="inlineStr">
        <is>
          <t>Both plans</t>
        </is>
      </c>
      <c r="N57" s="8" t="inlineStr"/>
      <c r="O57" s="11" t="n"/>
      <c r="P57" s="11" t="n"/>
    </row>
    <row r="58">
      <c r="A58" s="8" t="inlineStr">
        <is>
          <t>String, strong</t>
        </is>
      </c>
      <c r="B58" s="8" t="inlineStr">
        <is>
          <t>结实的细绳</t>
        </is>
      </c>
      <c r="C58" s="8" t="inlineStr">
        <is>
          <t>Strong enough to hang a bag of water from a strip (plain strips should snap at about 150 to 500 ml of water).</t>
        </is>
      </c>
      <c r="D58" s="8" t="inlineStr">
        <is>
          <t>Stationery and card</t>
        </is>
      </c>
      <c r="E58" s="8" t="inlineStr">
        <is>
          <t>Used up</t>
        </is>
      </c>
      <c r="F58" s="9">
        <f>ROUND('Data by week'!$AW$60*'Data by week'!$H$60,2)</f>
        <v/>
      </c>
      <c r="G58" s="9">
        <f>ROUND('Data by week'!$AX$60*'Data by week'!$H$60,2)</f>
        <v/>
      </c>
      <c r="H58" s="9">
        <f>ROUND('Data by week'!$AY$60*'Data by week'!$H$60,2)</f>
        <v/>
      </c>
      <c r="I58" s="10">
        <f>ROUNDUP(F58*'Read me'!$C$5+G58*'Read me'!$C$6+H58*'Read me'!$C$7,0)</f>
        <v/>
      </c>
      <c r="J58" s="8" t="inlineStr">
        <is>
          <t>lengths</t>
        </is>
      </c>
      <c r="K58" s="8" t="inlineStr">
        <is>
          <t>Week 5</t>
        </is>
      </c>
      <c r="L58" s="8" t="inlineStr">
        <is>
          <t>Year 7: W5, W8, W10</t>
        </is>
      </c>
      <c r="M58" s="8" t="inlineStr">
        <is>
          <t>Both plans</t>
        </is>
      </c>
      <c r="N58" s="8" t="inlineStr"/>
      <c r="O58" s="11" t="n"/>
      <c r="P58" s="11" t="n"/>
    </row>
    <row r="59">
      <c r="A59" s="8" t="inlineStr">
        <is>
          <t>Group folders, A3</t>
        </is>
      </c>
      <c r="B59" s="8" t="inlineStr">
        <is>
          <t>A3文件夹（小组用）</t>
        </is>
      </c>
      <c r="C59" s="8" t="inlineStr">
        <is>
          <t>1 per group; must hold the A3 poster and planning frame flat.</t>
        </is>
      </c>
      <c r="D59" s="8" t="inlineStr">
        <is>
          <t>Stationery and card</t>
        </is>
      </c>
      <c r="E59" s="8" t="inlineStr">
        <is>
          <t>Kept by class</t>
        </is>
      </c>
      <c r="F59" s="9">
        <f>ROUND(MAX(N('Data by week'!$I$61)*'Data by week'!$H$61,N('Data by week'!$J$61)*'Data by week'!$H$61,N('Data by week'!$K$61)*'Data by week'!$H$61,N('Data by week'!$L$61)*'Data by week'!$H$61,N('Data by week'!$M$61)*'Data by week'!$H$61,N('Data by week'!$N$61)*'Data by week'!$H$61,N('Data by week'!$O$61)*'Data by week'!$H$61,N('Data by week'!$P$61)*'Data by week'!$H$61,N('Data by week'!$Q$61)*'Data by week'!$H$61,N('Data by week'!$R$61)*'Data by week'!$H$61),2)</f>
        <v/>
      </c>
      <c r="G59" s="9">
        <f>ROUND(MAX(N('Data by week'!$S$61)*'Data by week'!$H$61,N('Data by week'!$T$61)*'Data by week'!$H$61,N('Data by week'!$U$61)*'Data by week'!$H$61,N('Data by week'!$V$61)*'Data by week'!$H$61,N('Data by week'!$W$61)*'Data by week'!$H$61,N('Data by week'!$X$61)*'Data by week'!$H$61,N('Data by week'!$Y$61)*'Data by week'!$H$61,N('Data by week'!$Z$61)*'Data by week'!$H$61,N('Data by week'!$AA$61)*'Data by week'!$H$61,N('Data by week'!$AB$61)*'Data by week'!$H$61),2)</f>
        <v/>
      </c>
      <c r="H59" s="9">
        <f>ROUND(MAX(N('Data by week'!$AC$61)*'Data by week'!$H$61,N('Data by week'!$AD$61)*'Data by week'!$H$61,N('Data by week'!$AE$61)*'Data by week'!$H$61,N('Data by week'!$AF$61)*'Data by week'!$H$61,N('Data by week'!$AG$61)*'Data by week'!$H$61,N('Data by week'!$AH$61)*'Data by week'!$H$61,N('Data by week'!$AI$61)*'Data by week'!$H$61,N('Data by week'!$AJ$61)*'Data by week'!$H$61,N('Data by week'!$AK$61)*'Data by week'!$H$61,N('Data by week'!$AL$61)*'Data by week'!$H$61),2)</f>
        <v/>
      </c>
      <c r="I59" s="10">
        <f>ROUNDUP(F59*'Read me'!$C$5+G59*'Read me'!$C$6+H59*'Read me'!$C$7,0)</f>
        <v/>
      </c>
      <c r="J59" s="8" t="inlineStr">
        <is>
          <t>folders</t>
        </is>
      </c>
      <c r="K59" s="8" t="inlineStr">
        <is>
          <t>Week 6</t>
        </is>
      </c>
      <c r="L59" s="8" t="inlineStr">
        <is>
          <t>Year 7: W6, W7, W8, W9, W10</t>
        </is>
      </c>
      <c r="M59" s="8" t="inlineStr">
        <is>
          <t>Both plans</t>
        </is>
      </c>
      <c r="N59" s="8" t="inlineStr"/>
      <c r="O59" s="11" t="n"/>
      <c r="P59" s="11" t="n"/>
    </row>
    <row r="60">
      <c r="A60" s="8" t="inlineStr">
        <is>
          <t>Rubber bands (elastic bands)</t>
        </is>
      </c>
      <c r="B60" s="8" t="inlineStr">
        <is>
          <t>橡皮筋</t>
        </is>
      </c>
      <c r="C60" s="8" t="inlineStr">
        <is>
          <t>Rubber bands to hold insulation jackets on cups and fabric on bottles.</t>
        </is>
      </c>
      <c r="D60" s="8" t="inlineStr">
        <is>
          <t>Stationery and card</t>
        </is>
      </c>
      <c r="E60" s="8" t="inlineStr">
        <is>
          <t>Used up</t>
        </is>
      </c>
      <c r="F60" s="9">
        <f>ROUND('Data by week'!$AW$62*'Data by week'!$H$62,2)</f>
        <v/>
      </c>
      <c r="G60" s="9">
        <f>ROUND('Data by week'!$AX$62*'Data by week'!$H$62,2)</f>
        <v/>
      </c>
      <c r="H60" s="9">
        <f>ROUND('Data by week'!$AY$62*'Data by week'!$H$62,2)</f>
        <v/>
      </c>
      <c r="I60" s="10">
        <f>ROUNDUP(F60*'Read me'!$C$5+G60*'Read me'!$C$6+H60*'Read me'!$C$7,0)</f>
        <v/>
      </c>
      <c r="J60" s="8" t="inlineStr">
        <is>
          <t>bands</t>
        </is>
      </c>
      <c r="K60" s="8" t="inlineStr">
        <is>
          <t>Week 6</t>
        </is>
      </c>
      <c r="L60" s="8" t="inlineStr">
        <is>
          <t>Year 7: W6; Year 9: W8</t>
        </is>
      </c>
      <c r="M60" s="8" t="inlineStr">
        <is>
          <t>Both plans</t>
        </is>
      </c>
      <c r="N60" s="8" t="inlineStr"/>
      <c r="O60" s="11" t="n"/>
      <c r="P60" s="11" t="n"/>
    </row>
    <row r="61">
      <c r="A61" s="8" t="inlineStr">
        <is>
          <t>Clear plastic sleeves, A4</t>
        </is>
      </c>
      <c r="B61" s="8" t="inlineStr">
        <is>
          <t>A4透明文件套</t>
        </is>
      </c>
      <c r="C61" s="8" t="inlineStr">
        <is>
          <t>Clear plastic sleeves to show a note ink strip.</t>
        </is>
      </c>
      <c r="D61" s="8" t="inlineStr">
        <is>
          <t>Stationery and card</t>
        </is>
      </c>
      <c r="E61" s="8" t="inlineStr">
        <is>
          <t>Reusable</t>
        </is>
      </c>
      <c r="F61" s="9">
        <f>ROUND(MAX(N('Data by week'!$I$63)*'Data by week'!$H$63,N('Data by week'!$J$63)*'Data by week'!$H$63,N('Data by week'!$K$63)*'Data by week'!$H$63,N('Data by week'!$L$63)*'Data by week'!$H$63,N('Data by week'!$M$63)*'Data by week'!$H$63,N('Data by week'!$N$63)*'Data by week'!$H$63,N('Data by week'!$O$63)*'Data by week'!$H$63,N('Data by week'!$P$63)*'Data by week'!$H$63,N('Data by week'!$Q$63)*'Data by week'!$H$63,N('Data by week'!$R$63)*'Data by week'!$H$63),2)</f>
        <v/>
      </c>
      <c r="G61" s="9">
        <f>ROUND(MAX(N('Data by week'!$S$63)*'Data by week'!$H$63,N('Data by week'!$T$63)*'Data by week'!$H$63,N('Data by week'!$U$63)*'Data by week'!$H$63,N('Data by week'!$V$63)*'Data by week'!$H$63,N('Data by week'!$W$63)*'Data by week'!$H$63,N('Data by week'!$X$63)*'Data by week'!$H$63,N('Data by week'!$Y$63)*'Data by week'!$H$63,N('Data by week'!$Z$63)*'Data by week'!$H$63,N('Data by week'!$AA$63)*'Data by week'!$H$63,N('Data by week'!$AB$63)*'Data by week'!$H$63),2)</f>
        <v/>
      </c>
      <c r="H61" s="9">
        <f>ROUND(MAX(N('Data by week'!$AC$63)*'Data by week'!$H$63,N('Data by week'!$AD$63)*'Data by week'!$H$63,N('Data by week'!$AE$63)*'Data by week'!$H$63,N('Data by week'!$AF$63)*'Data by week'!$H$63,N('Data by week'!$AG$63)*'Data by week'!$H$63,N('Data by week'!$AH$63)*'Data by week'!$H$63,N('Data by week'!$AI$63)*'Data by week'!$H$63,N('Data by week'!$AJ$63)*'Data by week'!$H$63,N('Data by week'!$AK$63)*'Data by week'!$H$63,N('Data by week'!$AL$63)*'Data by week'!$H$63),2)</f>
        <v/>
      </c>
      <c r="I61" s="10">
        <f>MAX(F61:H61)</f>
        <v/>
      </c>
      <c r="J61" s="8" t="inlineStr">
        <is>
          <t>sleeves</t>
        </is>
      </c>
      <c r="K61" s="8" t="inlineStr">
        <is>
          <t>Week 7</t>
        </is>
      </c>
      <c r="L61" s="8" t="inlineStr">
        <is>
          <t>Year 8: W7</t>
        </is>
      </c>
      <c r="M61" s="8" t="inlineStr">
        <is>
          <t>Both plans</t>
        </is>
      </c>
      <c r="N61" s="8" t="inlineStr"/>
      <c r="O61" s="11" t="n"/>
      <c r="P61" s="11" t="n"/>
    </row>
    <row r="62">
      <c r="A62" s="8" t="inlineStr">
        <is>
          <t>Dry-wipe pens, fine tip</t>
        </is>
      </c>
      <c r="B62" s="8" t="inlineStr">
        <is>
          <t>白板笔（细头）</t>
        </is>
      </c>
      <c r="C62" s="8" t="inlineStr">
        <is>
          <t>Fine-tip dry-wipe pens for mini whiteboards and laminated checklists.</t>
        </is>
      </c>
      <c r="D62" s="8" t="inlineStr">
        <is>
          <t>Stationery and card</t>
        </is>
      </c>
      <c r="E62" s="8" t="inlineStr">
        <is>
          <t>Reusable</t>
        </is>
      </c>
      <c r="F62" s="9">
        <f>ROUND(MAX(N('Data by week'!$I$64)*'Data by week'!$H$64,N('Data by week'!$J$64)*'Data by week'!$H$64,N('Data by week'!$K$64)*'Data by week'!$H$64,N('Data by week'!$L$64)*'Data by week'!$H$64,N('Data by week'!$M$64)*'Data by week'!$H$64,N('Data by week'!$N$64)*'Data by week'!$H$64,N('Data by week'!$O$64)*'Data by week'!$H$64,N('Data by week'!$P$64)*'Data by week'!$H$64,N('Data by week'!$Q$64)*'Data by week'!$H$64,N('Data by week'!$R$64)*'Data by week'!$H$64),2)</f>
        <v/>
      </c>
      <c r="G62" s="9">
        <f>ROUND(MAX(N('Data by week'!$S$64)*'Data by week'!$H$64,N('Data by week'!$T$64)*'Data by week'!$H$64,N('Data by week'!$U$64)*'Data by week'!$H$64,N('Data by week'!$V$64)*'Data by week'!$H$64,N('Data by week'!$W$64)*'Data by week'!$H$64,N('Data by week'!$X$64)*'Data by week'!$H$64,N('Data by week'!$Y$64)*'Data by week'!$H$64,N('Data by week'!$Z$64)*'Data by week'!$H$64,N('Data by week'!$AA$64)*'Data by week'!$H$64,N('Data by week'!$AB$64)*'Data by week'!$H$64),2)</f>
        <v/>
      </c>
      <c r="H62" s="9">
        <f>ROUND(MAX(N('Data by week'!$AC$64)*'Data by week'!$H$64,N('Data by week'!$AD$64)*'Data by week'!$H$64,N('Data by week'!$AE$64)*'Data by week'!$H$64,N('Data by week'!$AF$64)*'Data by week'!$H$64,N('Data by week'!$AG$64)*'Data by week'!$H$64,N('Data by week'!$AH$64)*'Data by week'!$H$64,N('Data by week'!$AI$64)*'Data by week'!$H$64,N('Data by week'!$AJ$64)*'Data by week'!$H$64,N('Data by week'!$AK$64)*'Data by week'!$H$64,N('Data by week'!$AL$64)*'Data by week'!$H$64),2)</f>
        <v/>
      </c>
      <c r="I62" s="10">
        <f>MAX(F62:H62)</f>
        <v/>
      </c>
      <c r="J62" s="8" t="inlineStr">
        <is>
          <t>pens</t>
        </is>
      </c>
      <c r="K62" s="8" t="inlineStr">
        <is>
          <t>Week 7</t>
        </is>
      </c>
      <c r="L62" s="8" t="inlineStr">
        <is>
          <t>Year 8: W7; Year 9: W8</t>
        </is>
      </c>
      <c r="M62" s="8" t="inlineStr">
        <is>
          <t>Both plans</t>
        </is>
      </c>
      <c r="N62" s="8" t="inlineStr"/>
      <c r="O62" s="11" t="n"/>
      <c r="P62" s="11" t="n"/>
    </row>
    <row r="63">
      <c r="A63" s="8" t="inlineStr">
        <is>
          <t>Clipboard, A4</t>
        </is>
      </c>
      <c r="B63" s="8" t="inlineStr">
        <is>
          <t>A4写字板夹</t>
        </is>
      </c>
      <c r="C63" s="8" t="inlineStr">
        <is>
          <t>A4 clipboard for the teacher's run sheet and marking grid.</t>
        </is>
      </c>
      <c r="D63" s="8" t="inlineStr">
        <is>
          <t>Stationery and card</t>
        </is>
      </c>
      <c r="E63" s="8" t="inlineStr">
        <is>
          <t>Reusable</t>
        </is>
      </c>
      <c r="F63" s="9">
        <f>ROUND(MAX(N('Data by week'!$I$65)*'Data by week'!$H$65,N('Data by week'!$J$65)*'Data by week'!$H$65,N('Data by week'!$K$65)*'Data by week'!$H$65,N('Data by week'!$L$65)*'Data by week'!$H$65,N('Data by week'!$M$65)*'Data by week'!$H$65,N('Data by week'!$N$65)*'Data by week'!$H$65,N('Data by week'!$O$65)*'Data by week'!$H$65,N('Data by week'!$P$65)*'Data by week'!$H$65,N('Data by week'!$Q$65)*'Data by week'!$H$65,N('Data by week'!$R$65)*'Data by week'!$H$65),2)</f>
        <v/>
      </c>
      <c r="G63" s="9">
        <f>ROUND(MAX(N('Data by week'!$S$65)*'Data by week'!$H$65,N('Data by week'!$T$65)*'Data by week'!$H$65,N('Data by week'!$U$65)*'Data by week'!$H$65,N('Data by week'!$V$65)*'Data by week'!$H$65,N('Data by week'!$W$65)*'Data by week'!$H$65,N('Data by week'!$X$65)*'Data by week'!$H$65,N('Data by week'!$Y$65)*'Data by week'!$H$65,N('Data by week'!$Z$65)*'Data by week'!$H$65,N('Data by week'!$AA$65)*'Data by week'!$H$65,N('Data by week'!$AB$65)*'Data by week'!$H$65),2)</f>
        <v/>
      </c>
      <c r="H63" s="9">
        <f>ROUND(MAX(N('Data by week'!$AC$65)*'Data by week'!$H$65,N('Data by week'!$AD$65)*'Data by week'!$H$65,N('Data by week'!$AE$65)*'Data by week'!$H$65,N('Data by week'!$AF$65)*'Data by week'!$H$65,N('Data by week'!$AG$65)*'Data by week'!$H$65,N('Data by week'!$AH$65)*'Data by week'!$H$65,N('Data by week'!$AI$65)*'Data by week'!$H$65,N('Data by week'!$AJ$65)*'Data by week'!$H$65,N('Data by week'!$AK$65)*'Data by week'!$H$65,N('Data by week'!$AL$65)*'Data by week'!$H$65),2)</f>
        <v/>
      </c>
      <c r="I63" s="10">
        <f>MAX(F63:H63)</f>
        <v/>
      </c>
      <c r="J63" s="8" t="inlineStr">
        <is>
          <t>clipboards</t>
        </is>
      </c>
      <c r="K63" s="8" t="inlineStr">
        <is>
          <t>Week 8</t>
        </is>
      </c>
      <c r="L63" s="8" t="inlineStr">
        <is>
          <t>Year 7: W10; Year 9: W8, W10</t>
        </is>
      </c>
      <c r="M63" s="8" t="inlineStr">
        <is>
          <t>Both plans</t>
        </is>
      </c>
      <c r="N63" s="8" t="inlineStr"/>
      <c r="O63" s="11" t="n"/>
      <c r="P63" s="11" t="n"/>
    </row>
    <row r="64">
      <c r="A64" s="8" t="inlineStr">
        <is>
          <t>Black felt-tip pens, thick tip</t>
        </is>
      </c>
      <c r="B64" s="8" t="inlineStr">
        <is>
          <t>黑色马克笔（粗头）</t>
        </is>
      </c>
      <c r="C64" s="8" t="inlineStr">
        <is>
          <t>Black, thick (broad) tip, for posters.</t>
        </is>
      </c>
      <c r="D64" s="8" t="inlineStr">
        <is>
          <t>Stationery and card</t>
        </is>
      </c>
      <c r="E64" s="8" t="inlineStr">
        <is>
          <t>Reusable</t>
        </is>
      </c>
      <c r="F64" s="9">
        <f>ROUND(MAX(N('Data by week'!$I$66)*'Data by week'!$H$66,N('Data by week'!$J$66)*'Data by week'!$H$66,N('Data by week'!$K$66)*'Data by week'!$H$66,N('Data by week'!$L$66)*'Data by week'!$H$66,N('Data by week'!$M$66)*'Data by week'!$H$66,N('Data by week'!$N$66)*'Data by week'!$H$66,N('Data by week'!$O$66)*'Data by week'!$H$66,N('Data by week'!$P$66)*'Data by week'!$H$66,N('Data by week'!$Q$66)*'Data by week'!$H$66,N('Data by week'!$R$66)*'Data by week'!$H$66),2)</f>
        <v/>
      </c>
      <c r="G64" s="9">
        <f>ROUND(MAX(N('Data by week'!$S$66)*'Data by week'!$H$66,N('Data by week'!$T$66)*'Data by week'!$H$66,N('Data by week'!$U$66)*'Data by week'!$H$66,N('Data by week'!$V$66)*'Data by week'!$H$66,N('Data by week'!$W$66)*'Data by week'!$H$66,N('Data by week'!$X$66)*'Data by week'!$H$66,N('Data by week'!$Y$66)*'Data by week'!$H$66,N('Data by week'!$Z$66)*'Data by week'!$H$66,N('Data by week'!$AA$66)*'Data by week'!$H$66,N('Data by week'!$AB$66)*'Data by week'!$H$66),2)</f>
        <v/>
      </c>
      <c r="H64" s="9">
        <f>ROUND(MAX(N('Data by week'!$AC$66)*'Data by week'!$H$66,N('Data by week'!$AD$66)*'Data by week'!$H$66,N('Data by week'!$AE$66)*'Data by week'!$H$66,N('Data by week'!$AF$66)*'Data by week'!$H$66,N('Data by week'!$AG$66)*'Data by week'!$H$66,N('Data by week'!$AH$66)*'Data by week'!$H$66,N('Data by week'!$AI$66)*'Data by week'!$H$66,N('Data by week'!$AJ$66)*'Data by week'!$H$66,N('Data by week'!$AK$66)*'Data by week'!$H$66,N('Data by week'!$AL$66)*'Data by week'!$H$66),2)</f>
        <v/>
      </c>
      <c r="I64" s="10">
        <f>MAX(F64:H64)</f>
        <v/>
      </c>
      <c r="J64" s="8" t="inlineStr">
        <is>
          <t>pens</t>
        </is>
      </c>
      <c r="K64" s="8" t="inlineStr">
        <is>
          <t>Week 9</t>
        </is>
      </c>
      <c r="L64" s="8" t="inlineStr">
        <is>
          <t>Year 7: W9</t>
        </is>
      </c>
      <c r="M64" s="8" t="inlineStr">
        <is>
          <t>Both plans</t>
        </is>
      </c>
      <c r="N64" s="8" t="inlineStr"/>
      <c r="O64" s="11" t="n"/>
      <c r="P64" s="11" t="n"/>
    </row>
    <row r="65">
      <c r="A65" s="8" t="inlineStr">
        <is>
          <t>Black felt-tip pens, thin tip</t>
        </is>
      </c>
      <c r="B65" s="8" t="inlineStr">
        <is>
          <t>黑色马克笔（细头）</t>
        </is>
      </c>
      <c r="C65" s="8" t="inlineStr">
        <is>
          <t>Black, thin tip, for posters.</t>
        </is>
      </c>
      <c r="D65" s="8" t="inlineStr">
        <is>
          <t>Stationery and card</t>
        </is>
      </c>
      <c r="E65" s="8" t="inlineStr">
        <is>
          <t>Reusable</t>
        </is>
      </c>
      <c r="F65" s="9">
        <f>ROUND(MAX(N('Data by week'!$I$67)*'Data by week'!$H$67,N('Data by week'!$J$67)*'Data by week'!$H$67,N('Data by week'!$K$67)*'Data by week'!$H$67,N('Data by week'!$L$67)*'Data by week'!$H$67,N('Data by week'!$M$67)*'Data by week'!$H$67,N('Data by week'!$N$67)*'Data by week'!$H$67,N('Data by week'!$O$67)*'Data by week'!$H$67,N('Data by week'!$P$67)*'Data by week'!$H$67,N('Data by week'!$Q$67)*'Data by week'!$H$67,N('Data by week'!$R$67)*'Data by week'!$H$67),2)</f>
        <v/>
      </c>
      <c r="G65" s="9">
        <f>ROUND(MAX(N('Data by week'!$S$67)*'Data by week'!$H$67,N('Data by week'!$T$67)*'Data by week'!$H$67,N('Data by week'!$U$67)*'Data by week'!$H$67,N('Data by week'!$V$67)*'Data by week'!$H$67,N('Data by week'!$W$67)*'Data by week'!$H$67,N('Data by week'!$X$67)*'Data by week'!$H$67,N('Data by week'!$Y$67)*'Data by week'!$H$67,N('Data by week'!$Z$67)*'Data by week'!$H$67,N('Data by week'!$AA$67)*'Data by week'!$H$67,N('Data by week'!$AB$67)*'Data by week'!$H$67),2)</f>
        <v/>
      </c>
      <c r="H65" s="9">
        <f>ROUND(MAX(N('Data by week'!$AC$67)*'Data by week'!$H$67,N('Data by week'!$AD$67)*'Data by week'!$H$67,N('Data by week'!$AE$67)*'Data by week'!$H$67,N('Data by week'!$AF$67)*'Data by week'!$H$67,N('Data by week'!$AG$67)*'Data by week'!$H$67,N('Data by week'!$AH$67)*'Data by week'!$H$67,N('Data by week'!$AI$67)*'Data by week'!$H$67,N('Data by week'!$AJ$67)*'Data by week'!$H$67,N('Data by week'!$AK$67)*'Data by week'!$H$67,N('Data by week'!$AL$67)*'Data by week'!$H$67),2)</f>
        <v/>
      </c>
      <c r="I65" s="10">
        <f>MAX(F65:H65)</f>
        <v/>
      </c>
      <c r="J65" s="8" t="inlineStr">
        <is>
          <t>pens</t>
        </is>
      </c>
      <c r="K65" s="8" t="inlineStr">
        <is>
          <t>Week 9</t>
        </is>
      </c>
      <c r="L65" s="8" t="inlineStr">
        <is>
          <t>Year 7: W9</t>
        </is>
      </c>
      <c r="M65" s="8" t="inlineStr">
        <is>
          <t>Both plans</t>
        </is>
      </c>
      <c r="N65" s="8" t="inlineStr"/>
      <c r="O65" s="11" t="n"/>
      <c r="P65" s="11" t="n"/>
    </row>
    <row r="66">
      <c r="A66" s="8" t="inlineStr">
        <is>
          <t>Glue sticks</t>
        </is>
      </c>
      <c r="B66" s="8" t="inlineStr">
        <is>
          <t>固体胶</t>
        </is>
      </c>
      <c r="C66" s="8" t="inlineStr">
        <is>
          <t>Glue sticks (Y8 Week 9 may use Blu Tack instead).</t>
        </is>
      </c>
      <c r="D66" s="8" t="inlineStr">
        <is>
          <t>Stationery and card</t>
        </is>
      </c>
      <c r="E66" s="8" t="inlineStr">
        <is>
          <t>Used up</t>
        </is>
      </c>
      <c r="F66" s="9">
        <f>ROUND('Data by week'!$AW$68*'Data by week'!$H$68,2)</f>
        <v/>
      </c>
      <c r="G66" s="9">
        <f>ROUND('Data by week'!$AX$68*'Data by week'!$H$68,2)</f>
        <v/>
      </c>
      <c r="H66" s="9">
        <f>ROUND('Data by week'!$AY$68*'Data by week'!$H$68,2)</f>
        <v/>
      </c>
      <c r="I66" s="10">
        <f>ROUNDUP(F66*'Read me'!$C$5+G66*'Read me'!$C$6+H66*'Read me'!$C$7,0)</f>
        <v/>
      </c>
      <c r="J66" s="8" t="inlineStr">
        <is>
          <t>glue sticks</t>
        </is>
      </c>
      <c r="K66" s="8" t="inlineStr">
        <is>
          <t>Week 9</t>
        </is>
      </c>
      <c r="L66" s="8" t="inlineStr">
        <is>
          <t>Year 7: W9; Year 8: W9</t>
        </is>
      </c>
      <c r="M66" s="8" t="inlineStr">
        <is>
          <t>Both plans</t>
        </is>
      </c>
      <c r="N66" s="8" t="inlineStr"/>
      <c r="O66" s="11" t="n"/>
      <c r="P66" s="11" t="n"/>
    </row>
    <row r="67">
      <c r="A67" s="8" t="inlineStr">
        <is>
          <t>Photo print: Week 5 Ideas Parking Board</t>
        </is>
      </c>
      <c r="B67" s="8" t="inlineStr">
        <is>
          <t>照片打印：第5周想法停车场</t>
        </is>
      </c>
      <c r="C67" s="8" t="inlineStr">
        <is>
          <t>Print of the teacher's photograph of the Ideas Parking Board, in colour if possible so the sticky notes can be read.</t>
        </is>
      </c>
      <c r="D67" s="8" t="inlineStr">
        <is>
          <t>Stationery and card</t>
        </is>
      </c>
      <c r="E67" s="8" t="inlineStr">
        <is>
          <t>Used up</t>
        </is>
      </c>
      <c r="F67" s="9">
        <f>ROUND('Data by week'!$AW$69*'Data by week'!$H$69,2)</f>
        <v/>
      </c>
      <c r="G67" s="9">
        <f>ROUND('Data by week'!$AX$69*'Data by week'!$H$69,2)</f>
        <v/>
      </c>
      <c r="H67" s="9">
        <f>ROUND('Data by week'!$AY$69*'Data by week'!$H$69,2)</f>
        <v/>
      </c>
      <c r="I67" s="10">
        <f>ROUNDUP(F67*'Read me'!$C$5+G67*'Read me'!$C$6+H67*'Read me'!$C$7,0)</f>
        <v/>
      </c>
      <c r="J67" s="8" t="inlineStr">
        <is>
          <t>print</t>
        </is>
      </c>
      <c r="K67" s="8" t="inlineStr">
        <is>
          <t>Week 9</t>
        </is>
      </c>
      <c r="L67" s="8" t="inlineStr">
        <is>
          <t>Year 8: W9</t>
        </is>
      </c>
      <c r="M67" s="8" t="inlineStr">
        <is>
          <t>Both plans</t>
        </is>
      </c>
      <c r="N67" s="8" t="inlineStr"/>
      <c r="O67" s="11" t="n"/>
      <c r="P67" s="11" t="n"/>
    </row>
    <row r="68">
      <c r="A68" s="8" t="inlineStr">
        <is>
          <t>Stapler (with staples)</t>
        </is>
      </c>
      <c r="B68" s="8" t="inlineStr">
        <is>
          <t>订书机（含订书钉）</t>
        </is>
      </c>
      <c r="C68" s="8" t="inlineStr">
        <is>
          <t>1 per group; paper clips will do instead.</t>
        </is>
      </c>
      <c r="D68" s="8" t="inlineStr">
        <is>
          <t>Stationery and card</t>
        </is>
      </c>
      <c r="E68" s="8" t="inlineStr">
        <is>
          <t>Reusable</t>
        </is>
      </c>
      <c r="F68" s="9">
        <f>ROUND(MAX(N('Data by week'!$I$70)*'Data by week'!$H$70,N('Data by week'!$J$70)*'Data by week'!$H$70,N('Data by week'!$K$70)*'Data by week'!$H$70,N('Data by week'!$L$70)*'Data by week'!$H$70,N('Data by week'!$M$70)*'Data by week'!$H$70,N('Data by week'!$N$70)*'Data by week'!$H$70,N('Data by week'!$O$70)*'Data by week'!$H$70,N('Data by week'!$P$70)*'Data by week'!$H$70,N('Data by week'!$Q$70)*'Data by week'!$H$70,N('Data by week'!$R$70)*'Data by week'!$H$70),2)</f>
        <v/>
      </c>
      <c r="G68" s="9">
        <f>ROUND(MAX(N('Data by week'!$S$70)*'Data by week'!$H$70,N('Data by week'!$T$70)*'Data by week'!$H$70,N('Data by week'!$U$70)*'Data by week'!$H$70,N('Data by week'!$V$70)*'Data by week'!$H$70,N('Data by week'!$W$70)*'Data by week'!$H$70,N('Data by week'!$X$70)*'Data by week'!$H$70,N('Data by week'!$Y$70)*'Data by week'!$H$70,N('Data by week'!$Z$70)*'Data by week'!$H$70,N('Data by week'!$AA$70)*'Data by week'!$H$70,N('Data by week'!$AB$70)*'Data by week'!$H$70),2)</f>
        <v/>
      </c>
      <c r="H68" s="9">
        <f>ROUND(MAX(N('Data by week'!$AC$70)*'Data by week'!$H$70,N('Data by week'!$AD$70)*'Data by week'!$H$70,N('Data by week'!$AE$70)*'Data by week'!$H$70,N('Data by week'!$AF$70)*'Data by week'!$H$70,N('Data by week'!$AG$70)*'Data by week'!$H$70,N('Data by week'!$AH$70)*'Data by week'!$H$70,N('Data by week'!$AI$70)*'Data by week'!$H$70,N('Data by week'!$AJ$70)*'Data by week'!$H$70,N('Data by week'!$AK$70)*'Data by week'!$H$70,N('Data by week'!$AL$70)*'Data by week'!$H$70),2)</f>
        <v/>
      </c>
      <c r="I68" s="10">
        <f>MAX(F68:H68)</f>
        <v/>
      </c>
      <c r="J68" s="8" t="inlineStr">
        <is>
          <t>staplers</t>
        </is>
      </c>
      <c r="K68" s="8" t="inlineStr">
        <is>
          <t>Week 9</t>
        </is>
      </c>
      <c r="L68" s="8" t="inlineStr">
        <is>
          <t>Year 9: W9</t>
        </is>
      </c>
      <c r="M68" s="8" t="inlineStr">
        <is>
          <t>Both plans</t>
        </is>
      </c>
      <c r="N68" s="8" t="inlineStr"/>
      <c r="O68" s="11" t="n"/>
      <c r="P68" s="11" t="n"/>
    </row>
    <row r="69">
      <c r="A69" s="8" t="inlineStr">
        <is>
          <t>Running order poster (Year 9, Week 10)</t>
        </is>
      </c>
      <c r="B69" s="8" t="inlineStr">
        <is>
          <t>汇报顺序海报</t>
        </is>
      </c>
      <c r="C69" s="8" t="inlineStr">
        <is>
          <t>No size or print spec given; filled in with each group's claim before the lesson. Not needed if slide 4 is shown.</t>
        </is>
      </c>
      <c r="D69" s="8" t="inlineStr">
        <is>
          <t>Stationery and card</t>
        </is>
      </c>
      <c r="E69" s="8" t="inlineStr">
        <is>
          <t>Used up</t>
        </is>
      </c>
      <c r="F69" s="9">
        <f>ROUND('Data by week'!$AW$71*'Data by week'!$H$71,2)</f>
        <v/>
      </c>
      <c r="G69" s="9">
        <f>ROUND('Data by week'!$AX$71*'Data by week'!$H$71,2)</f>
        <v/>
      </c>
      <c r="H69" s="9">
        <f>ROUND('Data by week'!$AY$71*'Data by week'!$H$71,2)</f>
        <v/>
      </c>
      <c r="I69" s="10">
        <f>ROUNDUP(F69*'Read me'!$C$5+G69*'Read me'!$C$6+H69*'Read me'!$C$7,0)</f>
        <v/>
      </c>
      <c r="J69" s="8" t="inlineStr">
        <is>
          <t>poster</t>
        </is>
      </c>
      <c r="K69" s="8" t="inlineStr">
        <is>
          <t>Week 10</t>
        </is>
      </c>
      <c r="L69" s="8" t="inlineStr">
        <is>
          <t>Year 9: W10</t>
        </is>
      </c>
      <c r="M69" s="8" t="inlineStr">
        <is>
          <t>Both plans</t>
        </is>
      </c>
      <c r="N69" s="8" t="inlineStr"/>
      <c r="O69" s="11" t="n"/>
      <c r="P69" s="11" t="n"/>
    </row>
  </sheetData>
  <autoFilter ref="A1:P69"/>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L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30" customWidth="1" min="3" max="3"/>
    <col width="10" customWidth="1" min="4" max="4"/>
    <col width="11" customWidth="1" min="5" max="5"/>
    <col width="12" customWidth="1" min="6" max="6"/>
    <col width="9" customWidth="1" min="7" max="7"/>
    <col width="32" customWidth="1" min="8" max="8"/>
    <col width="16" customWidth="1" min="9" max="9"/>
    <col width="10" customWidth="1" min="10" max="10"/>
    <col width="11" customWidth="1" min="11" max="11"/>
    <col width="40" customWidth="1" min="12" max="12"/>
  </cols>
  <sheetData>
    <row r="1" ht="32" customHeight="1">
      <c r="A1" s="7" t="inlineStr">
        <is>
          <t>Item</t>
        </is>
      </c>
      <c r="B1" s="7" t="inlineStr">
        <is>
          <t>中文名称（草稿）</t>
        </is>
      </c>
      <c r="C1" s="7" t="inlineStr">
        <is>
          <t>Specification</t>
        </is>
      </c>
      <c r="D1" s="7" t="inlineStr">
        <is>
          <t>Type</t>
        </is>
      </c>
      <c r="E1" s="7" t="inlineStr">
        <is>
          <t>Most needed at once</t>
        </is>
      </c>
      <c r="F1" s="7" t="inlineStr">
        <is>
          <t>Unit</t>
        </is>
      </c>
      <c r="G1" s="7" t="inlineStr">
        <is>
          <t>First needed</t>
        </is>
      </c>
      <c r="H1" s="7" t="inlineStr">
        <is>
          <t>Weeks used</t>
        </is>
      </c>
      <c r="I1" s="7" t="inlineStr">
        <is>
          <t>Plan</t>
        </is>
      </c>
      <c r="J1" s="7" t="inlineStr">
        <is>
          <t>Already have</t>
        </is>
      </c>
      <c r="K1" s="7" t="inlineStr">
        <is>
          <t>Shortfall to order</t>
        </is>
      </c>
      <c r="L1" s="7" t="inlineStr">
        <is>
          <t>Safety and notes</t>
        </is>
      </c>
    </row>
    <row r="2">
      <c r="A2" s="8" t="inlineStr">
        <is>
          <t>Plastic cups, small, clear</t>
        </is>
      </c>
      <c r="B2" s="8" t="inlineStr">
        <is>
          <t>透明小塑料杯</t>
        </is>
      </c>
      <c r="C2" s="8" t="inlineStr">
        <is>
          <t>Small clear plastic cups (or small beakers) so colour and cloudiness can be seen.</t>
        </is>
      </c>
      <c r="D2" s="8" t="inlineStr">
        <is>
          <t>Reusable</t>
        </is>
      </c>
      <c r="E2" s="9">
        <f>MAX(MAX(N('Data by week'!$I$72)*'Data by week'!$H$72,N('Data by week'!$J$72)*'Data by week'!$H$72,N('Data by week'!$K$72)*'Data by week'!$H$72,N('Data by week'!$L$72)*'Data by week'!$H$72,N('Data by week'!$M$72)*'Data by week'!$H$72,N('Data by week'!$N$72)*'Data by week'!$H$72,N('Data by week'!$O$72)*'Data by week'!$H$72,N('Data by week'!$P$72)*'Data by week'!$H$72,N('Data by week'!$Q$72)*'Data by week'!$H$72,N('Data by week'!$R$72)*'Data by week'!$H$72),MAX(N('Data by week'!$S$72)*'Data by week'!$H$72,N('Data by week'!$T$72)*'Data by week'!$H$72,N('Data by week'!$U$72)*'Data by week'!$H$72,N('Data by week'!$V$72)*'Data by week'!$H$72,N('Data by week'!$W$72)*'Data by week'!$H$72,N('Data by week'!$X$72)*'Data by week'!$H$72,N('Data by week'!$Y$72)*'Data by week'!$H$72,N('Data by week'!$Z$72)*'Data by week'!$H$72,N('Data by week'!$AA$72)*'Data by week'!$H$72,N('Data by week'!$AB$72)*'Data by week'!$H$72),MAX(N('Data by week'!$AC$72)*'Data by week'!$H$72,N('Data by week'!$AD$72)*'Data by week'!$H$72,N('Data by week'!$AE$72)*'Data by week'!$H$72,N('Data by week'!$AF$72)*'Data by week'!$H$72,N('Data by week'!$AG$72)*'Data by week'!$H$72,N('Data by week'!$AH$72)*'Data by week'!$H$72,N('Data by week'!$AI$72)*'Data by week'!$H$72,N('Data by week'!$AJ$72)*'Data by week'!$H$72,N('Data by week'!$AK$72)*'Data by week'!$H$72,N('Data by week'!$AL$72)*'Data by week'!$H$72))</f>
        <v/>
      </c>
      <c r="F2" s="8" t="inlineStr">
        <is>
          <t>cups</t>
        </is>
      </c>
      <c r="G2" s="8" t="inlineStr">
        <is>
          <t>Week 1</t>
        </is>
      </c>
      <c r="H2" s="8" t="inlineStr">
        <is>
          <t>Year 8: W1, W3, W4, W5, W8</t>
        </is>
      </c>
      <c r="I2" s="8" t="inlineStr">
        <is>
          <t>Both plans</t>
        </is>
      </c>
      <c r="J2" s="12" t="n"/>
      <c r="K2" s="10">
        <f>MAX(0,E2-N(J2))</f>
        <v/>
      </c>
      <c r="L2" s="8" t="inlineStr">
        <is>
          <t>Do not drink from any cup. Rinse to reuse, or recycle.</t>
        </is>
      </c>
    </row>
    <row r="3">
      <c r="A3" s="8" t="inlineStr">
        <is>
          <t>Trays, flat (kit trays)</t>
        </is>
      </c>
      <c r="B3" s="8" t="inlineStr">
        <is>
          <t>托盘（平底）</t>
        </is>
      </c>
      <c r="C3" s="8" t="inlineStr">
        <is>
          <t>Flat kit trays, 1 per group; must hold 9 foil troughs (or cups of water) and fit flat in the freezer drawer; one dark tray for the optional Y8 scene table.</t>
        </is>
      </c>
      <c r="D3" s="8" t="inlineStr">
        <is>
          <t>Reusable</t>
        </is>
      </c>
      <c r="E3" s="9">
        <f>MAX(MAX(N('Data by week'!$I$73)*'Data by week'!$H$73,N('Data by week'!$J$73)*'Data by week'!$H$73,N('Data by week'!$K$73)*'Data by week'!$H$73,N('Data by week'!$L$73)*'Data by week'!$H$73,N('Data by week'!$M$73)*'Data by week'!$H$73,N('Data by week'!$N$73)*'Data by week'!$H$73,N('Data by week'!$O$73)*'Data by week'!$H$73,N('Data by week'!$P$73)*'Data by week'!$H$73,N('Data by week'!$Q$73)*'Data by week'!$H$73,N('Data by week'!$R$73)*'Data by week'!$H$73),MAX(N('Data by week'!$S$73)*'Data by week'!$H$73,N('Data by week'!$T$73)*'Data by week'!$H$73,N('Data by week'!$U$73)*'Data by week'!$H$73,N('Data by week'!$V$73)*'Data by week'!$H$73,N('Data by week'!$W$73)*'Data by week'!$H$73,N('Data by week'!$X$73)*'Data by week'!$H$73,N('Data by week'!$Y$73)*'Data by week'!$H$73,N('Data by week'!$Z$73)*'Data by week'!$H$73,N('Data by week'!$AA$73)*'Data by week'!$H$73,N('Data by week'!$AB$73)*'Data by week'!$H$73),MAX(N('Data by week'!$AC$73)*'Data by week'!$H$73,N('Data by week'!$AD$73)*'Data by week'!$H$73,N('Data by week'!$AE$73)*'Data by week'!$H$73,N('Data by week'!$AF$73)*'Data by week'!$H$73,N('Data by week'!$AG$73)*'Data by week'!$H$73,N('Data by week'!$AH$73)*'Data by week'!$H$73,N('Data by week'!$AI$73)*'Data by week'!$H$73,N('Data by week'!$AJ$73)*'Data by week'!$H$73,N('Data by week'!$AK$73)*'Data by week'!$H$73,N('Data by week'!$AL$73)*'Data by week'!$H$73))</f>
        <v/>
      </c>
      <c r="F3" s="8" t="inlineStr">
        <is>
          <t>trays</t>
        </is>
      </c>
      <c r="G3" s="8" t="inlineStr">
        <is>
          <t>Week 1</t>
        </is>
      </c>
      <c r="H3" s="8" t="inlineStr">
        <is>
          <t>Year 7: W3, W4, W6, W7, W8; Year 8: W1, W2, W3, W4, W5, W6, W8; Year 9: W6, W8</t>
        </is>
      </c>
      <c r="I3" s="8" t="inlineStr">
        <is>
          <t>Both plans</t>
        </is>
      </c>
      <c r="J3" s="12" t="n"/>
      <c r="K3" s="10">
        <f>MAX(0,E3-N(J3))</f>
        <v/>
      </c>
      <c r="L3" s="8" t="inlineStr">
        <is>
          <t>Cups of warm water stay on the tray Only the teacher carries the sample trays and puts them in the freezer; keep them flat and level.</t>
        </is>
      </c>
    </row>
    <row r="4">
      <c r="A4" s="8" t="inlineStr">
        <is>
          <t>Calculator, basic</t>
        </is>
      </c>
      <c r="B4" s="8" t="inlineStr">
        <is>
          <t>计算器（简易型）</t>
        </is>
      </c>
      <c r="C4" s="8" t="inlineStr">
        <is>
          <t>Basic calculator, 1 per group.</t>
        </is>
      </c>
      <c r="D4" s="8" t="inlineStr">
        <is>
          <t>Reusable</t>
        </is>
      </c>
      <c r="E4" s="9">
        <f>MAX(MAX(N('Data by week'!$I$74)*'Data by week'!$H$74,N('Data by week'!$J$74)*'Data by week'!$H$74,N('Data by week'!$K$74)*'Data by week'!$H$74,N('Data by week'!$L$74)*'Data by week'!$H$74,N('Data by week'!$M$74)*'Data by week'!$H$74,N('Data by week'!$N$74)*'Data by week'!$H$74,N('Data by week'!$O$74)*'Data by week'!$H$74,N('Data by week'!$P$74)*'Data by week'!$H$74,N('Data by week'!$Q$74)*'Data by week'!$H$74,N('Data by week'!$R$74)*'Data by week'!$H$74),MAX(N('Data by week'!$S$74)*'Data by week'!$H$74,N('Data by week'!$T$74)*'Data by week'!$H$74,N('Data by week'!$U$74)*'Data by week'!$H$74,N('Data by week'!$V$74)*'Data by week'!$H$74,N('Data by week'!$W$74)*'Data by week'!$H$74,N('Data by week'!$X$74)*'Data by week'!$H$74,N('Data by week'!$Y$74)*'Data by week'!$H$74,N('Data by week'!$Z$74)*'Data by week'!$H$74,N('Data by week'!$AA$74)*'Data by week'!$H$74,N('Data by week'!$AB$74)*'Data by week'!$H$74),MAX(N('Data by week'!$AC$74)*'Data by week'!$H$74,N('Data by week'!$AD$74)*'Data by week'!$H$74,N('Data by week'!$AE$74)*'Data by week'!$H$74,N('Data by week'!$AF$74)*'Data by week'!$H$74,N('Data by week'!$AG$74)*'Data by week'!$H$74,N('Data by week'!$AH$74)*'Data by week'!$H$74,N('Data by week'!$AI$74)*'Data by week'!$H$74,N('Data by week'!$AJ$74)*'Data by week'!$H$74,N('Data by week'!$AK$74)*'Data by week'!$H$74,N('Data by week'!$AL$74)*'Data by week'!$H$74))</f>
        <v/>
      </c>
      <c r="F4" s="8" t="inlineStr">
        <is>
          <t>calculators</t>
        </is>
      </c>
      <c r="G4" s="8" t="inlineStr">
        <is>
          <t>Week 2</t>
        </is>
      </c>
      <c r="H4" s="8" t="inlineStr">
        <is>
          <t>Year 9: W2, W3, W9</t>
        </is>
      </c>
      <c r="I4" s="8" t="inlineStr">
        <is>
          <t>Both plans</t>
        </is>
      </c>
      <c r="J4" s="12" t="n"/>
      <c r="K4" s="10">
        <f>MAX(0,E4-N(J4))</f>
        <v/>
      </c>
      <c r="L4" s="8" t="inlineStr"/>
    </row>
    <row r="5">
      <c r="A5" s="8" t="inlineStr">
        <is>
          <t>Cloths for wiping tables</t>
        </is>
      </c>
      <c r="B5" s="8" t="inlineStr">
        <is>
          <t>抹布</t>
        </is>
      </c>
      <c r="C5" s="8" t="inlineStr">
        <is>
          <t>Damp cloths for wiping tables, about 1 per group, plus a teacher spare for spills.</t>
        </is>
      </c>
      <c r="D5" s="8" t="inlineStr">
        <is>
          <t>Reusable</t>
        </is>
      </c>
      <c r="E5" s="9">
        <f>MAX(MAX(N('Data by week'!$I$75)*'Data by week'!$H$75+N('Data by week'!$I$102)*'Data by week'!$H$102,N('Data by week'!$J$75)*'Data by week'!$H$75+N('Data by week'!$J$102)*'Data by week'!$H$102,N('Data by week'!$K$75)*'Data by week'!$H$75+N('Data by week'!$K$102)*'Data by week'!$H$102,N('Data by week'!$L$75)*'Data by week'!$H$75+N('Data by week'!$L$102)*'Data by week'!$H$102,N('Data by week'!$M$75)*'Data by week'!$H$75+N('Data by week'!$M$102)*'Data by week'!$H$102,N('Data by week'!$N$75)*'Data by week'!$H$75+N('Data by week'!$N$102)*'Data by week'!$H$102,N('Data by week'!$O$75)*'Data by week'!$H$75+N('Data by week'!$O$102)*'Data by week'!$H$102,N('Data by week'!$P$75)*'Data by week'!$H$75+N('Data by week'!$P$102)*'Data by week'!$H$102,N('Data by week'!$Q$75)*'Data by week'!$H$75+N('Data by week'!$Q$102)*'Data by week'!$H$102,N('Data by week'!$R$75)*'Data by week'!$H$75+N('Data by week'!$R$102)*'Data by week'!$H$102),MAX(N('Data by week'!$S$75)*'Data by week'!$H$75+N('Data by week'!$S$102)*'Data by week'!$H$102,N('Data by week'!$T$75)*'Data by week'!$H$75+N('Data by week'!$T$102)*'Data by week'!$H$102,N('Data by week'!$U$75)*'Data by week'!$H$75+N('Data by week'!$U$102)*'Data by week'!$H$102,N('Data by week'!$V$75)*'Data by week'!$H$75+N('Data by week'!$V$102)*'Data by week'!$H$102,N('Data by week'!$W$75)*'Data by week'!$H$75+N('Data by week'!$W$102)*'Data by week'!$H$102,N('Data by week'!$X$75)*'Data by week'!$H$75+N('Data by week'!$X$102)*'Data by week'!$H$102,N('Data by week'!$Y$75)*'Data by week'!$H$75+N('Data by week'!$Y$102)*'Data by week'!$H$102,N('Data by week'!$Z$75)*'Data by week'!$H$75+N('Data by week'!$Z$102)*'Data by week'!$H$102,N('Data by week'!$AA$75)*'Data by week'!$H$75+N('Data by week'!$AA$102)*'Data by week'!$H$102,N('Data by week'!$AB$75)*'Data by week'!$H$75+N('Data by week'!$AB$102)*'Data by week'!$H$102),MAX(N('Data by week'!$AC$75)*'Data by week'!$H$75+N('Data by week'!$AC$102)*'Data by week'!$H$102,N('Data by week'!$AD$75)*'Data by week'!$H$75+N('Data by week'!$AD$102)*'Data by week'!$H$102,N('Data by week'!$AE$75)*'Data by week'!$H$75+N('Data by week'!$AE$102)*'Data by week'!$H$102,N('Data by week'!$AF$75)*'Data by week'!$H$75+N('Data by week'!$AF$102)*'Data by week'!$H$102,N('Data by week'!$AG$75)*'Data by week'!$H$75+N('Data by week'!$AG$102)*'Data by week'!$H$102,N('Data by week'!$AH$75)*'Data by week'!$H$75+N('Data by week'!$AH$102)*'Data by week'!$H$102,N('Data by week'!$AI$75)*'Data by week'!$H$75+N('Data by week'!$AI$102)*'Data by week'!$H$102,N('Data by week'!$AJ$75)*'Data by week'!$H$75+N('Data by week'!$AJ$102)*'Data by week'!$H$102,N('Data by week'!$AK$75)*'Data by week'!$H$75+N('Data by week'!$AK$102)*'Data by week'!$H$102,N('Data by week'!$AL$75)*'Data by week'!$H$75+N('Data by week'!$AL$102)*'Data by week'!$H$102))</f>
        <v/>
      </c>
      <c r="F5" s="8" t="inlineStr">
        <is>
          <t>cloths</t>
        </is>
      </c>
      <c r="G5" s="8" t="inlineStr">
        <is>
          <t>Week 2</t>
        </is>
      </c>
      <c r="H5" s="8" t="inlineStr">
        <is>
          <t>Year 7: W7; Year 8: W2, W3, W4, W5, W8; Year 9: W8</t>
        </is>
      </c>
      <c r="I5" s="8" t="inlineStr">
        <is>
          <t>Both plans, Plan B (no freezer)</t>
        </is>
      </c>
      <c r="J5" s="12" t="n"/>
      <c r="K5" s="10">
        <f>MAX(0,E5-N(J5))</f>
        <v/>
      </c>
      <c r="L5" s="8" t="inlineStr">
        <is>
          <t>Wipe up spills at once Wipe up spills straight away.</t>
        </is>
      </c>
    </row>
    <row r="6">
      <c r="A6" s="8" t="inlineStr">
        <is>
          <t>Magnifying glasses, hand-held</t>
        </is>
      </c>
      <c r="B6" s="8" t="inlineStr">
        <is>
          <t>放大镜（手持）</t>
        </is>
      </c>
      <c r="C6" s="8" t="inlineStr">
        <is>
          <t>Hand magnifiers.</t>
        </is>
      </c>
      <c r="D6" s="8" t="inlineStr">
        <is>
          <t>Reusable</t>
        </is>
      </c>
      <c r="E6" s="9">
        <f>MAX(MAX(N('Data by week'!$I$76)*'Data by week'!$H$76,N('Data by week'!$J$76)*'Data by week'!$H$76,N('Data by week'!$K$76)*'Data by week'!$H$76,N('Data by week'!$L$76)*'Data by week'!$H$76,N('Data by week'!$M$76)*'Data by week'!$H$76,N('Data by week'!$N$76)*'Data by week'!$H$76,N('Data by week'!$O$76)*'Data by week'!$H$76,N('Data by week'!$P$76)*'Data by week'!$H$76,N('Data by week'!$Q$76)*'Data by week'!$H$76,N('Data by week'!$R$76)*'Data by week'!$H$76),MAX(N('Data by week'!$S$76)*'Data by week'!$H$76,N('Data by week'!$T$76)*'Data by week'!$H$76,N('Data by week'!$U$76)*'Data by week'!$H$76,N('Data by week'!$V$76)*'Data by week'!$H$76,N('Data by week'!$W$76)*'Data by week'!$H$76,N('Data by week'!$X$76)*'Data by week'!$H$76,N('Data by week'!$Y$76)*'Data by week'!$H$76,N('Data by week'!$Z$76)*'Data by week'!$H$76,N('Data by week'!$AA$76)*'Data by week'!$H$76,N('Data by week'!$AB$76)*'Data by week'!$H$76),MAX(N('Data by week'!$AC$76)*'Data by week'!$H$76,N('Data by week'!$AD$76)*'Data by week'!$H$76,N('Data by week'!$AE$76)*'Data by week'!$H$76,N('Data by week'!$AF$76)*'Data by week'!$H$76,N('Data by week'!$AG$76)*'Data by week'!$H$76,N('Data by week'!$AH$76)*'Data by week'!$H$76,N('Data by week'!$AI$76)*'Data by week'!$H$76,N('Data by week'!$AJ$76)*'Data by week'!$H$76,N('Data by week'!$AK$76)*'Data by week'!$H$76,N('Data by week'!$AL$76)*'Data by week'!$H$76))</f>
        <v/>
      </c>
      <c r="F6" s="8" t="inlineStr">
        <is>
          <t>magnifiers</t>
        </is>
      </c>
      <c r="G6" s="8" t="inlineStr">
        <is>
          <t>Week 2</t>
        </is>
      </c>
      <c r="H6" s="8" t="inlineStr">
        <is>
          <t>Year 8: W2, W4, W8</t>
        </is>
      </c>
      <c r="I6" s="8" t="inlineStr">
        <is>
          <t>Both plans</t>
        </is>
      </c>
      <c r="J6" s="12" t="n"/>
      <c r="K6" s="10">
        <f>MAX(0,E6-N(J6))</f>
        <v/>
      </c>
      <c r="L6" s="8" t="inlineStr"/>
    </row>
    <row r="7">
      <c r="A7" s="8" t="inlineStr">
        <is>
          <t>Paper towels, the lab's own dispenser roll</t>
        </is>
      </c>
      <c r="B7" s="8" t="inlineStr">
        <is>
          <t>实验室纸巾（水槽抽取式擦手纸）</t>
        </is>
      </c>
      <c r="C7" s="8" t="inlineStr">
        <is>
          <t>The lab's own sink-dispenser paper towels; reference P1 and Evidence 7 must both come from the same roll.</t>
        </is>
      </c>
      <c r="D7" s="8" t="inlineStr">
        <is>
          <t>Used up</t>
        </is>
      </c>
      <c r="E7" s="9">
        <f>ROUNDUP(('Data by week'!$AW$77*'Data by week'!$H$77)*'Read me'!$C$5+('Data by week'!$AX$77*'Data by week'!$H$77)*'Read me'!$C$6+('Data by week'!$AY$77*'Data by week'!$H$77)*'Read me'!$C$7,0)</f>
        <v/>
      </c>
      <c r="F7" s="8" t="inlineStr">
        <is>
          <t>sheets</t>
        </is>
      </c>
      <c r="G7" s="8" t="inlineStr">
        <is>
          <t>Week 2</t>
        </is>
      </c>
      <c r="H7" s="8" t="inlineStr">
        <is>
          <t>Year 8: W2, W3, W4, W5, W7, W8</t>
        </is>
      </c>
      <c r="I7" s="8" t="inlineStr">
        <is>
          <t>Both plans</t>
        </is>
      </c>
      <c r="J7" s="12" t="n"/>
      <c r="K7" s="10">
        <f>MAX(0,E7-N(J7))</f>
        <v/>
      </c>
      <c r="L7" s="8" t="inlineStr">
        <is>
          <t>P1 and Evidence 7 must come from the lab's own roll, or the Week 8 result will not match the Case Bible.</t>
        </is>
      </c>
    </row>
    <row r="8">
      <c r="A8" s="8" t="inlineStr">
        <is>
          <t>Ruler, 30 cm</t>
        </is>
      </c>
      <c r="B8" s="8" t="inlineStr">
        <is>
          <t>直尺 30厘米</t>
        </is>
      </c>
      <c r="C8" s="8" t="inlineStr">
        <is>
          <t>30 cm, marked in mm, with the 0 cm mark at the very end (Y9 ruler drop).</t>
        </is>
      </c>
      <c r="D8" s="8" t="inlineStr">
        <is>
          <t>Reusable</t>
        </is>
      </c>
      <c r="E8" s="9">
        <f>MAX(MAX(N('Data by week'!$I$78)*'Data by week'!$H$78,N('Data by week'!$J$78)*'Data by week'!$H$78,N('Data by week'!$K$78)*'Data by week'!$H$78,N('Data by week'!$L$78)*'Data by week'!$H$78,N('Data by week'!$M$78)*'Data by week'!$H$78,N('Data by week'!$N$78)*'Data by week'!$H$78,N('Data by week'!$O$78)*'Data by week'!$H$78,N('Data by week'!$P$78)*'Data by week'!$H$78,N('Data by week'!$Q$78)*'Data by week'!$H$78,N('Data by week'!$R$78)*'Data by week'!$H$78),MAX(N('Data by week'!$S$78)*'Data by week'!$H$78,N('Data by week'!$T$78)*'Data by week'!$H$78,N('Data by week'!$U$78)*'Data by week'!$H$78,N('Data by week'!$V$78)*'Data by week'!$H$78,N('Data by week'!$W$78)*'Data by week'!$H$78,N('Data by week'!$X$78)*'Data by week'!$H$78,N('Data by week'!$Y$78)*'Data by week'!$H$78,N('Data by week'!$Z$78)*'Data by week'!$H$78,N('Data by week'!$AA$78)*'Data by week'!$H$78,N('Data by week'!$AB$78)*'Data by week'!$H$78),MAX(N('Data by week'!$AC$78)*'Data by week'!$H$78,N('Data by week'!$AD$78)*'Data by week'!$H$78,N('Data by week'!$AE$78)*'Data by week'!$H$78,N('Data by week'!$AF$78)*'Data by week'!$H$78,N('Data by week'!$AG$78)*'Data by week'!$H$78,N('Data by week'!$AH$78)*'Data by week'!$H$78,N('Data by week'!$AI$78)*'Data by week'!$H$78,N('Data by week'!$AJ$78)*'Data by week'!$H$78,N('Data by week'!$AK$78)*'Data by week'!$H$78,N('Data by week'!$AL$78)*'Data by week'!$H$78))</f>
        <v/>
      </c>
      <c r="F8" s="8" t="inlineStr">
        <is>
          <t>rulers</t>
        </is>
      </c>
      <c r="G8" s="8" t="inlineStr">
        <is>
          <t>Week 2</t>
        </is>
      </c>
      <c r="H8" s="8" t="inlineStr">
        <is>
          <t>Year 7: W5, W8, W9; Year 8: W3, W6, W8; Year 9: W2, W3, W4, W8, W9</t>
        </is>
      </c>
      <c r="I8" s="8" t="inlineStr">
        <is>
          <t>Both plans</t>
        </is>
      </c>
      <c r="J8" s="12" t="n"/>
      <c r="K8" s="10">
        <f>MAX(0,E8-N(J8))</f>
        <v/>
      </c>
      <c r="L8" s="8" t="inlineStr">
        <is>
          <t>Carry rulers safely; do not wave them near faces. Week 3: a flicked or swung ruler can hit faces or fingers. Hold it upright and still, sit for every test, and keep your face back from the falling ruler</t>
        </is>
      </c>
    </row>
    <row r="9">
      <c r="A9" s="8" t="inlineStr">
        <is>
          <t>Metre stick</t>
        </is>
      </c>
      <c r="B9" s="8" t="inlineStr">
        <is>
          <t>米尺（1米）</t>
        </is>
      </c>
      <c r="C9" s="8" t="inlineStr">
        <is>
          <t>1 m stick marked in cm (Y8: a tape measure will do).</t>
        </is>
      </c>
      <c r="D9" s="8" t="inlineStr">
        <is>
          <t>Reusable</t>
        </is>
      </c>
      <c r="E9" s="9">
        <f>MAX(MAX(N('Data by week'!$I$79)*'Data by week'!$H$79,N('Data by week'!$J$79)*'Data by week'!$H$79,N('Data by week'!$K$79)*'Data by week'!$H$79,N('Data by week'!$L$79)*'Data by week'!$H$79,N('Data by week'!$M$79)*'Data by week'!$H$79,N('Data by week'!$N$79)*'Data by week'!$H$79,N('Data by week'!$O$79)*'Data by week'!$H$79,N('Data by week'!$P$79)*'Data by week'!$H$79,N('Data by week'!$Q$79)*'Data by week'!$H$79,N('Data by week'!$R$79)*'Data by week'!$H$79),MAX(N('Data by week'!$S$79)*'Data by week'!$H$79,N('Data by week'!$T$79)*'Data by week'!$H$79,N('Data by week'!$U$79)*'Data by week'!$H$79,N('Data by week'!$V$79)*'Data by week'!$H$79,N('Data by week'!$W$79)*'Data by week'!$H$79,N('Data by week'!$X$79)*'Data by week'!$H$79,N('Data by week'!$Y$79)*'Data by week'!$H$79,N('Data by week'!$Z$79)*'Data by week'!$H$79,N('Data by week'!$AA$79)*'Data by week'!$H$79,N('Data by week'!$AB$79)*'Data by week'!$H$79),MAX(N('Data by week'!$AC$79)*'Data by week'!$H$79,N('Data by week'!$AD$79)*'Data by week'!$H$79,N('Data by week'!$AE$79)*'Data by week'!$H$79,N('Data by week'!$AF$79)*'Data by week'!$H$79,N('Data by week'!$AG$79)*'Data by week'!$H$79,N('Data by week'!$AH$79)*'Data by week'!$H$79,N('Data by week'!$AI$79)*'Data by week'!$H$79,N('Data by week'!$AJ$79)*'Data by week'!$H$79,N('Data by week'!$AK$79)*'Data by week'!$H$79,N('Data by week'!$AL$79)*'Data by week'!$H$79))</f>
        <v/>
      </c>
      <c r="F9" s="8" t="inlineStr">
        <is>
          <t>metre sticks</t>
        </is>
      </c>
      <c r="G9" s="8" t="inlineStr">
        <is>
          <t>Week 3</t>
        </is>
      </c>
      <c r="H9" s="8" t="inlineStr">
        <is>
          <t>Year 7: W3, W4; Year 8: W6</t>
        </is>
      </c>
      <c r="I9" s="8" t="inlineStr">
        <is>
          <t>Both plans</t>
        </is>
      </c>
      <c r="J9" s="12" t="n"/>
      <c r="K9" s="10">
        <f>MAX(0,E9-N(J9))</f>
        <v/>
      </c>
      <c r="L9" s="8" t="inlineStr">
        <is>
          <t>Hold metre sticks upright and close to the wall; do not swing them. Retract tape measures slowly. Never stand on chairs or tables; the Dropper stands flat on the floor.</t>
        </is>
      </c>
    </row>
    <row r="10">
      <c r="A10" s="8" t="inlineStr">
        <is>
          <t>Scissors</t>
        </is>
      </c>
      <c r="B10" s="8" t="inlineStr">
        <is>
          <t>剪刀</t>
        </is>
      </c>
      <c r="C10" s="8" t="inlineStr">
        <is>
          <t>Student scissors.</t>
        </is>
      </c>
      <c r="D10" s="8" t="inlineStr">
        <is>
          <t>Reusable</t>
        </is>
      </c>
      <c r="E10" s="9">
        <f>MAX(MAX(N('Data by week'!$I$80)*'Data by week'!$H$80,N('Data by week'!$J$80)*'Data by week'!$H$80,N('Data by week'!$K$80)*'Data by week'!$H$80,N('Data by week'!$L$80)*'Data by week'!$H$80,N('Data by week'!$M$80)*'Data by week'!$H$80,N('Data by week'!$N$80)*'Data by week'!$H$80,N('Data by week'!$O$80)*'Data by week'!$H$80,N('Data by week'!$P$80)*'Data by week'!$H$80,N('Data by week'!$Q$80)*'Data by week'!$H$80,N('Data by week'!$R$80)*'Data by week'!$H$80),MAX(N('Data by week'!$S$80)*'Data by week'!$H$80,N('Data by week'!$T$80)*'Data by week'!$H$80,N('Data by week'!$U$80)*'Data by week'!$H$80,N('Data by week'!$V$80)*'Data by week'!$H$80,N('Data by week'!$W$80)*'Data by week'!$H$80,N('Data by week'!$X$80)*'Data by week'!$H$80,N('Data by week'!$Y$80)*'Data by week'!$H$80,N('Data by week'!$Z$80)*'Data by week'!$H$80,N('Data by week'!$AA$80)*'Data by week'!$H$80,N('Data by week'!$AB$80)*'Data by week'!$H$80),MAX(N('Data by week'!$AC$80)*'Data by week'!$H$80,N('Data by week'!$AD$80)*'Data by week'!$H$80,N('Data by week'!$AE$80)*'Data by week'!$H$80,N('Data by week'!$AF$80)*'Data by week'!$H$80,N('Data by week'!$AG$80)*'Data by week'!$H$80,N('Data by week'!$AH$80)*'Data by week'!$H$80,N('Data by week'!$AI$80)*'Data by week'!$H$80,N('Data by week'!$AJ$80)*'Data by week'!$H$80,N('Data by week'!$AK$80)*'Data by week'!$H$80,N('Data by week'!$AL$80)*'Data by week'!$H$80))</f>
        <v/>
      </c>
      <c r="F10" s="8" t="inlineStr">
        <is>
          <t>pairs</t>
        </is>
      </c>
      <c r="G10" s="8" t="inlineStr">
        <is>
          <t>Week 3</t>
        </is>
      </c>
      <c r="H10" s="8" t="inlineStr">
        <is>
          <t>Year 7: W3, W4, W9; Year 8: W8; Year 9: W8</t>
        </is>
      </c>
      <c r="I10" s="8" t="inlineStr">
        <is>
          <t>Both plans</t>
        </is>
      </c>
      <c r="J10" s="12" t="n"/>
      <c r="K10" s="10">
        <f>MAX(0,E10-N(J10))</f>
        <v/>
      </c>
      <c r="L10" s="8" t="inlineStr">
        <is>
          <t>Carry scissors with the points down; cut away from your fingers. Cut away from your fingers; pass scissors handle first; count back in.</t>
        </is>
      </c>
    </row>
    <row r="11">
      <c r="A11" s="8" t="inlineStr">
        <is>
          <t>Stopwatch</t>
        </is>
      </c>
      <c r="B11" s="8" t="inlineStr">
        <is>
          <t>秒表</t>
        </is>
      </c>
      <c r="C11" s="8" t="inlineStr">
        <is>
          <t>Digital stopwatch.</t>
        </is>
      </c>
      <c r="D11" s="8" t="inlineStr">
        <is>
          <t>Reusable</t>
        </is>
      </c>
      <c r="E11" s="9">
        <f>MAX(MAX(N('Data by week'!$I$81)*'Data by week'!$H$81,N('Data by week'!$J$81)*'Data by week'!$H$81,N('Data by week'!$K$81)*'Data by week'!$H$81,N('Data by week'!$L$81)*'Data by week'!$H$81,N('Data by week'!$M$81)*'Data by week'!$H$81,N('Data by week'!$N$81)*'Data by week'!$H$81,N('Data by week'!$O$81)*'Data by week'!$H$81,N('Data by week'!$P$81)*'Data by week'!$H$81,N('Data by week'!$Q$81)*'Data by week'!$H$81,N('Data by week'!$R$81)*'Data by week'!$H$81),MAX(N('Data by week'!$S$81)*'Data by week'!$H$81,N('Data by week'!$T$81)*'Data by week'!$H$81,N('Data by week'!$U$81)*'Data by week'!$H$81,N('Data by week'!$V$81)*'Data by week'!$H$81,N('Data by week'!$W$81)*'Data by week'!$H$81,N('Data by week'!$X$81)*'Data by week'!$H$81,N('Data by week'!$Y$81)*'Data by week'!$H$81,N('Data by week'!$Z$81)*'Data by week'!$H$81,N('Data by week'!$AA$81)*'Data by week'!$H$81,N('Data by week'!$AB$81)*'Data by week'!$H$81),MAX(N('Data by week'!$AC$81)*'Data by week'!$H$81,N('Data by week'!$AD$81)*'Data by week'!$H$81,N('Data by week'!$AE$81)*'Data by week'!$H$81,N('Data by week'!$AF$81)*'Data by week'!$H$81,N('Data by week'!$AG$81)*'Data by week'!$H$81,N('Data by week'!$AH$81)*'Data by week'!$H$81,N('Data by week'!$AI$81)*'Data by week'!$H$81,N('Data by week'!$AJ$81)*'Data by week'!$H$81,N('Data by week'!$AK$81)*'Data by week'!$H$81,N('Data by week'!$AL$81)*'Data by week'!$H$81))</f>
        <v/>
      </c>
      <c r="F11" s="8" t="inlineStr">
        <is>
          <t>stopwatches</t>
        </is>
      </c>
      <c r="G11" s="8" t="inlineStr">
        <is>
          <t>Week 3</t>
        </is>
      </c>
      <c r="H11" s="8" t="inlineStr">
        <is>
          <t>Year 7: W3, W4, W6, W8; Year 8: W8, W10; Year 9: W6, W8, W10</t>
        </is>
      </c>
      <c r="I11" s="8" t="inlineStr">
        <is>
          <t>Both plans</t>
        </is>
      </c>
      <c r="J11" s="12" t="n"/>
      <c r="K11" s="10">
        <f>MAX(0,E11-N(J11))</f>
        <v/>
      </c>
      <c r="L11" s="8" t="inlineStr"/>
    </row>
    <row r="12">
      <c r="A12" s="8" t="inlineStr">
        <is>
          <t>Droppers (plastic pipettes)</t>
        </is>
      </c>
      <c r="B12" s="8" t="inlineStr">
        <is>
          <t>塑料滴管</t>
        </is>
      </c>
      <c r="C12" s="8" t="inlineStr">
        <is>
          <t>Plastic pipettes.</t>
        </is>
      </c>
      <c r="D12" s="8" t="inlineStr">
        <is>
          <t>Reusable</t>
        </is>
      </c>
      <c r="E12" s="9">
        <f>MAX(MAX(N('Data by week'!$I$82)*'Data by week'!$H$82,N('Data by week'!$J$82)*'Data by week'!$H$82,N('Data by week'!$K$82)*'Data by week'!$H$82,N('Data by week'!$L$82)*'Data by week'!$H$82,N('Data by week'!$M$82)*'Data by week'!$H$82,N('Data by week'!$N$82)*'Data by week'!$H$82,N('Data by week'!$O$82)*'Data by week'!$H$82,N('Data by week'!$P$82)*'Data by week'!$H$82,N('Data by week'!$Q$82)*'Data by week'!$H$82,N('Data by week'!$R$82)*'Data by week'!$H$82),MAX(N('Data by week'!$S$82)*'Data by week'!$H$82,N('Data by week'!$T$82)*'Data by week'!$H$82,N('Data by week'!$U$82)*'Data by week'!$H$82,N('Data by week'!$V$82)*'Data by week'!$H$82,N('Data by week'!$W$82)*'Data by week'!$H$82,N('Data by week'!$X$82)*'Data by week'!$H$82,N('Data by week'!$Y$82)*'Data by week'!$H$82,N('Data by week'!$Z$82)*'Data by week'!$H$82,N('Data by week'!$AA$82)*'Data by week'!$H$82,N('Data by week'!$AB$82)*'Data by week'!$H$82),MAX(N('Data by week'!$AC$82)*'Data by week'!$H$82,N('Data by week'!$AD$82)*'Data by week'!$H$82,N('Data by week'!$AE$82)*'Data by week'!$H$82,N('Data by week'!$AF$82)*'Data by week'!$H$82,N('Data by week'!$AG$82)*'Data by week'!$H$82,N('Data by week'!$AH$82)*'Data by week'!$H$82,N('Data by week'!$AI$82)*'Data by week'!$H$82,N('Data by week'!$AJ$82)*'Data by week'!$H$82,N('Data by week'!$AK$82)*'Data by week'!$H$82,N('Data by week'!$AL$82)*'Data by week'!$H$82))</f>
        <v/>
      </c>
      <c r="F12" s="8" t="inlineStr">
        <is>
          <t>droppers</t>
        </is>
      </c>
      <c r="G12" s="8" t="inlineStr">
        <is>
          <t>Week 4</t>
        </is>
      </c>
      <c r="H12" s="8" t="inlineStr">
        <is>
          <t>Year 8: W4, W5, W8</t>
        </is>
      </c>
      <c r="I12" s="8" t="inlineStr">
        <is>
          <t>Both plans</t>
        </is>
      </c>
      <c r="J12" s="12" t="n"/>
      <c r="K12" s="10">
        <f>MAX(0,E12-N(J12))</f>
        <v/>
      </c>
      <c r="L12" s="8" t="inlineStr"/>
    </row>
    <row r="13">
      <c r="A13" s="8" t="inlineStr">
        <is>
          <t>Iodine solution, dropper bottles</t>
        </is>
      </c>
      <c r="B13" s="8" t="inlineStr">
        <is>
          <t>碘液（滴瓶装）</t>
        </is>
      </c>
      <c r="C13" s="8" t="inlineStr">
        <is>
          <t>Orange-brown iodine solution for the starch test, in dropper bottles (optional); teacher or Safety Officer only, goggles, stains skin and clothes.</t>
        </is>
      </c>
      <c r="D13" s="8" t="inlineStr">
        <is>
          <t>Used up</t>
        </is>
      </c>
      <c r="E13" s="9">
        <f>ROUNDUP(('Data by week'!$AW$83*'Data by week'!$H$83)*'Read me'!$C$5+('Data by week'!$AX$83*'Data by week'!$H$83)*'Read me'!$C$6+('Data by week'!$AY$83*'Data by week'!$H$83)*'Read me'!$C$7,0)</f>
        <v/>
      </c>
      <c r="F13" s="8" t="inlineStr">
        <is>
          <t>dropper bottles</t>
        </is>
      </c>
      <c r="G13" s="8" t="inlineStr">
        <is>
          <t>Week 4</t>
        </is>
      </c>
      <c r="H13" s="8" t="inlineStr">
        <is>
          <t>Year 8: W4, W8</t>
        </is>
      </c>
      <c r="I13" s="8" t="inlineStr">
        <is>
          <t>Both plans</t>
        </is>
      </c>
      <c r="J13" s="12" t="n"/>
      <c r="K13" s="10">
        <f>MAX(0,E13-N(J13))</f>
        <v/>
      </c>
      <c r="L13" s="8" t="inlineStr">
        <is>
          <t>Stains skin and clothes: one drop, dropper only. Goggles. Return to the teacher after the lesson.</t>
        </is>
      </c>
    </row>
    <row r="14">
      <c r="A14" s="8" t="inlineStr">
        <is>
          <t>Safety goggles</t>
        </is>
      </c>
      <c r="B14" s="8" t="inlineStr">
        <is>
          <t>护目镜</t>
        </is>
      </c>
      <c r="C14" s="8" t="inlineStr">
        <is>
          <t>Safety goggles, 1 per student.</t>
        </is>
      </c>
      <c r="D14" s="8" t="inlineStr">
        <is>
          <t>Reusable</t>
        </is>
      </c>
      <c r="E14" s="9">
        <f>MAX(MAX(N('Data by week'!$I$84)*'Data by week'!$H$84+N('Data by week'!$I$97)*'Data by week'!$H$97,N('Data by week'!$J$84)*'Data by week'!$H$84+N('Data by week'!$J$97)*'Data by week'!$H$97,N('Data by week'!$K$84)*'Data by week'!$H$84+N('Data by week'!$K$97)*'Data by week'!$H$97,N('Data by week'!$L$84)*'Data by week'!$H$84+N('Data by week'!$L$97)*'Data by week'!$H$97,N('Data by week'!$M$84)*'Data by week'!$H$84+N('Data by week'!$M$97)*'Data by week'!$H$97,N('Data by week'!$N$84)*'Data by week'!$H$84+N('Data by week'!$N$97)*'Data by week'!$H$97,N('Data by week'!$O$84)*'Data by week'!$H$84+N('Data by week'!$O$97)*'Data by week'!$H$97,N('Data by week'!$P$84)*'Data by week'!$H$84+N('Data by week'!$P$97)*'Data by week'!$H$97,N('Data by week'!$Q$84)*'Data by week'!$H$84+N('Data by week'!$Q$97)*'Data by week'!$H$97,N('Data by week'!$R$84)*'Data by week'!$H$84+N('Data by week'!$R$97)*'Data by week'!$H$97),MAX(N('Data by week'!$S$84)*'Data by week'!$H$84+N('Data by week'!$S$97)*'Data by week'!$H$97,N('Data by week'!$T$84)*'Data by week'!$H$84+N('Data by week'!$T$97)*'Data by week'!$H$97,N('Data by week'!$U$84)*'Data by week'!$H$84+N('Data by week'!$U$97)*'Data by week'!$H$97,N('Data by week'!$V$84)*'Data by week'!$H$84+N('Data by week'!$V$97)*'Data by week'!$H$97,N('Data by week'!$W$84)*'Data by week'!$H$84+N('Data by week'!$W$97)*'Data by week'!$H$97,N('Data by week'!$X$84)*'Data by week'!$H$84+N('Data by week'!$X$97)*'Data by week'!$H$97,N('Data by week'!$Y$84)*'Data by week'!$H$84+N('Data by week'!$Y$97)*'Data by week'!$H$97,N('Data by week'!$Z$84)*'Data by week'!$H$84+N('Data by week'!$Z$97)*'Data by week'!$H$97,N('Data by week'!$AA$84)*'Data by week'!$H$84+N('Data by week'!$AA$97)*'Data by week'!$H$97,N('Data by week'!$AB$84)*'Data by week'!$H$84+N('Data by week'!$AB$97)*'Data by week'!$H$97),MAX(N('Data by week'!$AC$84)*'Data by week'!$H$84+N('Data by week'!$AC$97)*'Data by week'!$H$97,N('Data by week'!$AD$84)*'Data by week'!$H$84+N('Data by week'!$AD$97)*'Data by week'!$H$97,N('Data by week'!$AE$84)*'Data by week'!$H$84+N('Data by week'!$AE$97)*'Data by week'!$H$97,N('Data by week'!$AF$84)*'Data by week'!$H$84+N('Data by week'!$AF$97)*'Data by week'!$H$97,N('Data by week'!$AG$84)*'Data by week'!$H$84+N('Data by week'!$AG$97)*'Data by week'!$H$97,N('Data by week'!$AH$84)*'Data by week'!$H$84+N('Data by week'!$AH$97)*'Data by week'!$H$97,N('Data by week'!$AI$84)*'Data by week'!$H$84+N('Data by week'!$AI$97)*'Data by week'!$H$97,N('Data by week'!$AJ$84)*'Data by week'!$H$84+N('Data by week'!$AJ$97)*'Data by week'!$H$97,N('Data by week'!$AK$84)*'Data by week'!$H$84+N('Data by week'!$AK$97)*'Data by week'!$H$97,N('Data by week'!$AL$84)*'Data by week'!$H$84+N('Data by week'!$AL$97)*'Data by week'!$H$97))</f>
        <v/>
      </c>
      <c r="F14" s="8" t="inlineStr">
        <is>
          <t>pairs</t>
        </is>
      </c>
      <c r="G14" s="8" t="inlineStr">
        <is>
          <t>Week 4</t>
        </is>
      </c>
      <c r="H14" s="8" t="inlineStr">
        <is>
          <t>Year 8: W4, W5, W8; Year 9: W6, W8</t>
        </is>
      </c>
      <c r="I14" s="8" t="inlineStr">
        <is>
          <t>Both plans, Plan A (freezer)</t>
        </is>
      </c>
      <c r="J14" s="12" t="n"/>
      <c r="K14" s="10">
        <f>MAX(0,E14-N(J14))</f>
        <v/>
      </c>
      <c r="L14" s="8" t="inlineStr">
        <is>
          <t>Goggles on while the freezing mixture is on the table, because salty splashes sting eyes. Wash hands afterwards Wear for vinegar, iodine, indicator, lemon juice and soap solution, and while shaking soil bottles.</t>
        </is>
      </c>
    </row>
    <row r="15">
      <c r="A15" s="8" t="inlineStr">
        <is>
          <t>Small spoons or lolly sticks (one per powder)</t>
        </is>
      </c>
      <c r="B15" s="8" t="inlineStr">
        <is>
          <t>药匙（小号）或冰棒棍</t>
        </is>
      </c>
      <c r="C15" s="8" t="inlineStr">
        <is>
          <t>One per sample so powders are never mixed (lolly sticks are single use).</t>
        </is>
      </c>
      <c r="D15" s="8" t="inlineStr">
        <is>
          <t>Reusable</t>
        </is>
      </c>
      <c r="E15" s="9">
        <f>MAX(MAX(N('Data by week'!$I$85)*'Data by week'!$H$85,N('Data by week'!$J$85)*'Data by week'!$H$85,N('Data by week'!$K$85)*'Data by week'!$H$85,N('Data by week'!$L$85)*'Data by week'!$H$85,N('Data by week'!$M$85)*'Data by week'!$H$85,N('Data by week'!$N$85)*'Data by week'!$H$85,N('Data by week'!$O$85)*'Data by week'!$H$85,N('Data by week'!$P$85)*'Data by week'!$H$85,N('Data by week'!$Q$85)*'Data by week'!$H$85,N('Data by week'!$R$85)*'Data by week'!$H$85),MAX(N('Data by week'!$S$85)*'Data by week'!$H$85,N('Data by week'!$T$85)*'Data by week'!$H$85,N('Data by week'!$U$85)*'Data by week'!$H$85,N('Data by week'!$V$85)*'Data by week'!$H$85,N('Data by week'!$W$85)*'Data by week'!$H$85,N('Data by week'!$X$85)*'Data by week'!$H$85,N('Data by week'!$Y$85)*'Data by week'!$H$85,N('Data by week'!$Z$85)*'Data by week'!$H$85,N('Data by week'!$AA$85)*'Data by week'!$H$85,N('Data by week'!$AB$85)*'Data by week'!$H$85),MAX(N('Data by week'!$AC$85)*'Data by week'!$H$85,N('Data by week'!$AD$85)*'Data by week'!$H$85,N('Data by week'!$AE$85)*'Data by week'!$H$85,N('Data by week'!$AF$85)*'Data by week'!$H$85,N('Data by week'!$AG$85)*'Data by week'!$H$85,N('Data by week'!$AH$85)*'Data by week'!$H$85,N('Data by week'!$AI$85)*'Data by week'!$H$85,N('Data by week'!$AJ$85)*'Data by week'!$H$85,N('Data by week'!$AK$85)*'Data by week'!$H$85,N('Data by week'!$AL$85)*'Data by week'!$H$85))</f>
        <v/>
      </c>
      <c r="F15" s="8" t="inlineStr">
        <is>
          <t>teaspoons</t>
        </is>
      </c>
      <c r="G15" s="8" t="inlineStr">
        <is>
          <t>Week 4</t>
        </is>
      </c>
      <c r="H15" s="8" t="inlineStr">
        <is>
          <t>Year 8: W4, W8</t>
        </is>
      </c>
      <c r="I15" s="8" t="inlineStr">
        <is>
          <t>Both plans</t>
        </is>
      </c>
      <c r="J15" s="12" t="n"/>
      <c r="K15" s="10">
        <f>MAX(0,E15-N(J15))</f>
        <v/>
      </c>
      <c r="L15" s="8" t="inlineStr">
        <is>
          <t>One clean spoon per powder to avoid contamination.</t>
        </is>
      </c>
    </row>
    <row r="16">
      <c r="A16" s="8" t="inlineStr">
        <is>
          <t>Spotting tiles, white, 12 wells</t>
        </is>
      </c>
      <c r="B16" s="8" t="inlineStr">
        <is>
          <t>白色点滴板（12孔）</t>
        </is>
      </c>
      <c r="C16" s="8" t="inlineStr">
        <is>
          <t>White, 12 wells (or 12 white plastic bottle lids per tile).</t>
        </is>
      </c>
      <c r="D16" s="8" t="inlineStr">
        <is>
          <t>Reusable</t>
        </is>
      </c>
      <c r="E16" s="9">
        <f>MAX(MAX(N('Data by week'!$I$86)*'Data by week'!$H$86,N('Data by week'!$J$86)*'Data by week'!$H$86,N('Data by week'!$K$86)*'Data by week'!$H$86,N('Data by week'!$L$86)*'Data by week'!$H$86,N('Data by week'!$M$86)*'Data by week'!$H$86,N('Data by week'!$N$86)*'Data by week'!$H$86,N('Data by week'!$O$86)*'Data by week'!$H$86,N('Data by week'!$P$86)*'Data by week'!$H$86,N('Data by week'!$Q$86)*'Data by week'!$H$86,N('Data by week'!$R$86)*'Data by week'!$H$86),MAX(N('Data by week'!$S$86)*'Data by week'!$H$86,N('Data by week'!$T$86)*'Data by week'!$H$86,N('Data by week'!$U$86)*'Data by week'!$H$86,N('Data by week'!$V$86)*'Data by week'!$H$86,N('Data by week'!$W$86)*'Data by week'!$H$86,N('Data by week'!$X$86)*'Data by week'!$H$86,N('Data by week'!$Y$86)*'Data by week'!$H$86,N('Data by week'!$Z$86)*'Data by week'!$H$86,N('Data by week'!$AA$86)*'Data by week'!$H$86,N('Data by week'!$AB$86)*'Data by week'!$H$86),MAX(N('Data by week'!$AC$86)*'Data by week'!$H$86,N('Data by week'!$AD$86)*'Data by week'!$H$86,N('Data by week'!$AE$86)*'Data by week'!$H$86,N('Data by week'!$AF$86)*'Data by week'!$H$86,N('Data by week'!$AG$86)*'Data by week'!$H$86,N('Data by week'!$AH$86)*'Data by week'!$H$86,N('Data by week'!$AI$86)*'Data by week'!$H$86,N('Data by week'!$AJ$86)*'Data by week'!$H$86,N('Data by week'!$AK$86)*'Data by week'!$H$86,N('Data by week'!$AL$86)*'Data by week'!$H$86))</f>
        <v/>
      </c>
      <c r="F16" s="8" t="inlineStr">
        <is>
          <t>tiles</t>
        </is>
      </c>
      <c r="G16" s="8" t="inlineStr">
        <is>
          <t>Week 4</t>
        </is>
      </c>
      <c r="H16" s="8" t="inlineStr">
        <is>
          <t>Year 8: W4, W8</t>
        </is>
      </c>
      <c r="I16" s="8" t="inlineStr">
        <is>
          <t>Both plans</t>
        </is>
      </c>
      <c r="J16" s="12" t="n"/>
      <c r="K16" s="10">
        <f>MAX(0,E16-N(J16))</f>
        <v/>
      </c>
      <c r="L16" s="8" t="inlineStr">
        <is>
          <t>Rinse after use.</t>
        </is>
      </c>
    </row>
    <row r="17">
      <c r="A17" s="8" t="inlineStr">
        <is>
          <t>Tape measure, at least 2 m</t>
        </is>
      </c>
      <c r="B17" s="8" t="inlineStr">
        <is>
          <t>卷尺（2米以上）</t>
        </is>
      </c>
      <c r="C17" s="8" t="inlineStr">
        <is>
          <t>At least 2 m long; retract slowly.</t>
        </is>
      </c>
      <c r="D17" s="8" t="inlineStr">
        <is>
          <t>Reusable</t>
        </is>
      </c>
      <c r="E17" s="9">
        <f>MAX(MAX(N('Data by week'!$I$87)*'Data by week'!$H$87,N('Data by week'!$J$87)*'Data by week'!$H$87,N('Data by week'!$K$87)*'Data by week'!$H$87,N('Data by week'!$L$87)*'Data by week'!$H$87,N('Data by week'!$M$87)*'Data by week'!$H$87,N('Data by week'!$N$87)*'Data by week'!$H$87,N('Data by week'!$O$87)*'Data by week'!$H$87,N('Data by week'!$P$87)*'Data by week'!$H$87,N('Data by week'!$Q$87)*'Data by week'!$H$87,N('Data by week'!$R$87)*'Data by week'!$H$87),MAX(N('Data by week'!$S$87)*'Data by week'!$H$87,N('Data by week'!$T$87)*'Data by week'!$H$87,N('Data by week'!$U$87)*'Data by week'!$H$87,N('Data by week'!$V$87)*'Data by week'!$H$87,N('Data by week'!$W$87)*'Data by week'!$H$87,N('Data by week'!$X$87)*'Data by week'!$H$87,N('Data by week'!$Y$87)*'Data by week'!$H$87,N('Data by week'!$Z$87)*'Data by week'!$H$87,N('Data by week'!$AA$87)*'Data by week'!$H$87,N('Data by week'!$AB$87)*'Data by week'!$H$87),MAX(N('Data by week'!$AC$87)*'Data by week'!$H$87,N('Data by week'!$AD$87)*'Data by week'!$H$87,N('Data by week'!$AE$87)*'Data by week'!$H$87,N('Data by week'!$AF$87)*'Data by week'!$H$87,N('Data by week'!$AG$87)*'Data by week'!$H$87,N('Data by week'!$AH$87)*'Data by week'!$H$87,N('Data by week'!$AI$87)*'Data by week'!$H$87,N('Data by week'!$AJ$87)*'Data by week'!$H$87,N('Data by week'!$AK$87)*'Data by week'!$H$87,N('Data by week'!$AL$87)*'Data by week'!$H$87))</f>
        <v/>
      </c>
      <c r="F17" s="8" t="inlineStr">
        <is>
          <t>tape measures</t>
        </is>
      </c>
      <c r="G17" s="8" t="inlineStr">
        <is>
          <t>Week 4</t>
        </is>
      </c>
      <c r="H17" s="8" t="inlineStr">
        <is>
          <t>Year 9: W4, W8</t>
        </is>
      </c>
      <c r="I17" s="8" t="inlineStr">
        <is>
          <t>Both plans</t>
        </is>
      </c>
      <c r="J17" s="12" t="n"/>
      <c r="K17" s="10">
        <f>MAX(0,E17-N(J17))</f>
        <v/>
      </c>
      <c r="L17" s="8" t="inlineStr">
        <is>
          <t>Tape measures can snap back. Retract slowly and keep the metal end away from faces. Measuring is voluntary: use codes, not names, and make no comments about anyone's size</t>
        </is>
      </c>
    </row>
    <row r="18">
      <c r="A18" s="8" t="inlineStr">
        <is>
          <t>Bucket, plastic</t>
        </is>
      </c>
      <c r="B18" s="8" t="inlineStr">
        <is>
          <t>塑料水桶</t>
        </is>
      </c>
      <c r="C18" s="8" t="inlineStr">
        <is>
          <t>Plastic bucket; Y7 Week 8 catch trays need 13 deep enough for a hanging bag to clear the bottom by about 5 cm (borrow, or deep washing-up bowls); Y8 and Y9 need 1 for soil or ice-and-salt waste.</t>
        </is>
      </c>
      <c r="D18" s="8" t="inlineStr">
        <is>
          <t>Reusable</t>
        </is>
      </c>
      <c r="E18" s="9">
        <f>MAX(MAX(N('Data by week'!$I$88)*'Data by week'!$H$88,N('Data by week'!$J$88)*'Data by week'!$H$88,N('Data by week'!$K$88)*'Data by week'!$H$88,N('Data by week'!$L$88)*'Data by week'!$H$88,N('Data by week'!$M$88)*'Data by week'!$H$88,N('Data by week'!$N$88)*'Data by week'!$H$88,N('Data by week'!$O$88)*'Data by week'!$H$88,N('Data by week'!$P$88)*'Data by week'!$H$88,N('Data by week'!$Q$88)*'Data by week'!$H$88,N('Data by week'!$R$88)*'Data by week'!$H$88),MAX(N('Data by week'!$S$88)*'Data by week'!$H$88,N('Data by week'!$T$88)*'Data by week'!$H$88,N('Data by week'!$U$88)*'Data by week'!$H$88,N('Data by week'!$V$88)*'Data by week'!$H$88,N('Data by week'!$W$88)*'Data by week'!$H$88,N('Data by week'!$X$88)*'Data by week'!$H$88,N('Data by week'!$Y$88)*'Data by week'!$H$88,N('Data by week'!$Z$88)*'Data by week'!$H$88,N('Data by week'!$AA$88)*'Data by week'!$H$88,N('Data by week'!$AB$88)*'Data by week'!$H$88),MAX(N('Data by week'!$AC$88)*'Data by week'!$H$88,N('Data by week'!$AD$88)*'Data by week'!$H$88,N('Data by week'!$AE$88)*'Data by week'!$H$88,N('Data by week'!$AF$88)*'Data by week'!$H$88,N('Data by week'!$AG$88)*'Data by week'!$H$88,N('Data by week'!$AH$88)*'Data by week'!$H$88,N('Data by week'!$AI$88)*'Data by week'!$H$88,N('Data by week'!$AJ$88)*'Data by week'!$H$88,N('Data by week'!$AK$88)*'Data by week'!$H$88,N('Data by week'!$AL$88)*'Data by week'!$H$88))</f>
        <v/>
      </c>
      <c r="F18" s="8" t="inlineStr">
        <is>
          <t>buckets</t>
        </is>
      </c>
      <c r="G18" s="8" t="inlineStr">
        <is>
          <t>Week 5</t>
        </is>
      </c>
      <c r="H18" s="8" t="inlineStr">
        <is>
          <t>Year 7: W5, W8; Year 8: W8; Year 9: W6, W8</t>
        </is>
      </c>
      <c r="I18" s="8" t="inlineStr">
        <is>
          <t>Both plans</t>
        </is>
      </c>
      <c r="J18" s="12" t="n"/>
      <c r="K18" s="10">
        <f>MAX(0,E18-N(J18))</f>
        <v/>
      </c>
      <c r="L18" s="8" t="inlineStr">
        <is>
          <t>Catch tray under every hanging bag; feet and hands clear; the pourer kneels to the side, never under the bag. Soil blocks drains: not down the sink. The teacher pours used ice and salt away with plenty of running water</t>
        </is>
      </c>
    </row>
    <row r="19">
      <c r="A19" s="8" t="inlineStr">
        <is>
          <t>Drying shelf space for dough strips</t>
        </is>
      </c>
      <c r="B19" s="8" t="inlineStr">
        <is>
          <t>晾干架（晾面团条用）</t>
        </is>
      </c>
      <c r="C19" s="8" t="inlineStr">
        <is>
          <t>Dry shelf away from sinks and very hot radiators, room for two shallow trays.</t>
        </is>
      </c>
      <c r="D19" s="8" t="inlineStr">
        <is>
          <t>Reusable</t>
        </is>
      </c>
      <c r="E19" s="9">
        <f>MAX(MAX(N('Data by week'!$I$89)*'Data by week'!$H$89,N('Data by week'!$J$89)*'Data by week'!$H$89,N('Data by week'!$K$89)*'Data by week'!$H$89,N('Data by week'!$L$89)*'Data by week'!$H$89,N('Data by week'!$M$89)*'Data by week'!$H$89,N('Data by week'!$N$89)*'Data by week'!$H$89,N('Data by week'!$O$89)*'Data by week'!$H$89,N('Data by week'!$P$89)*'Data by week'!$H$89,N('Data by week'!$Q$89)*'Data by week'!$H$89,N('Data by week'!$R$89)*'Data by week'!$H$89),MAX(N('Data by week'!$S$89)*'Data by week'!$H$89,N('Data by week'!$T$89)*'Data by week'!$H$89,N('Data by week'!$U$89)*'Data by week'!$H$89,N('Data by week'!$V$89)*'Data by week'!$H$89,N('Data by week'!$W$89)*'Data by week'!$H$89,N('Data by week'!$X$89)*'Data by week'!$H$89,N('Data by week'!$Y$89)*'Data by week'!$H$89,N('Data by week'!$Z$89)*'Data by week'!$H$89,N('Data by week'!$AA$89)*'Data by week'!$H$89,N('Data by week'!$AB$89)*'Data by week'!$H$89),MAX(N('Data by week'!$AC$89)*'Data by week'!$H$89,N('Data by week'!$AD$89)*'Data by week'!$H$89,N('Data by week'!$AE$89)*'Data by week'!$H$89,N('Data by week'!$AF$89)*'Data by week'!$H$89,N('Data by week'!$AG$89)*'Data by week'!$H$89,N('Data by week'!$AH$89)*'Data by week'!$H$89,N('Data by week'!$AI$89)*'Data by week'!$H$89,N('Data by week'!$AJ$89)*'Data by week'!$H$89,N('Data by week'!$AK$89)*'Data by week'!$H$89,N('Data by week'!$AL$89)*'Data by week'!$H$89))</f>
        <v/>
      </c>
      <c r="F19" s="8" t="inlineStr">
        <is>
          <t>shelf</t>
        </is>
      </c>
      <c r="G19" s="8" t="inlineStr">
        <is>
          <t>Week 5</t>
        </is>
      </c>
      <c r="H19" s="8" t="inlineStr">
        <is>
          <t>Year 7: W5, W7, W8</t>
        </is>
      </c>
      <c r="I19" s="8" t="inlineStr">
        <is>
          <t>Plan B (no freezer)</t>
        </is>
      </c>
      <c r="J19" s="12" t="n"/>
      <c r="K19" s="10">
        <f>MAX(0,E19-N(J19))</f>
        <v/>
      </c>
      <c r="L19" s="8" t="inlineStr"/>
    </row>
    <row r="20">
      <c r="A20" s="8" t="inlineStr">
        <is>
          <t>Kitchen scale, reads to 1 g</t>
        </is>
      </c>
      <c r="B20" s="8" t="inlineStr">
        <is>
          <t>电子秤（精度1克）</t>
        </is>
      </c>
      <c r="C20" s="8" t="inlineStr">
        <is>
          <t>Kitchen or top-pan electronic scale reading to 1 g (0.1 g if available).</t>
        </is>
      </c>
      <c r="D20" s="8" t="inlineStr">
        <is>
          <t>Reusable</t>
        </is>
      </c>
      <c r="E20" s="9">
        <f>MAX(MAX(N('Data by week'!$I$90)*'Data by week'!$H$90,N('Data by week'!$J$90)*'Data by week'!$H$90,N('Data by week'!$K$90)*'Data by week'!$H$90,N('Data by week'!$L$90)*'Data by week'!$H$90,N('Data by week'!$M$90)*'Data by week'!$H$90,N('Data by week'!$N$90)*'Data by week'!$H$90,N('Data by week'!$O$90)*'Data by week'!$H$90,N('Data by week'!$P$90)*'Data by week'!$H$90,N('Data by week'!$Q$90)*'Data by week'!$H$90,N('Data by week'!$R$90)*'Data by week'!$H$90),MAX(N('Data by week'!$S$90)*'Data by week'!$H$90,N('Data by week'!$T$90)*'Data by week'!$H$90,N('Data by week'!$U$90)*'Data by week'!$H$90,N('Data by week'!$V$90)*'Data by week'!$H$90,N('Data by week'!$W$90)*'Data by week'!$H$90,N('Data by week'!$X$90)*'Data by week'!$H$90,N('Data by week'!$Y$90)*'Data by week'!$H$90,N('Data by week'!$Z$90)*'Data by week'!$H$90,N('Data by week'!$AA$90)*'Data by week'!$H$90,N('Data by week'!$AB$90)*'Data by week'!$H$90),MAX(N('Data by week'!$AC$90)*'Data by week'!$H$90,N('Data by week'!$AD$90)*'Data by week'!$H$90,N('Data by week'!$AE$90)*'Data by week'!$H$90,N('Data by week'!$AF$90)*'Data by week'!$H$90,N('Data by week'!$AG$90)*'Data by week'!$H$90,N('Data by week'!$AH$90)*'Data by week'!$H$90,N('Data by week'!$AI$90)*'Data by week'!$H$90,N('Data by week'!$AJ$90)*'Data by week'!$H$90,N('Data by week'!$AK$90)*'Data by week'!$H$90,N('Data by week'!$AL$90)*'Data by week'!$H$90))</f>
        <v/>
      </c>
      <c r="F20" s="8" t="inlineStr">
        <is>
          <t>scales</t>
        </is>
      </c>
      <c r="G20" s="8" t="inlineStr">
        <is>
          <t>Week 5</t>
        </is>
      </c>
      <c r="H20" s="8" t="inlineStr">
        <is>
          <t>Year 7: W5, W7; Year 9: W8</t>
        </is>
      </c>
      <c r="I20" s="8" t="inlineStr">
        <is>
          <t>Both plans</t>
        </is>
      </c>
      <c r="J20" s="12" t="n"/>
      <c r="K20" s="10">
        <f>MAX(0,E20-N(J20))</f>
        <v/>
      </c>
      <c r="L20" s="8" t="inlineStr"/>
    </row>
    <row r="21">
      <c r="A21" s="8" t="inlineStr">
        <is>
          <t>Measuring cylinder, 25 ml</t>
        </is>
      </c>
      <c r="B21" s="8" t="inlineStr">
        <is>
          <t>量筒 25毫升</t>
        </is>
      </c>
      <c r="C21" s="8" t="inlineStr">
        <is>
          <t>25 ml (10 ml acceptable in Week 6; a 20 ml syringe without a needle is acceptable in Week 7).</t>
        </is>
      </c>
      <c r="D21" s="8" t="inlineStr">
        <is>
          <t>Reusable</t>
        </is>
      </c>
      <c r="E21" s="9">
        <f>MAX(MAX(N('Data by week'!$I$91)*'Data by week'!$H$91,N('Data by week'!$J$91)*'Data by week'!$H$91,N('Data by week'!$K$91)*'Data by week'!$H$91,N('Data by week'!$L$91)*'Data by week'!$H$91,N('Data by week'!$M$91)*'Data by week'!$H$91,N('Data by week'!$N$91)*'Data by week'!$H$91,N('Data by week'!$O$91)*'Data by week'!$H$91,N('Data by week'!$P$91)*'Data by week'!$H$91,N('Data by week'!$Q$91)*'Data by week'!$H$91,N('Data by week'!$R$91)*'Data by week'!$H$91),MAX(N('Data by week'!$S$91)*'Data by week'!$H$91,N('Data by week'!$T$91)*'Data by week'!$H$91,N('Data by week'!$U$91)*'Data by week'!$H$91,N('Data by week'!$V$91)*'Data by week'!$H$91,N('Data by week'!$W$91)*'Data by week'!$H$91,N('Data by week'!$X$91)*'Data by week'!$H$91,N('Data by week'!$Y$91)*'Data by week'!$H$91,N('Data by week'!$Z$91)*'Data by week'!$H$91,N('Data by week'!$AA$91)*'Data by week'!$H$91,N('Data by week'!$AB$91)*'Data by week'!$H$91),MAX(N('Data by week'!$AC$91)*'Data by week'!$H$91,N('Data by week'!$AD$91)*'Data by week'!$H$91,N('Data by week'!$AE$91)*'Data by week'!$H$91,N('Data by week'!$AF$91)*'Data by week'!$H$91,N('Data by week'!$AG$91)*'Data by week'!$H$91,N('Data by week'!$AH$91)*'Data by week'!$H$91,N('Data by week'!$AI$91)*'Data by week'!$H$91,N('Data by week'!$AJ$91)*'Data by week'!$H$91,N('Data by week'!$AK$91)*'Data by week'!$H$91,N('Data by week'!$AL$91)*'Data by week'!$H$91))</f>
        <v/>
      </c>
      <c r="F21" s="8" t="inlineStr">
        <is>
          <t>cylinders</t>
        </is>
      </c>
      <c r="G21" s="8" t="inlineStr">
        <is>
          <t>Week 5</t>
        </is>
      </c>
      <c r="H21" s="8" t="inlineStr">
        <is>
          <t>Year 7: W5, W6, W7, W8</t>
        </is>
      </c>
      <c r="I21" s="8" t="inlineStr">
        <is>
          <t>Both plans</t>
        </is>
      </c>
      <c r="J21" s="12" t="n"/>
      <c r="K21" s="10">
        <f>MAX(0,E21-N(J21))</f>
        <v/>
      </c>
      <c r="L21" s="8" t="inlineStr"/>
    </row>
    <row r="22">
      <c r="A22" s="8" t="inlineStr">
        <is>
          <t>Plastic cups, clear, identical, about 250 ml</t>
        </is>
      </c>
      <c r="B22" s="8" t="inlineStr">
        <is>
          <t>透明塑料杯（同款，约250毫升）</t>
        </is>
      </c>
      <c r="C22" s="8" t="inlineStr">
        <is>
          <t>Identical clear plastic cups that hold at least 200 ml of water (about 250 ml).</t>
        </is>
      </c>
      <c r="D22" s="8" t="inlineStr">
        <is>
          <t>Reusable</t>
        </is>
      </c>
      <c r="E22" s="9">
        <f>MAX(MAX(N('Data by week'!$I$92)*'Data by week'!$H$92,N('Data by week'!$J$92)*'Data by week'!$H$92,N('Data by week'!$K$92)*'Data by week'!$H$92,N('Data by week'!$L$92)*'Data by week'!$H$92,N('Data by week'!$M$92)*'Data by week'!$H$92,N('Data by week'!$N$92)*'Data by week'!$H$92,N('Data by week'!$O$92)*'Data by week'!$H$92,N('Data by week'!$P$92)*'Data by week'!$H$92,N('Data by week'!$Q$92)*'Data by week'!$H$92,N('Data by week'!$R$92)*'Data by week'!$H$92),MAX(N('Data by week'!$S$92)*'Data by week'!$H$92,N('Data by week'!$T$92)*'Data by week'!$H$92,N('Data by week'!$U$92)*'Data by week'!$H$92,N('Data by week'!$V$92)*'Data by week'!$H$92,N('Data by week'!$W$92)*'Data by week'!$H$92,N('Data by week'!$X$92)*'Data by week'!$H$92,N('Data by week'!$Y$92)*'Data by week'!$H$92,N('Data by week'!$Z$92)*'Data by week'!$H$92,N('Data by week'!$AA$92)*'Data by week'!$H$92,N('Data by week'!$AB$92)*'Data by week'!$H$92),MAX(N('Data by week'!$AC$92)*'Data by week'!$H$92,N('Data by week'!$AD$92)*'Data by week'!$H$92,N('Data by week'!$AE$92)*'Data by week'!$H$92,N('Data by week'!$AF$92)*'Data by week'!$H$92,N('Data by week'!$AG$92)*'Data by week'!$H$92,N('Data by week'!$AH$92)*'Data by week'!$H$92,N('Data by week'!$AI$92)*'Data by week'!$H$92,N('Data by week'!$AJ$92)*'Data by week'!$H$92,N('Data by week'!$AK$92)*'Data by week'!$H$92,N('Data by week'!$AL$92)*'Data by week'!$H$92))</f>
        <v/>
      </c>
      <c r="F22" s="8" t="inlineStr">
        <is>
          <t>cups</t>
        </is>
      </c>
      <c r="G22" s="8" t="inlineStr">
        <is>
          <t>Week 5</t>
        </is>
      </c>
      <c r="H22" s="8" t="inlineStr">
        <is>
          <t>Year 7: W5, W6, W7, W8; Year 9: W6, W8</t>
        </is>
      </c>
      <c r="I22" s="8" t="inlineStr">
        <is>
          <t>Both plans</t>
        </is>
      </c>
      <c r="J22" s="12" t="n"/>
      <c r="K22" s="10">
        <f>MAX(0,E22-N(J22))</f>
        <v/>
      </c>
      <c r="L22" s="8" t="inlineStr">
        <is>
          <t>Cups of warm water stay on the tray. Do not move or carry them Plan B: do not move the cups once they are full.</t>
        </is>
      </c>
    </row>
    <row r="23">
      <c r="A23" s="8" t="inlineStr">
        <is>
          <t>Measuring cylinder, 100 ml or larger</t>
        </is>
      </c>
      <c r="B23" s="8" t="inlineStr">
        <is>
          <t>量筒 100毫升（或更大）</t>
        </is>
      </c>
      <c r="C23" s="8" t="inlineStr">
        <is>
          <t>100 ml or larger, to mark a 150 ml line on cups (a jug of 100 ml or more will do).</t>
        </is>
      </c>
      <c r="D23" s="8" t="inlineStr">
        <is>
          <t>Reusable</t>
        </is>
      </c>
      <c r="E23" s="9">
        <f>MAX(MAX(N('Data by week'!$I$93)*'Data by week'!$H$93,N('Data by week'!$J$93)*'Data by week'!$H$93,N('Data by week'!$K$93)*'Data by week'!$H$93,N('Data by week'!$L$93)*'Data by week'!$H$93,N('Data by week'!$M$93)*'Data by week'!$H$93,N('Data by week'!$N$93)*'Data by week'!$H$93,N('Data by week'!$O$93)*'Data by week'!$H$93,N('Data by week'!$P$93)*'Data by week'!$H$93,N('Data by week'!$Q$93)*'Data by week'!$H$93,N('Data by week'!$R$93)*'Data by week'!$H$93),MAX(N('Data by week'!$S$93)*'Data by week'!$H$93,N('Data by week'!$T$93)*'Data by week'!$H$93,N('Data by week'!$U$93)*'Data by week'!$H$93,N('Data by week'!$V$93)*'Data by week'!$H$93,N('Data by week'!$W$93)*'Data by week'!$H$93,N('Data by week'!$X$93)*'Data by week'!$H$93,N('Data by week'!$Y$93)*'Data by week'!$H$93,N('Data by week'!$Z$93)*'Data by week'!$H$93,N('Data by week'!$AA$93)*'Data by week'!$H$93,N('Data by week'!$AB$93)*'Data by week'!$H$93),MAX(N('Data by week'!$AC$93)*'Data by week'!$H$93,N('Data by week'!$AD$93)*'Data by week'!$H$93,N('Data by week'!$AE$93)*'Data by week'!$H$93,N('Data by week'!$AF$93)*'Data by week'!$H$93,N('Data by week'!$AG$93)*'Data by week'!$H$93,N('Data by week'!$AH$93)*'Data by week'!$H$93,N('Data by week'!$AI$93)*'Data by week'!$H$93,N('Data by week'!$AJ$93)*'Data by week'!$H$93,N('Data by week'!$AK$93)*'Data by week'!$H$93,N('Data by week'!$AL$93)*'Data by week'!$H$93))</f>
        <v/>
      </c>
      <c r="F23" s="8" t="inlineStr">
        <is>
          <t>cylinders</t>
        </is>
      </c>
      <c r="G23" s="8" t="inlineStr">
        <is>
          <t>Week 6</t>
        </is>
      </c>
      <c r="H23" s="8" t="inlineStr">
        <is>
          <t>Year 7: W6</t>
        </is>
      </c>
      <c r="I23" s="8" t="inlineStr">
        <is>
          <t>Plan B (no freezer)</t>
        </is>
      </c>
      <c r="J23" s="12" t="n"/>
      <c r="K23" s="10">
        <f>MAX(0,E23-N(J23))</f>
        <v/>
      </c>
      <c r="L23" s="8" t="inlineStr"/>
    </row>
    <row r="24">
      <c r="A24" s="8" t="inlineStr">
        <is>
          <t>Measuring jug, 100 ml</t>
        </is>
      </c>
      <c r="B24" s="8" t="inlineStr">
        <is>
          <t>量杯 100毫升</t>
        </is>
      </c>
      <c r="C24" s="8" t="inlineStr">
        <is>
          <t>Graduated measuring jug; the teacher measures 100 ml into each cup.</t>
        </is>
      </c>
      <c r="D24" s="8" t="inlineStr">
        <is>
          <t>Reusable</t>
        </is>
      </c>
      <c r="E24" s="9">
        <f>MAX(MAX(N('Data by week'!$I$94)*'Data by week'!$H$94,N('Data by week'!$J$94)*'Data by week'!$H$94,N('Data by week'!$K$94)*'Data by week'!$H$94,N('Data by week'!$L$94)*'Data by week'!$H$94,N('Data by week'!$M$94)*'Data by week'!$H$94,N('Data by week'!$N$94)*'Data by week'!$H$94,N('Data by week'!$O$94)*'Data by week'!$H$94,N('Data by week'!$P$94)*'Data by week'!$H$94,N('Data by week'!$Q$94)*'Data by week'!$H$94,N('Data by week'!$R$94)*'Data by week'!$H$94),MAX(N('Data by week'!$S$94)*'Data by week'!$H$94,N('Data by week'!$T$94)*'Data by week'!$H$94,N('Data by week'!$U$94)*'Data by week'!$H$94,N('Data by week'!$V$94)*'Data by week'!$H$94,N('Data by week'!$W$94)*'Data by week'!$H$94,N('Data by week'!$X$94)*'Data by week'!$H$94,N('Data by week'!$Y$94)*'Data by week'!$H$94,N('Data by week'!$Z$94)*'Data by week'!$H$94,N('Data by week'!$AA$94)*'Data by week'!$H$94,N('Data by week'!$AB$94)*'Data by week'!$H$94),MAX(N('Data by week'!$AC$94)*'Data by week'!$H$94,N('Data by week'!$AD$94)*'Data by week'!$H$94,N('Data by week'!$AE$94)*'Data by week'!$H$94,N('Data by week'!$AF$94)*'Data by week'!$H$94,N('Data by week'!$AG$94)*'Data by week'!$H$94,N('Data by week'!$AH$94)*'Data by week'!$H$94,N('Data by week'!$AI$94)*'Data by week'!$H$94,N('Data by week'!$AJ$94)*'Data by week'!$H$94,N('Data by week'!$AK$94)*'Data by week'!$H$94,N('Data by week'!$AL$94)*'Data by week'!$H$94))</f>
        <v/>
      </c>
      <c r="F24" s="8" t="inlineStr">
        <is>
          <t>jugs</t>
        </is>
      </c>
      <c r="G24" s="8" t="inlineStr">
        <is>
          <t>Week 6</t>
        </is>
      </c>
      <c r="H24" s="8" t="inlineStr">
        <is>
          <t>Year 9: W6</t>
        </is>
      </c>
      <c r="I24" s="8" t="inlineStr">
        <is>
          <t>Plan B (no freezer)</t>
        </is>
      </c>
      <c r="J24" s="12" t="n"/>
      <c r="K24" s="10">
        <f>MAX(0,E24-N(J24))</f>
        <v/>
      </c>
      <c r="L24" s="8" t="inlineStr"/>
    </row>
    <row r="25">
      <c r="A25" s="8" t="inlineStr">
        <is>
          <t>Mop and bucket</t>
        </is>
      </c>
      <c r="B25" s="8" t="inlineStr">
        <is>
          <t>拖把和拖把桶</t>
        </is>
      </c>
      <c r="C25" s="8" t="inlineStr">
        <is>
          <t>Mop and mop bucket near the door.</t>
        </is>
      </c>
      <c r="D25" s="8" t="inlineStr">
        <is>
          <t>Reusable</t>
        </is>
      </c>
      <c r="E25" s="9">
        <f>MAX(MAX(N('Data by week'!$I$95)*'Data by week'!$H$95,N('Data by week'!$J$95)*'Data by week'!$H$95,N('Data by week'!$K$95)*'Data by week'!$H$95,N('Data by week'!$L$95)*'Data by week'!$H$95,N('Data by week'!$M$95)*'Data by week'!$H$95,N('Data by week'!$N$95)*'Data by week'!$H$95,N('Data by week'!$O$95)*'Data by week'!$H$95,N('Data by week'!$P$95)*'Data by week'!$H$95,N('Data by week'!$Q$95)*'Data by week'!$H$95,N('Data by week'!$R$95)*'Data by week'!$H$95),MAX(N('Data by week'!$S$95)*'Data by week'!$H$95,N('Data by week'!$T$95)*'Data by week'!$H$95,N('Data by week'!$U$95)*'Data by week'!$H$95,N('Data by week'!$V$95)*'Data by week'!$H$95,N('Data by week'!$W$95)*'Data by week'!$H$95,N('Data by week'!$X$95)*'Data by week'!$H$95,N('Data by week'!$Y$95)*'Data by week'!$H$95,N('Data by week'!$Z$95)*'Data by week'!$H$95,N('Data by week'!$AA$95)*'Data by week'!$H$95,N('Data by week'!$AB$95)*'Data by week'!$H$95),MAX(N('Data by week'!$AC$95)*'Data by week'!$H$95,N('Data by week'!$AD$95)*'Data by week'!$H$95,N('Data by week'!$AE$95)*'Data by week'!$H$95,N('Data by week'!$AF$95)*'Data by week'!$H$95,N('Data by week'!$AG$95)*'Data by week'!$H$95,N('Data by week'!$AH$95)*'Data by week'!$H$95,N('Data by week'!$AI$95)*'Data by week'!$H$95,N('Data by week'!$AJ$95)*'Data by week'!$H$95,N('Data by week'!$AK$95)*'Data by week'!$H$95,N('Data by week'!$AL$95)*'Data by week'!$H$95))</f>
        <v/>
      </c>
      <c r="F25" s="8" t="inlineStr">
        <is>
          <t>sets</t>
        </is>
      </c>
      <c r="G25" s="8" t="inlineStr">
        <is>
          <t>Week 6</t>
        </is>
      </c>
      <c r="H25" s="8" t="inlineStr">
        <is>
          <t>Year 7: W6, W7, W8</t>
        </is>
      </c>
      <c r="I25" s="8" t="inlineStr">
        <is>
          <t>Both plans</t>
        </is>
      </c>
      <c r="J25" s="12" t="n"/>
      <c r="K25" s="10">
        <f>MAX(0,E25-N(J25))</f>
        <v/>
      </c>
      <c r="L25" s="8" t="inlineStr">
        <is>
          <t>A wet floor is the biggest risk: mop spills straight away; stop a group's testing if water is on the floor.</t>
        </is>
      </c>
    </row>
    <row r="26">
      <c r="A26" s="8" t="inlineStr">
        <is>
          <t>Plastic syringe, 10 ml, no needle</t>
        </is>
      </c>
      <c r="B26" s="8" t="inlineStr">
        <is>
          <t>塑料注射器 10毫升（无针头）</t>
        </is>
      </c>
      <c r="C26" s="8" t="inlineStr">
        <is>
          <t>10 ml plastic syringe without a needle; a small measuring cylinder will do instead.</t>
        </is>
      </c>
      <c r="D26" s="8" t="inlineStr">
        <is>
          <t>Reusable</t>
        </is>
      </c>
      <c r="E26" s="9">
        <f>MAX(MAX(N('Data by week'!$I$96)*'Data by week'!$H$96,N('Data by week'!$J$96)*'Data by week'!$H$96,N('Data by week'!$K$96)*'Data by week'!$H$96,N('Data by week'!$L$96)*'Data by week'!$H$96,N('Data by week'!$M$96)*'Data by week'!$H$96,N('Data by week'!$N$96)*'Data by week'!$H$96,N('Data by week'!$O$96)*'Data by week'!$H$96,N('Data by week'!$P$96)*'Data by week'!$H$96,N('Data by week'!$Q$96)*'Data by week'!$H$96,N('Data by week'!$R$96)*'Data by week'!$H$96),MAX(N('Data by week'!$S$96)*'Data by week'!$H$96,N('Data by week'!$T$96)*'Data by week'!$H$96,N('Data by week'!$U$96)*'Data by week'!$H$96,N('Data by week'!$V$96)*'Data by week'!$H$96,N('Data by week'!$W$96)*'Data by week'!$H$96,N('Data by week'!$X$96)*'Data by week'!$H$96,N('Data by week'!$Y$96)*'Data by week'!$H$96,N('Data by week'!$Z$96)*'Data by week'!$H$96,N('Data by week'!$AA$96)*'Data by week'!$H$96,N('Data by week'!$AB$96)*'Data by week'!$H$96),MAX(N('Data by week'!$AC$96)*'Data by week'!$H$96,N('Data by week'!$AD$96)*'Data by week'!$H$96,N('Data by week'!$AE$96)*'Data by week'!$H$96,N('Data by week'!$AF$96)*'Data by week'!$H$96,N('Data by week'!$AG$96)*'Data by week'!$H$96,N('Data by week'!$AH$96)*'Data by week'!$H$96,N('Data by week'!$AI$96)*'Data by week'!$H$96,N('Data by week'!$AJ$96)*'Data by week'!$H$96,N('Data by week'!$AK$96)*'Data by week'!$H$96,N('Data by week'!$AL$96)*'Data by week'!$H$96))</f>
        <v/>
      </c>
      <c r="F26" s="8" t="inlineStr">
        <is>
          <t>syringes</t>
        </is>
      </c>
      <c r="G26" s="8" t="inlineStr">
        <is>
          <t>Week 6</t>
        </is>
      </c>
      <c r="H26" s="8" t="inlineStr">
        <is>
          <t>Year 9: W6, W8</t>
        </is>
      </c>
      <c r="I26" s="8" t="inlineStr">
        <is>
          <t>Plan A (freezer)</t>
        </is>
      </c>
      <c r="J26" s="12" t="n"/>
      <c r="K26" s="10">
        <f>MAX(0,E26-N(J26))</f>
        <v/>
      </c>
      <c r="L26" s="8" t="inlineStr">
        <is>
          <t>Only the teacher fills tubes with warm water</t>
        </is>
      </c>
    </row>
    <row r="27">
      <c r="A27" s="8" t="inlineStr">
        <is>
          <t>Test tubes, small, plastic if possible</t>
        </is>
      </c>
      <c r="B27" s="8" t="inlineStr">
        <is>
          <t>小试管（尽量用塑料）</t>
        </is>
      </c>
      <c r="C27" s="8" t="inlineStr">
        <is>
          <t>Small tubes, each marked with a line at 3 ml and labelled; plastic if possible.</t>
        </is>
      </c>
      <c r="D27" s="8" t="inlineStr">
        <is>
          <t>Reusable</t>
        </is>
      </c>
      <c r="E27" s="9">
        <f>MAX(MAX(N('Data by week'!$I$98)*'Data by week'!$H$98,N('Data by week'!$J$98)*'Data by week'!$H$98,N('Data by week'!$K$98)*'Data by week'!$H$98,N('Data by week'!$L$98)*'Data by week'!$H$98,N('Data by week'!$M$98)*'Data by week'!$H$98,N('Data by week'!$N$98)*'Data by week'!$H$98,N('Data by week'!$O$98)*'Data by week'!$H$98,N('Data by week'!$P$98)*'Data by week'!$H$98,N('Data by week'!$Q$98)*'Data by week'!$H$98,N('Data by week'!$R$98)*'Data by week'!$H$98),MAX(N('Data by week'!$S$98)*'Data by week'!$H$98,N('Data by week'!$T$98)*'Data by week'!$H$98,N('Data by week'!$U$98)*'Data by week'!$H$98,N('Data by week'!$V$98)*'Data by week'!$H$98,N('Data by week'!$W$98)*'Data by week'!$H$98,N('Data by week'!$X$98)*'Data by week'!$H$98,N('Data by week'!$Y$98)*'Data by week'!$H$98,N('Data by week'!$Z$98)*'Data by week'!$H$98,N('Data by week'!$AA$98)*'Data by week'!$H$98,N('Data by week'!$AB$98)*'Data by week'!$H$98),MAX(N('Data by week'!$AC$98)*'Data by week'!$H$98,N('Data by week'!$AD$98)*'Data by week'!$H$98,N('Data by week'!$AE$98)*'Data by week'!$H$98,N('Data by week'!$AF$98)*'Data by week'!$H$98,N('Data by week'!$AG$98)*'Data by week'!$H$98,N('Data by week'!$AH$98)*'Data by week'!$H$98,N('Data by week'!$AI$98)*'Data by week'!$H$98,N('Data by week'!$AJ$98)*'Data by week'!$H$98,N('Data by week'!$AK$98)*'Data by week'!$H$98,N('Data by week'!$AL$98)*'Data by week'!$H$98))</f>
        <v/>
      </c>
      <c r="F27" s="8" t="inlineStr">
        <is>
          <t>tubes</t>
        </is>
      </c>
      <c r="G27" s="8" t="inlineStr">
        <is>
          <t>Week 6</t>
        </is>
      </c>
      <c r="H27" s="8" t="inlineStr">
        <is>
          <t>Year 9: W6, W8</t>
        </is>
      </c>
      <c r="I27" s="8" t="inlineStr">
        <is>
          <t>Plan A (freezer)</t>
        </is>
      </c>
      <c r="J27" s="12" t="n"/>
      <c r="K27" s="10">
        <f>MAX(0,E27-N(J27))</f>
        <v/>
      </c>
      <c r="L27" s="8" t="inlineStr">
        <is>
          <t>Hold tubes by the top, never touch the mixture. Let frozen tubes thaw in the rack before washing</t>
        </is>
      </c>
    </row>
    <row r="28">
      <c r="A28" s="8" t="inlineStr">
        <is>
          <t>Test-tube rack</t>
        </is>
      </c>
      <c r="B28" s="8" t="inlineStr">
        <is>
          <t>试管架</t>
        </is>
      </c>
      <c r="C28" s="8" t="inlineStr">
        <is>
          <t>An empty cup will do instead.</t>
        </is>
      </c>
      <c r="D28" s="8" t="inlineStr">
        <is>
          <t>Reusable</t>
        </is>
      </c>
      <c r="E28" s="9">
        <f>MAX(MAX(N('Data by week'!$I$99)*'Data by week'!$H$99,N('Data by week'!$J$99)*'Data by week'!$H$99,N('Data by week'!$K$99)*'Data by week'!$H$99,N('Data by week'!$L$99)*'Data by week'!$H$99,N('Data by week'!$M$99)*'Data by week'!$H$99,N('Data by week'!$N$99)*'Data by week'!$H$99,N('Data by week'!$O$99)*'Data by week'!$H$99,N('Data by week'!$P$99)*'Data by week'!$H$99,N('Data by week'!$Q$99)*'Data by week'!$H$99,N('Data by week'!$R$99)*'Data by week'!$H$99),MAX(N('Data by week'!$S$99)*'Data by week'!$H$99,N('Data by week'!$T$99)*'Data by week'!$H$99,N('Data by week'!$U$99)*'Data by week'!$H$99,N('Data by week'!$V$99)*'Data by week'!$H$99,N('Data by week'!$W$99)*'Data by week'!$H$99,N('Data by week'!$X$99)*'Data by week'!$H$99,N('Data by week'!$Y$99)*'Data by week'!$H$99,N('Data by week'!$Z$99)*'Data by week'!$H$99,N('Data by week'!$AA$99)*'Data by week'!$H$99,N('Data by week'!$AB$99)*'Data by week'!$H$99),MAX(N('Data by week'!$AC$99)*'Data by week'!$H$99,N('Data by week'!$AD$99)*'Data by week'!$H$99,N('Data by week'!$AE$99)*'Data by week'!$H$99,N('Data by week'!$AF$99)*'Data by week'!$H$99,N('Data by week'!$AG$99)*'Data by week'!$H$99,N('Data by week'!$AH$99)*'Data by week'!$H$99,N('Data by week'!$AI$99)*'Data by week'!$H$99,N('Data by week'!$AJ$99)*'Data by week'!$H$99,N('Data by week'!$AK$99)*'Data by week'!$H$99,N('Data by week'!$AL$99)*'Data by week'!$H$99))</f>
        <v/>
      </c>
      <c r="F28" s="8" t="inlineStr">
        <is>
          <t>racks</t>
        </is>
      </c>
      <c r="G28" s="8" t="inlineStr">
        <is>
          <t>Week 6</t>
        </is>
      </c>
      <c r="H28" s="8" t="inlineStr">
        <is>
          <t>Year 9: W6</t>
        </is>
      </c>
      <c r="I28" s="8" t="inlineStr">
        <is>
          <t>Plan A (freezer)</t>
        </is>
      </c>
      <c r="J28" s="12" t="n"/>
      <c r="K28" s="10">
        <f>MAX(0,E28-N(J28))</f>
        <v/>
      </c>
      <c r="L28" s="8" t="inlineStr"/>
    </row>
    <row r="29">
      <c r="A29" s="8" t="inlineStr">
        <is>
          <t>Thermometer, spirit or digital, -10 to 110 °C</t>
        </is>
      </c>
      <c r="B29" s="8" t="inlineStr">
        <is>
          <t>温度计（酒精或数显，-10至110°C）</t>
        </is>
      </c>
      <c r="C29" s="8" t="inlineStr">
        <is>
          <t>Range -10 to 110 °C; spirit-filled (red) or digital only, never mercury; all must agree within 1 °C.</t>
        </is>
      </c>
      <c r="D29" s="8" t="inlineStr">
        <is>
          <t>Reusable</t>
        </is>
      </c>
      <c r="E29" s="9">
        <f>MAX(MAX(N('Data by week'!$I$100)*'Data by week'!$H$100+N('Data by week'!$I$101)*'Data by week'!$H$101,N('Data by week'!$J$100)*'Data by week'!$H$100+N('Data by week'!$J$101)*'Data by week'!$H$101,N('Data by week'!$K$100)*'Data by week'!$H$100+N('Data by week'!$K$101)*'Data by week'!$H$101,N('Data by week'!$L$100)*'Data by week'!$H$100+N('Data by week'!$L$101)*'Data by week'!$H$101,N('Data by week'!$M$100)*'Data by week'!$H$100+N('Data by week'!$M$101)*'Data by week'!$H$101,N('Data by week'!$N$100)*'Data by week'!$H$100+N('Data by week'!$N$101)*'Data by week'!$H$101,N('Data by week'!$O$100)*'Data by week'!$H$100+N('Data by week'!$O$101)*'Data by week'!$H$101,N('Data by week'!$P$100)*'Data by week'!$H$100+N('Data by week'!$P$101)*'Data by week'!$H$101,N('Data by week'!$Q$100)*'Data by week'!$H$100+N('Data by week'!$Q$101)*'Data by week'!$H$101,N('Data by week'!$R$100)*'Data by week'!$H$100+N('Data by week'!$R$101)*'Data by week'!$H$101),MAX(N('Data by week'!$S$100)*'Data by week'!$H$100+N('Data by week'!$S$101)*'Data by week'!$H$101,N('Data by week'!$T$100)*'Data by week'!$H$100+N('Data by week'!$T$101)*'Data by week'!$H$101,N('Data by week'!$U$100)*'Data by week'!$H$100+N('Data by week'!$U$101)*'Data by week'!$H$101,N('Data by week'!$V$100)*'Data by week'!$H$100+N('Data by week'!$V$101)*'Data by week'!$H$101,N('Data by week'!$W$100)*'Data by week'!$H$100+N('Data by week'!$W$101)*'Data by week'!$H$101,N('Data by week'!$X$100)*'Data by week'!$H$100+N('Data by week'!$X$101)*'Data by week'!$H$101,N('Data by week'!$Y$100)*'Data by week'!$H$100+N('Data by week'!$Y$101)*'Data by week'!$H$101,N('Data by week'!$Z$100)*'Data by week'!$H$100+N('Data by week'!$Z$101)*'Data by week'!$H$101,N('Data by week'!$AA$100)*'Data by week'!$H$100+N('Data by week'!$AA$101)*'Data by week'!$H$101,N('Data by week'!$AB$100)*'Data by week'!$H$100+N('Data by week'!$AB$101)*'Data by week'!$H$101),MAX(N('Data by week'!$AC$100)*'Data by week'!$H$100+N('Data by week'!$AC$101)*'Data by week'!$H$101,N('Data by week'!$AD$100)*'Data by week'!$H$100+N('Data by week'!$AD$101)*'Data by week'!$H$101,N('Data by week'!$AE$100)*'Data by week'!$H$100+N('Data by week'!$AE$101)*'Data by week'!$H$101,N('Data by week'!$AF$100)*'Data by week'!$H$100+N('Data by week'!$AF$101)*'Data by week'!$H$101,N('Data by week'!$AG$100)*'Data by week'!$H$100+N('Data by week'!$AG$101)*'Data by week'!$H$101,N('Data by week'!$AH$100)*'Data by week'!$H$100+N('Data by week'!$AH$101)*'Data by week'!$H$101,N('Data by week'!$AI$100)*'Data by week'!$H$100+N('Data by week'!$AI$101)*'Data by week'!$H$101,N('Data by week'!$AJ$100)*'Data by week'!$H$100+N('Data by week'!$AJ$101)*'Data by week'!$H$101,N('Data by week'!$AK$100)*'Data by week'!$H$100+N('Data by week'!$AK$101)*'Data by week'!$H$101,N('Data by week'!$AL$100)*'Data by week'!$H$100+N('Data by week'!$AL$101)*'Data by week'!$H$101))</f>
        <v/>
      </c>
      <c r="F29" s="8" t="inlineStr">
        <is>
          <t>thermometers</t>
        </is>
      </c>
      <c r="G29" s="8" t="inlineStr">
        <is>
          <t>Week 6</t>
        </is>
      </c>
      <c r="H29" s="8" t="inlineStr">
        <is>
          <t>Year 7: W6; Year 9: W6, W8</t>
        </is>
      </c>
      <c r="I29" s="8" t="inlineStr">
        <is>
          <t>Both plans, Plan B (no freezer)</t>
        </is>
      </c>
      <c r="J29" s="12" t="n"/>
      <c r="K29" s="10">
        <f>MAX(0,E29-N(J29))</f>
        <v/>
      </c>
      <c r="L29" s="8" t="inlineStr">
        <is>
          <t>Glass thermometers break easily. Never stir with one or pull one out of ice. If one breaks, step back and tell the teacher; the teacher clears up the glass Never mercury. Thermometers can break: lay them flat; if one breaks, do not touch it, tell the teacher. Teacher counts them back first.</t>
        </is>
      </c>
    </row>
    <row r="30">
      <c r="A30" s="8" t="inlineStr">
        <is>
          <t>Electronic balance, reads to 0.1 g</t>
        </is>
      </c>
      <c r="B30" s="8" t="inlineStr">
        <is>
          <t>电子天平（精度0.1克）</t>
        </is>
      </c>
      <c r="C30" s="8" t="inlineStr">
        <is>
          <t>0.1 g resolution; test the day before with an opened bottle.</t>
        </is>
      </c>
      <c r="D30" s="8" t="inlineStr">
        <is>
          <t>Reusable</t>
        </is>
      </c>
      <c r="E30" s="9">
        <f>MAX(MAX(N('Data by week'!$I$103)*'Data by week'!$H$103,N('Data by week'!$J$103)*'Data by week'!$H$103,N('Data by week'!$K$103)*'Data by week'!$H$103,N('Data by week'!$L$103)*'Data by week'!$H$103,N('Data by week'!$M$103)*'Data by week'!$H$103,N('Data by week'!$N$103)*'Data by week'!$H$103,N('Data by week'!$O$103)*'Data by week'!$H$103,N('Data by week'!$P$103)*'Data by week'!$H$103,N('Data by week'!$Q$103)*'Data by week'!$H$103,N('Data by week'!$R$103)*'Data by week'!$H$103),MAX(N('Data by week'!$S$103)*'Data by week'!$H$103,N('Data by week'!$T$103)*'Data by week'!$H$103,N('Data by week'!$U$103)*'Data by week'!$H$103,N('Data by week'!$V$103)*'Data by week'!$H$103,N('Data by week'!$W$103)*'Data by week'!$H$103,N('Data by week'!$X$103)*'Data by week'!$H$103,N('Data by week'!$Y$103)*'Data by week'!$H$103,N('Data by week'!$Z$103)*'Data by week'!$H$103,N('Data by week'!$AA$103)*'Data by week'!$H$103,N('Data by week'!$AB$103)*'Data by week'!$H$103),MAX(N('Data by week'!$AC$103)*'Data by week'!$H$103,N('Data by week'!$AD$103)*'Data by week'!$H$103,N('Data by week'!$AE$103)*'Data by week'!$H$103,N('Data by week'!$AF$103)*'Data by week'!$H$103,N('Data by week'!$AG$103)*'Data by week'!$H$103,N('Data by week'!$AH$103)*'Data by week'!$H$103,N('Data by week'!$AI$103)*'Data by week'!$H$103,N('Data by week'!$AJ$103)*'Data by week'!$H$103,N('Data by week'!$AK$103)*'Data by week'!$H$103,N('Data by week'!$AL$103)*'Data by week'!$H$103))</f>
        <v/>
      </c>
      <c r="F30" s="8" t="inlineStr">
        <is>
          <t>scale</t>
        </is>
      </c>
      <c r="G30" s="8" t="inlineStr">
        <is>
          <t>Week 8</t>
        </is>
      </c>
      <c r="H30" s="8" t="inlineStr">
        <is>
          <t>Year 9: W8</t>
        </is>
      </c>
      <c r="I30" s="8" t="inlineStr">
        <is>
          <t>Both plans</t>
        </is>
      </c>
      <c r="J30" s="12" t="n"/>
      <c r="K30" s="10">
        <f>MAX(0,E30-N(J30))</f>
        <v/>
      </c>
      <c r="L30" s="8" t="inlineStr"/>
    </row>
    <row r="31">
      <c r="A31" s="8" t="inlineStr">
        <is>
          <t>Measuring cylinder, 10 ml</t>
        </is>
      </c>
      <c r="B31" s="8" t="inlineStr">
        <is>
          <t>量筒 10毫升</t>
        </is>
      </c>
      <c r="C31" s="8" t="inlineStr">
        <is>
          <t>10 ml, readable to the nearest 0.5 ml.</t>
        </is>
      </c>
      <c r="D31" s="8" t="inlineStr">
        <is>
          <t>Reusable</t>
        </is>
      </c>
      <c r="E31" s="9">
        <f>MAX(MAX(N('Data by week'!$I$104)*'Data by week'!$H$104+N('Data by week'!$I$105)*'Data by week'!$H$105,N('Data by week'!$J$104)*'Data by week'!$H$104+N('Data by week'!$J$105)*'Data by week'!$H$105,N('Data by week'!$K$104)*'Data by week'!$H$104+N('Data by week'!$K$105)*'Data by week'!$H$105,N('Data by week'!$L$104)*'Data by week'!$H$104+N('Data by week'!$L$105)*'Data by week'!$H$105,N('Data by week'!$M$104)*'Data by week'!$H$104+N('Data by week'!$M$105)*'Data by week'!$H$105,N('Data by week'!$N$104)*'Data by week'!$H$104+N('Data by week'!$N$105)*'Data by week'!$H$105,N('Data by week'!$O$104)*'Data by week'!$H$104+N('Data by week'!$O$105)*'Data by week'!$H$105,N('Data by week'!$P$104)*'Data by week'!$H$104+N('Data by week'!$P$105)*'Data by week'!$H$105,N('Data by week'!$Q$104)*'Data by week'!$H$104+N('Data by week'!$Q$105)*'Data by week'!$H$105,N('Data by week'!$R$104)*'Data by week'!$H$104+N('Data by week'!$R$105)*'Data by week'!$H$105),MAX(N('Data by week'!$S$104)*'Data by week'!$H$104+N('Data by week'!$S$105)*'Data by week'!$H$105,N('Data by week'!$T$104)*'Data by week'!$H$104+N('Data by week'!$T$105)*'Data by week'!$H$105,N('Data by week'!$U$104)*'Data by week'!$H$104+N('Data by week'!$U$105)*'Data by week'!$H$105,N('Data by week'!$V$104)*'Data by week'!$H$104+N('Data by week'!$V$105)*'Data by week'!$H$105,N('Data by week'!$W$104)*'Data by week'!$H$104+N('Data by week'!$W$105)*'Data by week'!$H$105,N('Data by week'!$X$104)*'Data by week'!$H$104+N('Data by week'!$X$105)*'Data by week'!$H$105,N('Data by week'!$Y$104)*'Data by week'!$H$104+N('Data by week'!$Y$105)*'Data by week'!$H$105,N('Data by week'!$Z$104)*'Data by week'!$H$104+N('Data by week'!$Z$105)*'Data by week'!$H$105,N('Data by week'!$AA$104)*'Data by week'!$H$104+N('Data by week'!$AA$105)*'Data by week'!$H$105,N('Data by week'!$AB$104)*'Data by week'!$H$104+N('Data by week'!$AB$105)*'Data by week'!$H$105),MAX(N('Data by week'!$AC$104)*'Data by week'!$H$104+N('Data by week'!$AC$105)*'Data by week'!$H$105,N('Data by week'!$AD$104)*'Data by week'!$H$104+N('Data by week'!$AD$105)*'Data by week'!$H$105,N('Data by week'!$AE$104)*'Data by week'!$H$104+N('Data by week'!$AE$105)*'Data by week'!$H$105,N('Data by week'!$AF$104)*'Data by week'!$H$104+N('Data by week'!$AF$105)*'Data by week'!$H$105,N('Data by week'!$AG$104)*'Data by week'!$H$104+N('Data by week'!$AG$105)*'Data by week'!$H$105,N('Data by week'!$AH$104)*'Data by week'!$H$104+N('Data by week'!$AH$105)*'Data by week'!$H$105,N('Data by week'!$AI$104)*'Data by week'!$H$104+N('Data by week'!$AI$105)*'Data by week'!$H$105,N('Data by week'!$AJ$104)*'Data by week'!$H$104+N('Data by week'!$AJ$105)*'Data by week'!$H$105,N('Data by week'!$AK$104)*'Data by week'!$H$104+N('Data by week'!$AK$105)*'Data by week'!$H$105,N('Data by week'!$AL$104)*'Data by week'!$H$104+N('Data by week'!$AL$105)*'Data by week'!$H$105))</f>
        <v/>
      </c>
      <c r="F31" s="8" t="inlineStr">
        <is>
          <t>cylinders</t>
        </is>
      </c>
      <c r="G31" s="8" t="inlineStr">
        <is>
          <t>Week 8</t>
        </is>
      </c>
      <c r="H31" s="8" t="inlineStr">
        <is>
          <t>Year 7: W8; Year 9: W8</t>
        </is>
      </c>
      <c r="I31" s="8" t="inlineStr">
        <is>
          <t>Both plans, Plan A (freezer)</t>
        </is>
      </c>
      <c r="J31" s="12" t="n"/>
      <c r="K31" s="10">
        <f>MAX(0,E31-N(J31))</f>
        <v/>
      </c>
      <c r="L31" s="8" t="inlineStr"/>
    </row>
    <row r="32">
      <c r="A32" s="8" t="inlineStr">
        <is>
          <t>Measuring jug, 200 ml</t>
        </is>
      </c>
      <c r="B32" s="8" t="inlineStr">
        <is>
          <t>量杯 200毫升</t>
        </is>
      </c>
      <c r="C32" s="8" t="inlineStr">
        <is>
          <t>Graduated measuring jug, at least 150 ml capacity (a 150 ml or larger measuring cylinder will do).</t>
        </is>
      </c>
      <c r="D32" s="8" t="inlineStr">
        <is>
          <t>Reusable</t>
        </is>
      </c>
      <c r="E32" s="9">
        <f>MAX(MAX(N('Data by week'!$I$106)*'Data by week'!$H$106+N('Data by week'!$I$107)*'Data by week'!$H$107,N('Data by week'!$J$106)*'Data by week'!$H$106+N('Data by week'!$J$107)*'Data by week'!$H$107,N('Data by week'!$K$106)*'Data by week'!$H$106+N('Data by week'!$K$107)*'Data by week'!$H$107,N('Data by week'!$L$106)*'Data by week'!$H$106+N('Data by week'!$L$107)*'Data by week'!$H$107,N('Data by week'!$M$106)*'Data by week'!$H$106+N('Data by week'!$M$107)*'Data by week'!$H$107,N('Data by week'!$N$106)*'Data by week'!$H$106+N('Data by week'!$N$107)*'Data by week'!$H$107,N('Data by week'!$O$106)*'Data by week'!$H$106+N('Data by week'!$O$107)*'Data by week'!$H$107,N('Data by week'!$P$106)*'Data by week'!$H$106+N('Data by week'!$P$107)*'Data by week'!$H$107,N('Data by week'!$Q$106)*'Data by week'!$H$106+N('Data by week'!$Q$107)*'Data by week'!$H$107,N('Data by week'!$R$106)*'Data by week'!$H$106+N('Data by week'!$R$107)*'Data by week'!$H$107),MAX(N('Data by week'!$S$106)*'Data by week'!$H$106+N('Data by week'!$S$107)*'Data by week'!$H$107,N('Data by week'!$T$106)*'Data by week'!$H$106+N('Data by week'!$T$107)*'Data by week'!$H$107,N('Data by week'!$U$106)*'Data by week'!$H$106+N('Data by week'!$U$107)*'Data by week'!$H$107,N('Data by week'!$V$106)*'Data by week'!$H$106+N('Data by week'!$V$107)*'Data by week'!$H$107,N('Data by week'!$W$106)*'Data by week'!$H$106+N('Data by week'!$W$107)*'Data by week'!$H$107,N('Data by week'!$X$106)*'Data by week'!$H$106+N('Data by week'!$X$107)*'Data by week'!$H$107,N('Data by week'!$Y$106)*'Data by week'!$H$106+N('Data by week'!$Y$107)*'Data by week'!$H$107,N('Data by week'!$Z$106)*'Data by week'!$H$106+N('Data by week'!$Z$107)*'Data by week'!$H$107,N('Data by week'!$AA$106)*'Data by week'!$H$106+N('Data by week'!$AA$107)*'Data by week'!$H$107,N('Data by week'!$AB$106)*'Data by week'!$H$106+N('Data by week'!$AB$107)*'Data by week'!$H$107),MAX(N('Data by week'!$AC$106)*'Data by week'!$H$106+N('Data by week'!$AC$107)*'Data by week'!$H$107,N('Data by week'!$AD$106)*'Data by week'!$H$106+N('Data by week'!$AD$107)*'Data by week'!$H$107,N('Data by week'!$AE$106)*'Data by week'!$H$106+N('Data by week'!$AE$107)*'Data by week'!$H$107,N('Data by week'!$AF$106)*'Data by week'!$H$106+N('Data by week'!$AF$107)*'Data by week'!$H$107,N('Data by week'!$AG$106)*'Data by week'!$H$106+N('Data by week'!$AG$107)*'Data by week'!$H$107,N('Data by week'!$AH$106)*'Data by week'!$H$106+N('Data by week'!$AH$107)*'Data by week'!$H$107,N('Data by week'!$AI$106)*'Data by week'!$H$106+N('Data by week'!$AI$107)*'Data by week'!$H$107,N('Data by week'!$AJ$106)*'Data by week'!$H$106+N('Data by week'!$AJ$107)*'Data by week'!$H$107,N('Data by week'!$AK$106)*'Data by week'!$H$106+N('Data by week'!$AK$107)*'Data by week'!$H$107,N('Data by week'!$AL$106)*'Data by week'!$H$106+N('Data by week'!$AL$107)*'Data by week'!$H$107))</f>
        <v/>
      </c>
      <c r="F32" s="8" t="inlineStr">
        <is>
          <t>jugs</t>
        </is>
      </c>
      <c r="G32" s="8" t="inlineStr">
        <is>
          <t>Week 8</t>
        </is>
      </c>
      <c r="H32" s="8" t="inlineStr">
        <is>
          <t>Year 8: W8; Year 9: W8</t>
        </is>
      </c>
      <c r="I32" s="8" t="inlineStr">
        <is>
          <t>Both plans, Plan A (freezer)</t>
        </is>
      </c>
      <c r="J32" s="12" t="n"/>
      <c r="K32" s="10">
        <f>MAX(0,E32-N(J32))</f>
        <v/>
      </c>
      <c r="L32" s="8" t="inlineStr"/>
    </row>
    <row r="33">
      <c r="A33" s="8" t="inlineStr">
        <is>
          <t>Small bottle, about 60 ml (for vinegar)</t>
        </is>
      </c>
      <c r="B33" s="8" t="inlineStr">
        <is>
          <t>小瓶（约60毫升，装白醋）</t>
        </is>
      </c>
      <c r="C33" s="8" t="inlineStr">
        <is>
          <t>Small bottle that holds about 60 ml of white vinegar; label it.</t>
        </is>
      </c>
      <c r="D33" s="8" t="inlineStr">
        <is>
          <t>Reusable</t>
        </is>
      </c>
      <c r="E33" s="9">
        <f>MAX(MAX(N('Data by week'!$I$108)*'Data by week'!$H$108,N('Data by week'!$J$108)*'Data by week'!$H$108,N('Data by week'!$K$108)*'Data by week'!$H$108,N('Data by week'!$L$108)*'Data by week'!$H$108,N('Data by week'!$M$108)*'Data by week'!$H$108,N('Data by week'!$N$108)*'Data by week'!$H$108,N('Data by week'!$O$108)*'Data by week'!$H$108,N('Data by week'!$P$108)*'Data by week'!$H$108,N('Data by week'!$Q$108)*'Data by week'!$H$108,N('Data by week'!$R$108)*'Data by week'!$H$108),MAX(N('Data by week'!$S$108)*'Data by week'!$H$108,N('Data by week'!$T$108)*'Data by week'!$H$108,N('Data by week'!$U$108)*'Data by week'!$H$108,N('Data by week'!$V$108)*'Data by week'!$H$108,N('Data by week'!$W$108)*'Data by week'!$H$108,N('Data by week'!$X$108)*'Data by week'!$H$108,N('Data by week'!$Y$108)*'Data by week'!$H$108,N('Data by week'!$Z$108)*'Data by week'!$H$108,N('Data by week'!$AA$108)*'Data by week'!$H$108,N('Data by week'!$AB$108)*'Data by week'!$H$108),MAX(N('Data by week'!$AC$108)*'Data by week'!$H$108,N('Data by week'!$AD$108)*'Data by week'!$H$108,N('Data by week'!$AE$108)*'Data by week'!$H$108,N('Data by week'!$AF$108)*'Data by week'!$H$108,N('Data by week'!$AG$108)*'Data by week'!$H$108,N('Data by week'!$AH$108)*'Data by week'!$H$108,N('Data by week'!$AI$108)*'Data by week'!$H$108,N('Data by week'!$AJ$108)*'Data by week'!$H$108,N('Data by week'!$AK$108)*'Data by week'!$H$108,N('Data by week'!$AL$108)*'Data by week'!$H$108))</f>
        <v/>
      </c>
      <c r="F33" s="8" t="inlineStr">
        <is>
          <t>bottles</t>
        </is>
      </c>
      <c r="G33" s="8" t="inlineStr">
        <is>
          <t>Week 8</t>
        </is>
      </c>
      <c r="H33" s="8" t="inlineStr">
        <is>
          <t>Year 8: W8</t>
        </is>
      </c>
      <c r="I33" s="8" t="inlineStr">
        <is>
          <t>Both plans</t>
        </is>
      </c>
      <c r="J33" s="12" t="n"/>
      <c r="K33" s="10">
        <f>MAX(0,E33-N(J33))</f>
        <v/>
      </c>
      <c r="L33" s="8" t="inlineStr">
        <is>
          <t>Label it; goggles when pouring vinegar.</t>
        </is>
      </c>
    </row>
  </sheetData>
  <autoFilter ref="A1:L33"/>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30" customWidth="1" min="3" max="3"/>
    <col width="10" customWidth="1" min="4" max="4"/>
    <col width="10" customWidth="1" min="5" max="5"/>
    <col width="10" customWidth="1" min="6" max="6"/>
    <col width="10" customWidth="1" min="7" max="7"/>
    <col width="10" customWidth="1" min="8" max="8"/>
    <col width="12" customWidth="1" min="9" max="9"/>
    <col width="9" customWidth="1" min="10" max="10"/>
    <col width="32" customWidth="1" min="11" max="11"/>
    <col width="16" customWidth="1" min="12" max="12"/>
    <col width="44" customWidth="1" min="13" max="13"/>
  </cols>
  <sheetData>
    <row r="1" ht="32" customHeight="1">
      <c r="A1" s="7" t="inlineStr">
        <is>
          <t>Item</t>
        </is>
      </c>
      <c r="B1" s="7" t="inlineStr">
        <is>
          <t>中文名称（草稿）</t>
        </is>
      </c>
      <c r="C1" s="7" t="inlineStr">
        <is>
          <t>Specification</t>
        </is>
      </c>
      <c r="D1" s="7" t="inlineStr">
        <is>
          <t>Type</t>
        </is>
      </c>
      <c r="E1" s="7" t="inlineStr">
        <is>
          <t>Year 7 per class</t>
        </is>
      </c>
      <c r="F1" s="7" t="inlineStr">
        <is>
          <t>Year 8 per class</t>
        </is>
      </c>
      <c r="G1" s="7" t="inlineStr">
        <is>
          <t>Year 9 per class</t>
        </is>
      </c>
      <c r="H1" s="7" t="inlineStr">
        <is>
          <t>Total</t>
        </is>
      </c>
      <c r="I1" s="7" t="inlineStr">
        <is>
          <t>Unit</t>
        </is>
      </c>
      <c r="J1" s="7" t="inlineStr">
        <is>
          <t>First needed</t>
        </is>
      </c>
      <c r="K1" s="7" t="inlineStr">
        <is>
          <t>Weeks used</t>
        </is>
      </c>
      <c r="L1" s="7" t="inlineStr">
        <is>
          <t>Plan</t>
        </is>
      </c>
      <c r="M1" s="7" t="inlineStr">
        <is>
          <t>Safety and notes</t>
        </is>
      </c>
    </row>
    <row r="2">
      <c r="A2" s="8" t="inlineStr">
        <is>
          <t>Baking soda (bicarbonate of soda)</t>
        </is>
      </c>
      <c r="B2" s="8" t="inlineStr">
        <is>
          <t>小苏打</t>
        </is>
      </c>
      <c r="C2" s="8" t="inlineStr">
        <is>
          <t>Baking soda (bicarbonate of soda), food grade.</t>
        </is>
      </c>
      <c r="D2" s="8" t="inlineStr">
        <is>
          <t>Used up</t>
        </is>
      </c>
      <c r="E2" s="9">
        <f>ROUND('Data by week'!$AW$109*'Data by week'!$H$109,2)</f>
        <v/>
      </c>
      <c r="F2" s="9">
        <f>ROUND('Data by week'!$AX$109*'Data by week'!$H$109,2)</f>
        <v/>
      </c>
      <c r="G2" s="9">
        <f>ROUND('Data by week'!$AY$109*'Data by week'!$H$109,2)</f>
        <v/>
      </c>
      <c r="H2" s="10">
        <f>ROUNDUP(E2*'Read me'!$C$5+F2*'Read me'!$C$6+G2*'Read me'!$C$7,0)</f>
        <v/>
      </c>
      <c r="I2" s="8" t="inlineStr">
        <is>
          <t>teaspoons</t>
        </is>
      </c>
      <c r="J2" s="8" t="inlineStr">
        <is>
          <t>Week 1</t>
        </is>
      </c>
      <c r="K2" s="8" t="inlineStr">
        <is>
          <t>Year 8: W1, W4, W5, W7, W8</t>
        </is>
      </c>
      <c r="L2" s="8" t="inlineStr">
        <is>
          <t>Both plans</t>
        </is>
      </c>
      <c r="M2" s="8" t="inlineStr">
        <is>
          <t>Never taste. Do not blow or shake powders.</t>
        </is>
      </c>
    </row>
    <row r="3">
      <c r="A3" s="8" t="inlineStr">
        <is>
          <t>Drinking glass, clear</t>
        </is>
      </c>
      <c r="B3" s="8" t="inlineStr">
        <is>
          <t>玻璃杯（透明）</t>
        </is>
      </c>
      <c r="C3" s="8" t="inlineStr">
        <is>
          <t>Clear drinking glass for the optional scene display.</t>
        </is>
      </c>
      <c r="D3" s="8" t="inlineStr">
        <is>
          <t>Reusable</t>
        </is>
      </c>
      <c r="E3" s="9">
        <f>ROUND(MAX(N('Data by week'!$I$110)*'Data by week'!$H$110,N('Data by week'!$J$110)*'Data by week'!$H$110,N('Data by week'!$K$110)*'Data by week'!$H$110,N('Data by week'!$L$110)*'Data by week'!$H$110,N('Data by week'!$M$110)*'Data by week'!$H$110,N('Data by week'!$N$110)*'Data by week'!$H$110,N('Data by week'!$O$110)*'Data by week'!$H$110,N('Data by week'!$P$110)*'Data by week'!$H$110,N('Data by week'!$Q$110)*'Data by week'!$H$110,N('Data by week'!$R$110)*'Data by week'!$H$110),2)</f>
        <v/>
      </c>
      <c r="F3" s="9">
        <f>ROUND(MAX(N('Data by week'!$S$110)*'Data by week'!$H$110,N('Data by week'!$T$110)*'Data by week'!$H$110,N('Data by week'!$U$110)*'Data by week'!$H$110,N('Data by week'!$V$110)*'Data by week'!$H$110,N('Data by week'!$W$110)*'Data by week'!$H$110,N('Data by week'!$X$110)*'Data by week'!$H$110,N('Data by week'!$Y$110)*'Data by week'!$H$110,N('Data by week'!$Z$110)*'Data by week'!$H$110,N('Data by week'!$AA$110)*'Data by week'!$H$110,N('Data by week'!$AB$110)*'Data by week'!$H$110),2)</f>
        <v/>
      </c>
      <c r="G3" s="9">
        <f>ROUND(MAX(N('Data by week'!$AC$110)*'Data by week'!$H$110,N('Data by week'!$AD$110)*'Data by week'!$H$110,N('Data by week'!$AE$110)*'Data by week'!$H$110,N('Data by week'!$AF$110)*'Data by week'!$H$110,N('Data by week'!$AG$110)*'Data by week'!$H$110,N('Data by week'!$AH$110)*'Data by week'!$H$110,N('Data by week'!$AI$110)*'Data by week'!$H$110,N('Data by week'!$AJ$110)*'Data by week'!$H$110,N('Data by week'!$AK$110)*'Data by week'!$H$110,N('Data by week'!$AL$110)*'Data by week'!$H$110),2)</f>
        <v/>
      </c>
      <c r="H3" s="10">
        <f>MAX(E3:G3)</f>
        <v/>
      </c>
      <c r="I3" s="8" t="inlineStr">
        <is>
          <t>glass</t>
        </is>
      </c>
      <c r="J3" s="8" t="inlineStr">
        <is>
          <t>Week 1</t>
        </is>
      </c>
      <c r="K3" s="8" t="inlineStr">
        <is>
          <t>Year 8: W1, W2</t>
        </is>
      </c>
      <c r="L3" s="8" t="inlineStr">
        <is>
          <t>Both plans</t>
        </is>
      </c>
      <c r="M3" s="8" t="inlineStr">
        <is>
          <t>Look only: do not touch, taste or smell items on the scene table.</t>
        </is>
      </c>
    </row>
    <row r="4">
      <c r="A4" s="8" t="inlineStr">
        <is>
          <t>Saucers, small, identical</t>
        </is>
      </c>
      <c r="B4" s="8" t="inlineStr">
        <is>
          <t>小碟子（同款）</t>
        </is>
      </c>
      <c r="C4" s="8" t="inlineStr">
        <is>
          <t>Small identical saucers (identical plastic lids will do for Y7).</t>
        </is>
      </c>
      <c r="D4" s="8" t="inlineStr">
        <is>
          <t>Reusable</t>
        </is>
      </c>
      <c r="E4" s="9">
        <f>ROUND(MAX(N('Data by week'!$I$111)*'Data by week'!$H$111+N('Data by week'!$I$138)*'Data by week'!$H$138,N('Data by week'!$J$111)*'Data by week'!$H$111+N('Data by week'!$J$138)*'Data by week'!$H$138,N('Data by week'!$K$111)*'Data by week'!$H$111+N('Data by week'!$K$138)*'Data by week'!$H$138,N('Data by week'!$L$111)*'Data by week'!$H$111+N('Data by week'!$L$138)*'Data by week'!$H$138,N('Data by week'!$M$111)*'Data by week'!$H$111+N('Data by week'!$M$138)*'Data by week'!$H$138,N('Data by week'!$N$111)*'Data by week'!$H$111+N('Data by week'!$N$138)*'Data by week'!$H$138,N('Data by week'!$O$111)*'Data by week'!$H$111+N('Data by week'!$O$138)*'Data by week'!$H$138,N('Data by week'!$P$111)*'Data by week'!$H$111+N('Data by week'!$P$138)*'Data by week'!$H$138,N('Data by week'!$Q$111)*'Data by week'!$H$111+N('Data by week'!$Q$138)*'Data by week'!$H$138,N('Data by week'!$R$111)*'Data by week'!$H$111+N('Data by week'!$R$138)*'Data by week'!$H$138),2)</f>
        <v/>
      </c>
      <c r="F4" s="9">
        <f>ROUND(MAX(N('Data by week'!$S$111)*'Data by week'!$H$111+N('Data by week'!$S$138)*'Data by week'!$H$138,N('Data by week'!$T$111)*'Data by week'!$H$111+N('Data by week'!$T$138)*'Data by week'!$H$138,N('Data by week'!$U$111)*'Data by week'!$H$111+N('Data by week'!$U$138)*'Data by week'!$H$138,N('Data by week'!$V$111)*'Data by week'!$H$111+N('Data by week'!$V$138)*'Data by week'!$H$138,N('Data by week'!$W$111)*'Data by week'!$H$111+N('Data by week'!$W$138)*'Data by week'!$H$138,N('Data by week'!$X$111)*'Data by week'!$H$111+N('Data by week'!$X$138)*'Data by week'!$H$138,N('Data by week'!$Y$111)*'Data by week'!$H$111+N('Data by week'!$Y$138)*'Data by week'!$H$138,N('Data by week'!$Z$111)*'Data by week'!$H$111+N('Data by week'!$Z$138)*'Data by week'!$H$138,N('Data by week'!$AA$111)*'Data by week'!$H$111+N('Data by week'!$AA$138)*'Data by week'!$H$138,N('Data by week'!$AB$111)*'Data by week'!$H$111+N('Data by week'!$AB$138)*'Data by week'!$H$138),2)</f>
        <v/>
      </c>
      <c r="G4" s="9">
        <f>ROUND(MAX(N('Data by week'!$AC$111)*'Data by week'!$H$111+N('Data by week'!$AC$138)*'Data by week'!$H$138,N('Data by week'!$AD$111)*'Data by week'!$H$111+N('Data by week'!$AD$138)*'Data by week'!$H$138,N('Data by week'!$AE$111)*'Data by week'!$H$111+N('Data by week'!$AE$138)*'Data by week'!$H$138,N('Data by week'!$AF$111)*'Data by week'!$H$111+N('Data by week'!$AF$138)*'Data by week'!$H$138,N('Data by week'!$AG$111)*'Data by week'!$H$111+N('Data by week'!$AG$138)*'Data by week'!$H$138,N('Data by week'!$AH$111)*'Data by week'!$H$111+N('Data by week'!$AH$138)*'Data by week'!$H$138,N('Data by week'!$AI$111)*'Data by week'!$H$111+N('Data by week'!$AI$138)*'Data by week'!$H$138,N('Data by week'!$AJ$111)*'Data by week'!$H$111+N('Data by week'!$AJ$138)*'Data by week'!$H$138,N('Data by week'!$AK$111)*'Data by week'!$H$111+N('Data by week'!$AK$138)*'Data by week'!$H$138,N('Data by week'!$AL$111)*'Data by week'!$H$111+N('Data by week'!$AL$138)*'Data by week'!$H$138),2)</f>
        <v/>
      </c>
      <c r="H4" s="10">
        <f>MAX(E4:G4)</f>
        <v/>
      </c>
      <c r="I4" s="8" t="inlineStr">
        <is>
          <t>saucers</t>
        </is>
      </c>
      <c r="J4" s="8" t="inlineStr">
        <is>
          <t>Week 1</t>
        </is>
      </c>
      <c r="K4" s="8" t="inlineStr">
        <is>
          <t>Year 7: W8; Year 8: W1; Year 9: W8</t>
        </is>
      </c>
      <c r="L4" s="8" t="inlineStr">
        <is>
          <t>Both plans, Plan A (freezer)</t>
        </is>
      </c>
      <c r="M4" s="8" t="inlineStr">
        <is>
          <t>Salted ice is very cold, so wear gloves</t>
        </is>
      </c>
    </row>
    <row r="5">
      <c r="A5" s="8" t="inlineStr">
        <is>
          <t>Dry rice, uncooked</t>
        </is>
      </c>
      <c r="B5" s="8" t="inlineStr">
        <is>
          <t>生大米</t>
        </is>
      </c>
      <c r="C5" s="8" t="inlineStr">
        <is>
          <t>Uncooked rice, 1 teaspoon (mystery cup).</t>
        </is>
      </c>
      <c r="D5" s="8" t="inlineStr">
        <is>
          <t>Reusable</t>
        </is>
      </c>
      <c r="E5" s="9">
        <f>ROUND(MAX(N('Data by week'!$I$112)*'Data by week'!$H$112,N('Data by week'!$J$112)*'Data by week'!$H$112,N('Data by week'!$K$112)*'Data by week'!$H$112,N('Data by week'!$L$112)*'Data by week'!$H$112,N('Data by week'!$M$112)*'Data by week'!$H$112,N('Data by week'!$N$112)*'Data by week'!$H$112,N('Data by week'!$O$112)*'Data by week'!$H$112,N('Data by week'!$P$112)*'Data by week'!$H$112,N('Data by week'!$Q$112)*'Data by week'!$H$112,N('Data by week'!$R$112)*'Data by week'!$H$112),2)</f>
        <v/>
      </c>
      <c r="F5" s="9">
        <f>ROUND(MAX(N('Data by week'!$S$112)*'Data by week'!$H$112,N('Data by week'!$T$112)*'Data by week'!$H$112,N('Data by week'!$U$112)*'Data by week'!$H$112,N('Data by week'!$V$112)*'Data by week'!$H$112,N('Data by week'!$W$112)*'Data by week'!$H$112,N('Data by week'!$X$112)*'Data by week'!$H$112,N('Data by week'!$Y$112)*'Data by week'!$H$112,N('Data by week'!$Z$112)*'Data by week'!$H$112,N('Data by week'!$AA$112)*'Data by week'!$H$112,N('Data by week'!$AB$112)*'Data by week'!$H$112),2)</f>
        <v/>
      </c>
      <c r="G5" s="9">
        <f>ROUND(MAX(N('Data by week'!$AC$112)*'Data by week'!$H$112,N('Data by week'!$AD$112)*'Data by week'!$H$112,N('Data by week'!$AE$112)*'Data by week'!$H$112,N('Data by week'!$AF$112)*'Data by week'!$H$112,N('Data by week'!$AG$112)*'Data by week'!$H$112,N('Data by week'!$AH$112)*'Data by week'!$H$112,N('Data by week'!$AI$112)*'Data by week'!$H$112,N('Data by week'!$AJ$112)*'Data by week'!$H$112,N('Data by week'!$AK$112)*'Data by week'!$H$112,N('Data by week'!$AL$112)*'Data by week'!$H$112),2)</f>
        <v/>
      </c>
      <c r="H5" s="10">
        <f>MAX(E5:G5)</f>
        <v/>
      </c>
      <c r="I5" s="8" t="inlineStr">
        <is>
          <t>teaspoon</t>
        </is>
      </c>
      <c r="J5" s="8" t="inlineStr">
        <is>
          <t>Week 2</t>
        </is>
      </c>
      <c r="K5" s="8" t="inlineStr">
        <is>
          <t>Year 7: W2</t>
        </is>
      </c>
      <c r="L5" s="8" t="inlineStr">
        <is>
          <t>Both plans</t>
        </is>
      </c>
      <c r="M5" s="8" t="inlineStr">
        <is>
          <t>Sealed inside the cup; no tasting.</t>
        </is>
      </c>
    </row>
    <row r="6">
      <c r="A6" s="8" t="inlineStr">
        <is>
          <t>Jugs, plastic, about 2 litres</t>
        </is>
      </c>
      <c r="B6" s="8" t="inlineStr">
        <is>
          <t>塑料水壶（约2升）</t>
        </is>
      </c>
      <c r="C6" s="8" t="inlineStr">
        <is>
          <t>Plastic jugs, at least 2 litres, that can take warm water up to about 60 °C (Y8 Soil groups need about 1.6 litres); the teacher needs two for warm water at different temperatures (Y7 Week 6 Plan B, Y9 Week 6 about 60 °C and about 35 °C). Only the teacher pours warm water.</t>
        </is>
      </c>
      <c r="D6" s="8" t="inlineStr">
        <is>
          <t>Reusable</t>
        </is>
      </c>
      <c r="E6" s="9">
        <f>ROUND(MAX(N('Data by week'!$I$113)*'Data by week'!$H$113+N('Data by week'!$I$131)*'Data by week'!$H$131,N('Data by week'!$J$113)*'Data by week'!$H$113+N('Data by week'!$J$131)*'Data by week'!$H$131,N('Data by week'!$K$113)*'Data by week'!$H$113+N('Data by week'!$K$131)*'Data by week'!$H$131,N('Data by week'!$L$113)*'Data by week'!$H$113+N('Data by week'!$L$131)*'Data by week'!$H$131,N('Data by week'!$M$113)*'Data by week'!$H$113+N('Data by week'!$M$131)*'Data by week'!$H$131,N('Data by week'!$N$113)*'Data by week'!$H$113+N('Data by week'!$N$131)*'Data by week'!$H$131,N('Data by week'!$O$113)*'Data by week'!$H$113+N('Data by week'!$O$131)*'Data by week'!$H$131,N('Data by week'!$P$113)*'Data by week'!$H$113+N('Data by week'!$P$131)*'Data by week'!$H$131,N('Data by week'!$Q$113)*'Data by week'!$H$113+N('Data by week'!$Q$131)*'Data by week'!$H$131,N('Data by week'!$R$113)*'Data by week'!$H$113+N('Data by week'!$R$131)*'Data by week'!$H$131),2)</f>
        <v/>
      </c>
      <c r="F6" s="9">
        <f>ROUND(MAX(N('Data by week'!$S$113)*'Data by week'!$H$113+N('Data by week'!$S$131)*'Data by week'!$H$131,N('Data by week'!$T$113)*'Data by week'!$H$113+N('Data by week'!$T$131)*'Data by week'!$H$131,N('Data by week'!$U$113)*'Data by week'!$H$113+N('Data by week'!$U$131)*'Data by week'!$H$131,N('Data by week'!$V$113)*'Data by week'!$H$113+N('Data by week'!$V$131)*'Data by week'!$H$131,N('Data by week'!$W$113)*'Data by week'!$H$113+N('Data by week'!$W$131)*'Data by week'!$H$131,N('Data by week'!$X$113)*'Data by week'!$H$113+N('Data by week'!$X$131)*'Data by week'!$H$131,N('Data by week'!$Y$113)*'Data by week'!$H$113+N('Data by week'!$Y$131)*'Data by week'!$H$131,N('Data by week'!$Z$113)*'Data by week'!$H$113+N('Data by week'!$Z$131)*'Data by week'!$H$131,N('Data by week'!$AA$113)*'Data by week'!$H$113+N('Data by week'!$AA$131)*'Data by week'!$H$131,N('Data by week'!$AB$113)*'Data by week'!$H$113+N('Data by week'!$AB$131)*'Data by week'!$H$131),2)</f>
        <v/>
      </c>
      <c r="G6" s="9">
        <f>ROUND(MAX(N('Data by week'!$AC$113)*'Data by week'!$H$113+N('Data by week'!$AC$131)*'Data by week'!$H$131,N('Data by week'!$AD$113)*'Data by week'!$H$113+N('Data by week'!$AD$131)*'Data by week'!$H$131,N('Data by week'!$AE$113)*'Data by week'!$H$113+N('Data by week'!$AE$131)*'Data by week'!$H$131,N('Data by week'!$AF$113)*'Data by week'!$H$113+N('Data by week'!$AF$131)*'Data by week'!$H$131,N('Data by week'!$AG$113)*'Data by week'!$H$113+N('Data by week'!$AG$131)*'Data by week'!$H$131,N('Data by week'!$AH$113)*'Data by week'!$H$113+N('Data by week'!$AH$131)*'Data by week'!$H$131,N('Data by week'!$AI$113)*'Data by week'!$H$113+N('Data by week'!$AI$131)*'Data by week'!$H$131,N('Data by week'!$AJ$113)*'Data by week'!$H$113+N('Data by week'!$AJ$131)*'Data by week'!$H$131,N('Data by week'!$AK$113)*'Data by week'!$H$113+N('Data by week'!$AK$131)*'Data by week'!$H$131,N('Data by week'!$AL$113)*'Data by week'!$H$113+N('Data by week'!$AL$131)*'Data by week'!$H$131),2)</f>
        <v/>
      </c>
      <c r="H6" s="10">
        <f>MAX(E6:G6)</f>
        <v/>
      </c>
      <c r="I6" s="8" t="inlineStr">
        <is>
          <t>jugs</t>
        </is>
      </c>
      <c r="J6" s="8" t="inlineStr">
        <is>
          <t>Week 3</t>
        </is>
      </c>
      <c r="K6" s="8" t="inlineStr">
        <is>
          <t>Year 7: W5, W6, W7, W8; Year 8: W3, W8; Year 9: W6, W8</t>
        </is>
      </c>
      <c r="L6" s="8" t="inlineStr">
        <is>
          <t>Both plans, Plan B (no freezer)</t>
        </is>
      </c>
      <c r="M6" s="8" t="inlineStr">
        <is>
          <t>Only the teacher pours Only the teacher pours warm water Wipe up spills straight away.</t>
        </is>
      </c>
    </row>
    <row r="7">
      <c r="A7" s="8" t="inlineStr">
        <is>
          <t>Cornflour</t>
        </is>
      </c>
      <c r="B7" s="8" t="inlineStr">
        <is>
          <t>玉米淀粉</t>
        </is>
      </c>
      <c r="C7" s="8" t="inlineStr">
        <is>
          <t>Cornflour (check the allergy list for corn).</t>
        </is>
      </c>
      <c r="D7" s="8" t="inlineStr">
        <is>
          <t>Used up</t>
        </is>
      </c>
      <c r="E7" s="9">
        <f>ROUND('Data by week'!$AW$114*'Data by week'!$H$114,2)</f>
        <v/>
      </c>
      <c r="F7" s="9">
        <f>ROUND('Data by week'!$AX$114*'Data by week'!$H$114,2)</f>
        <v/>
      </c>
      <c r="G7" s="9">
        <f>ROUND('Data by week'!$AY$114*'Data by week'!$H$114,2)</f>
        <v/>
      </c>
      <c r="H7" s="10">
        <f>ROUNDUP(E7*'Read me'!$C$5+F7*'Read me'!$C$6+G7*'Read me'!$C$7,0)</f>
        <v/>
      </c>
      <c r="I7" s="8" t="inlineStr">
        <is>
          <t>teaspoons</t>
        </is>
      </c>
      <c r="J7" s="8" t="inlineStr">
        <is>
          <t>Week 4</t>
        </is>
      </c>
      <c r="K7" s="8" t="inlineStr">
        <is>
          <t>Year 8: W4, W8</t>
        </is>
      </c>
      <c r="L7" s="8" t="inlineStr">
        <is>
          <t>Both plans</t>
        </is>
      </c>
      <c r="M7" s="8" t="inlineStr">
        <is>
          <t>Food allergy check (corn) before the lesson: allergic students do not handle it (Recorder role). Never taste; avoid dust clouds; wash hands after.</t>
        </is>
      </c>
    </row>
    <row r="8">
      <c r="A8" s="8" t="inlineStr">
        <is>
          <t>Plain flour (wheat)</t>
        </is>
      </c>
      <c r="B8" s="8" t="inlineStr">
        <is>
          <t>面粉（普通小麦粉）</t>
        </is>
      </c>
      <c r="C8" s="8" t="inlineStr">
        <is>
          <t>Plain wheat flour (check the allergy list).</t>
        </is>
      </c>
      <c r="D8" s="8" t="inlineStr">
        <is>
          <t>Used up</t>
        </is>
      </c>
      <c r="E8" s="9">
        <f>ROUND('Data by week'!$AW$115*'Data by week'!$H$115+'Data by week'!$AW$125*'Data by week'!$H$125,2)</f>
        <v/>
      </c>
      <c r="F8" s="9">
        <f>ROUND('Data by week'!$AX$115*'Data by week'!$H$115+'Data by week'!$AX$125*'Data by week'!$H$125,2)</f>
        <v/>
      </c>
      <c r="G8" s="9">
        <f>ROUND('Data by week'!$AY$115*'Data by week'!$H$115+'Data by week'!$AY$125*'Data by week'!$H$125,2)</f>
        <v/>
      </c>
      <c r="H8" s="10">
        <f>ROUNDUP(E8*'Read me'!$C$5+F8*'Read me'!$C$6+G8*'Read me'!$C$7,0)</f>
        <v/>
      </c>
      <c r="I8" s="8" t="inlineStr">
        <is>
          <t>g</t>
        </is>
      </c>
      <c r="J8" s="8" t="inlineStr">
        <is>
          <t>Week 4</t>
        </is>
      </c>
      <c r="K8" s="8" t="inlineStr">
        <is>
          <t>Year 7: W5, W7; Year 8: W4, W8</t>
        </is>
      </c>
      <c r="L8" s="8" t="inlineStr">
        <is>
          <t>Both plans, Plan B (no freezer)</t>
        </is>
      </c>
      <c r="M8" s="8" t="inlineStr">
        <is>
          <t>Food allergy check (wheat flour) before the lesson: allergic students do not handle it. Never taste; do not blow or shake (dust clouds); wash hands after. Wheat or flour allergy: check the school allergy list first; allergic students take a non-dough role and do not touch the strips in Week 8. Knead inside a closed bag (no flour dust). Never eat the dough. Wash hands after.</t>
        </is>
      </c>
    </row>
    <row r="9">
      <c r="A9" s="8" t="inlineStr">
        <is>
          <t>Salt, table salt</t>
        </is>
      </c>
      <c r="B9" s="8" t="inlineStr">
        <is>
          <t>食盐</t>
        </is>
      </c>
      <c r="C9" s="8" t="inlineStr">
        <is>
          <t>Ordinary table salt, 1 kg bags.</t>
        </is>
      </c>
      <c r="D9" s="8" t="inlineStr">
        <is>
          <t>Used up</t>
        </is>
      </c>
      <c r="E9" s="9">
        <f>ROUND('Data by week'!$AW$116*'Data by week'!$H$116+'Data by week'!$AW$127*'Data by week'!$H$127+'Data by week'!$AW$133*'Data by week'!$H$133,2)</f>
        <v/>
      </c>
      <c r="F9" s="9">
        <f>ROUND('Data by week'!$AX$116*'Data by week'!$H$116+'Data by week'!$AX$127*'Data by week'!$H$127+'Data by week'!$AX$133*'Data by week'!$H$133,2)</f>
        <v/>
      </c>
      <c r="G9" s="9">
        <f>ROUND('Data by week'!$AY$116*'Data by week'!$H$116+'Data by week'!$AY$127*'Data by week'!$H$127+'Data by week'!$AY$133*'Data by week'!$H$133,2)</f>
        <v/>
      </c>
      <c r="H9" s="10">
        <f>ROUNDUP(E9*'Read me'!$C$5+F9*'Read me'!$C$6+G9*'Read me'!$C$7,0)</f>
        <v/>
      </c>
      <c r="I9" s="8" t="inlineStr">
        <is>
          <t>g</t>
        </is>
      </c>
      <c r="J9" s="8" t="inlineStr">
        <is>
          <t>Week 4</t>
        </is>
      </c>
      <c r="K9" s="8" t="inlineStr">
        <is>
          <t>Year 7: W5, W7; Year 8: W4, W8; Year 9: W6, W8</t>
        </is>
      </c>
      <c r="L9" s="8" t="inlineStr">
        <is>
          <t>Both plans, Plan A (freezer), Plan B (no freezer)</t>
        </is>
      </c>
      <c r="M9" s="8" t="inlineStr">
        <is>
          <t>Never taste any powder or solution. Salty splashes sting eyes, so wear goggles. Never taste it. Wash hands afterwards The dough is very salty and is not food: never eat it.</t>
        </is>
      </c>
    </row>
    <row r="10">
      <c r="A10" s="8" t="inlineStr">
        <is>
          <t>Sugar, white</t>
        </is>
      </c>
      <c r="B10" s="8" t="inlineStr">
        <is>
          <t>白糖</t>
        </is>
      </c>
      <c r="C10" s="8" t="inlineStr">
        <is>
          <t>White sugar.</t>
        </is>
      </c>
      <c r="D10" s="8" t="inlineStr">
        <is>
          <t>Used up</t>
        </is>
      </c>
      <c r="E10" s="9">
        <f>ROUND('Data by week'!$AW$117*'Data by week'!$H$117,2)</f>
        <v/>
      </c>
      <c r="F10" s="9">
        <f>ROUND('Data by week'!$AX$117*'Data by week'!$H$117,2)</f>
        <v/>
      </c>
      <c r="G10" s="9">
        <f>ROUND('Data by week'!$AY$117*'Data by week'!$H$117,2)</f>
        <v/>
      </c>
      <c r="H10" s="10">
        <f>ROUNDUP(E10*'Read me'!$C$5+F10*'Read me'!$C$6+G10*'Read me'!$C$7,0)</f>
        <v/>
      </c>
      <c r="I10" s="8" t="inlineStr">
        <is>
          <t>teaspoons</t>
        </is>
      </c>
      <c r="J10" s="8" t="inlineStr">
        <is>
          <t>Week 4</t>
        </is>
      </c>
      <c r="K10" s="8" t="inlineStr">
        <is>
          <t>Year 8: W4</t>
        </is>
      </c>
      <c r="L10" s="8" t="inlineStr">
        <is>
          <t>Both plans</t>
        </is>
      </c>
      <c r="M10" s="8" t="inlineStr">
        <is>
          <t>Never taste.</t>
        </is>
      </c>
    </row>
    <row r="11">
      <c r="A11" s="8" t="inlineStr">
        <is>
          <t>Teaspoons, metal</t>
        </is>
      </c>
      <c r="B11" s="8" t="inlineStr">
        <is>
          <t>茶匙（不锈钢）</t>
        </is>
      </c>
      <c r="C11" s="8" t="inlineStr">
        <is>
          <t>Metal kitchen teaspoons; amounts on the kit cards are level teaspoons; Y9 claim 10 needs metal.</t>
        </is>
      </c>
      <c r="D11" s="8" t="inlineStr">
        <is>
          <t>Reusable</t>
        </is>
      </c>
      <c r="E11" s="9">
        <f>ROUND(MAX(N('Data by week'!$I$118)*'Data by week'!$H$118,N('Data by week'!$J$118)*'Data by week'!$H$118,N('Data by week'!$K$118)*'Data by week'!$H$118,N('Data by week'!$L$118)*'Data by week'!$H$118,N('Data by week'!$M$118)*'Data by week'!$H$118,N('Data by week'!$N$118)*'Data by week'!$H$118,N('Data by week'!$O$118)*'Data by week'!$H$118,N('Data by week'!$P$118)*'Data by week'!$H$118,N('Data by week'!$Q$118)*'Data by week'!$H$118,N('Data by week'!$R$118)*'Data by week'!$H$118),2)</f>
        <v/>
      </c>
      <c r="F11" s="9">
        <f>ROUND(MAX(N('Data by week'!$S$118)*'Data by week'!$H$118,N('Data by week'!$T$118)*'Data by week'!$H$118,N('Data by week'!$U$118)*'Data by week'!$H$118,N('Data by week'!$V$118)*'Data by week'!$H$118,N('Data by week'!$W$118)*'Data by week'!$H$118,N('Data by week'!$X$118)*'Data by week'!$H$118,N('Data by week'!$Y$118)*'Data by week'!$H$118,N('Data by week'!$Z$118)*'Data by week'!$H$118,N('Data by week'!$AA$118)*'Data by week'!$H$118,N('Data by week'!$AB$118)*'Data by week'!$H$118),2)</f>
        <v/>
      </c>
      <c r="G11" s="9">
        <f>ROUND(MAX(N('Data by week'!$AC$118)*'Data by week'!$H$118,N('Data by week'!$AD$118)*'Data by week'!$H$118,N('Data by week'!$AE$118)*'Data by week'!$H$118,N('Data by week'!$AF$118)*'Data by week'!$H$118,N('Data by week'!$AG$118)*'Data by week'!$H$118,N('Data by week'!$AH$118)*'Data by week'!$H$118,N('Data by week'!$AI$118)*'Data by week'!$H$118,N('Data by week'!$AJ$118)*'Data by week'!$H$118,N('Data by week'!$AK$118)*'Data by week'!$H$118,N('Data by week'!$AL$118)*'Data by week'!$H$118),2)</f>
        <v/>
      </c>
      <c r="H11" s="10">
        <f>MAX(E11:G11)</f>
        <v/>
      </c>
      <c r="I11" s="8" t="inlineStr">
        <is>
          <t>teaspoons</t>
        </is>
      </c>
      <c r="J11" s="8" t="inlineStr">
        <is>
          <t>Week 4</t>
        </is>
      </c>
      <c r="K11" s="8" t="inlineStr">
        <is>
          <t>Year 7: W7; Year 8: W4, W8; Year 9: W6, W8</t>
        </is>
      </c>
      <c r="L11" s="8" t="inlineStr">
        <is>
          <t>Both plans</t>
        </is>
      </c>
      <c r="M11" s="8" t="inlineStr"/>
    </row>
    <row r="12">
      <c r="A12" s="8" t="inlineStr">
        <is>
          <t>White vinegar</t>
        </is>
      </c>
      <c r="B12" s="8" t="inlineStr">
        <is>
          <t>白醋</t>
        </is>
      </c>
      <c r="C12" s="8" t="inlineStr">
        <is>
          <t>White (clear) vinegar.</t>
        </is>
      </c>
      <c r="D12" s="8" t="inlineStr">
        <is>
          <t>Used up</t>
        </is>
      </c>
      <c r="E12" s="9">
        <f>ROUND('Data by week'!$AW$119*'Data by week'!$H$119,2)</f>
        <v/>
      </c>
      <c r="F12" s="9">
        <f>ROUND('Data by week'!$AX$119*'Data by week'!$H$119,2)</f>
        <v/>
      </c>
      <c r="G12" s="9">
        <f>ROUND('Data by week'!$AY$119*'Data by week'!$H$119,2)</f>
        <v/>
      </c>
      <c r="H12" s="10">
        <f>ROUNDUP(E12*'Read me'!$C$5+F12*'Read me'!$C$6+G12*'Read me'!$C$7,0)</f>
        <v/>
      </c>
      <c r="I12" s="8" t="inlineStr">
        <is>
          <t>ml</t>
        </is>
      </c>
      <c r="J12" s="8" t="inlineStr">
        <is>
          <t>Week 4</t>
        </is>
      </c>
      <c r="K12" s="8" t="inlineStr">
        <is>
          <t>Year 8: W4, W5, W8</t>
        </is>
      </c>
      <c r="L12" s="8" t="inlineStr">
        <is>
          <t>Both plans</t>
        </is>
      </c>
      <c r="M12" s="8" t="inlineStr">
        <is>
          <t>Goggles when using vinegar; if it gets in the eyes, rinse with plenty of water and tell the teacher. Never taste.</t>
        </is>
      </c>
    </row>
    <row r="13">
      <c r="A13" s="8" t="inlineStr">
        <is>
          <t>Electric kettle</t>
        </is>
      </c>
      <c r="B13" s="8" t="inlineStr">
        <is>
          <t>电水壶</t>
        </is>
      </c>
      <c r="C13" s="8" t="inlineStr">
        <is>
          <t>Teacher use only.</t>
        </is>
      </c>
      <c r="D13" s="8" t="inlineStr">
        <is>
          <t>Reusable</t>
        </is>
      </c>
      <c r="E13" s="9">
        <f>ROUND(MAX(N('Data by week'!$I$120)*'Data by week'!$H$120+N('Data by week'!$I$129)*'Data by week'!$H$129,N('Data by week'!$J$120)*'Data by week'!$H$120+N('Data by week'!$J$129)*'Data by week'!$H$129,N('Data by week'!$K$120)*'Data by week'!$H$120+N('Data by week'!$K$129)*'Data by week'!$H$129,N('Data by week'!$L$120)*'Data by week'!$H$120+N('Data by week'!$L$129)*'Data by week'!$H$129,N('Data by week'!$M$120)*'Data by week'!$H$120+N('Data by week'!$M$129)*'Data by week'!$H$129,N('Data by week'!$N$120)*'Data by week'!$H$120+N('Data by week'!$N$129)*'Data by week'!$H$129,N('Data by week'!$O$120)*'Data by week'!$H$120+N('Data by week'!$O$129)*'Data by week'!$H$129,N('Data by week'!$P$120)*'Data by week'!$H$120+N('Data by week'!$P$129)*'Data by week'!$H$129,N('Data by week'!$Q$120)*'Data by week'!$H$120+N('Data by week'!$Q$129)*'Data by week'!$H$129,N('Data by week'!$R$120)*'Data by week'!$H$120+N('Data by week'!$R$129)*'Data by week'!$H$129),2)</f>
        <v/>
      </c>
      <c r="F13" s="9">
        <f>ROUND(MAX(N('Data by week'!$S$120)*'Data by week'!$H$120+N('Data by week'!$S$129)*'Data by week'!$H$129,N('Data by week'!$T$120)*'Data by week'!$H$120+N('Data by week'!$T$129)*'Data by week'!$H$129,N('Data by week'!$U$120)*'Data by week'!$H$120+N('Data by week'!$U$129)*'Data by week'!$H$129,N('Data by week'!$V$120)*'Data by week'!$H$120+N('Data by week'!$V$129)*'Data by week'!$H$129,N('Data by week'!$W$120)*'Data by week'!$H$120+N('Data by week'!$W$129)*'Data by week'!$H$129,N('Data by week'!$X$120)*'Data by week'!$H$120+N('Data by week'!$X$129)*'Data by week'!$H$129,N('Data by week'!$Y$120)*'Data by week'!$H$120+N('Data by week'!$Y$129)*'Data by week'!$H$129,N('Data by week'!$Z$120)*'Data by week'!$H$120+N('Data by week'!$Z$129)*'Data by week'!$H$129,N('Data by week'!$AA$120)*'Data by week'!$H$120+N('Data by week'!$AA$129)*'Data by week'!$H$129,N('Data by week'!$AB$120)*'Data by week'!$H$120+N('Data by week'!$AB$129)*'Data by week'!$H$129),2)</f>
        <v/>
      </c>
      <c r="G13" s="9">
        <f>ROUND(MAX(N('Data by week'!$AC$120)*'Data by week'!$H$120+N('Data by week'!$AC$129)*'Data by week'!$H$129,N('Data by week'!$AD$120)*'Data by week'!$H$120+N('Data by week'!$AD$129)*'Data by week'!$H$129,N('Data by week'!$AE$120)*'Data by week'!$H$120+N('Data by week'!$AE$129)*'Data by week'!$H$129,N('Data by week'!$AF$120)*'Data by week'!$H$120+N('Data by week'!$AF$129)*'Data by week'!$H$129,N('Data by week'!$AG$120)*'Data by week'!$H$120+N('Data by week'!$AG$129)*'Data by week'!$H$129,N('Data by week'!$AH$120)*'Data by week'!$H$120+N('Data by week'!$AH$129)*'Data by week'!$H$129,N('Data by week'!$AI$120)*'Data by week'!$H$120+N('Data by week'!$AI$129)*'Data by week'!$H$129,N('Data by week'!$AJ$120)*'Data by week'!$H$120+N('Data by week'!$AJ$129)*'Data by week'!$H$129,N('Data by week'!$AK$120)*'Data by week'!$H$120+N('Data by week'!$AK$129)*'Data by week'!$H$129,N('Data by week'!$AL$120)*'Data by week'!$H$120+N('Data by week'!$AL$129)*'Data by week'!$H$129),2)</f>
        <v/>
      </c>
      <c r="H13" s="10">
        <f>MAX(E13:G13)</f>
        <v/>
      </c>
      <c r="I13" s="8" t="inlineStr">
        <is>
          <t>kettles</t>
        </is>
      </c>
      <c r="J13" s="8" t="inlineStr">
        <is>
          <t>Week 5</t>
        </is>
      </c>
      <c r="K13" s="8" t="inlineStr">
        <is>
          <t>Year 7: W6; Year 8: W5; Year 9: W6, W8</t>
        </is>
      </c>
      <c r="L13" s="8" t="inlineStr">
        <is>
          <t>Both plans, Plan B (no freezer)</t>
        </is>
      </c>
      <c r="M13" s="8" t="inlineStr">
        <is>
          <t>Hot water is teacher-only; students never handle the kettle or hot water. Teacher only; students never handle the kettle or boiling water. Teacher use only. Students never handle boiling water or the kettle</t>
        </is>
      </c>
    </row>
    <row r="14">
      <c r="A14" s="8" t="inlineStr">
        <is>
          <t>Freezer space</t>
        </is>
      </c>
      <c r="B14" s="8" t="inlineStr">
        <is>
          <t>冰柜空间</t>
        </is>
      </c>
      <c r="C14" s="8" t="inlineStr">
        <is>
          <t>One level freezer drawer or fridge-freezer compartment, labelled 'Ice Engineers Y7: do not move' (Y7 Plan A, Weeks 5 to 8); a staff freezer compartment overnight for the Y8 notebook prop.</t>
        </is>
      </c>
      <c r="D14" s="8" t="inlineStr">
        <is>
          <t>Reusable</t>
        </is>
      </c>
      <c r="E14" s="9">
        <f>ROUND(MAX(N('Data by week'!$I$121)*'Data by week'!$H$121+N('Data by week'!$I$140)*'Data by week'!$H$140,N('Data by week'!$J$121)*'Data by week'!$H$121+N('Data by week'!$J$140)*'Data by week'!$H$140,N('Data by week'!$K$121)*'Data by week'!$H$121+N('Data by week'!$K$140)*'Data by week'!$H$140,N('Data by week'!$L$121)*'Data by week'!$H$121+N('Data by week'!$L$140)*'Data by week'!$H$140,N('Data by week'!$M$121)*'Data by week'!$H$121+N('Data by week'!$M$140)*'Data by week'!$H$140,N('Data by week'!$N$121)*'Data by week'!$H$121+N('Data by week'!$N$140)*'Data by week'!$H$140,N('Data by week'!$O$121)*'Data by week'!$H$121+N('Data by week'!$O$140)*'Data by week'!$H$140,N('Data by week'!$P$121)*'Data by week'!$H$121+N('Data by week'!$P$140)*'Data by week'!$H$140,N('Data by week'!$Q$121)*'Data by week'!$H$121+N('Data by week'!$Q$140)*'Data by week'!$H$140,N('Data by week'!$R$121)*'Data by week'!$H$121+N('Data by week'!$R$140)*'Data by week'!$H$140),2)</f>
        <v/>
      </c>
      <c r="F14" s="9">
        <f>ROUND(MAX(N('Data by week'!$S$121)*'Data by week'!$H$121+N('Data by week'!$S$140)*'Data by week'!$H$140,N('Data by week'!$T$121)*'Data by week'!$H$121+N('Data by week'!$T$140)*'Data by week'!$H$140,N('Data by week'!$U$121)*'Data by week'!$H$121+N('Data by week'!$U$140)*'Data by week'!$H$140,N('Data by week'!$V$121)*'Data by week'!$H$121+N('Data by week'!$V$140)*'Data by week'!$H$140,N('Data by week'!$W$121)*'Data by week'!$H$121+N('Data by week'!$W$140)*'Data by week'!$H$140,N('Data by week'!$X$121)*'Data by week'!$H$121+N('Data by week'!$X$140)*'Data by week'!$H$140,N('Data by week'!$Y$121)*'Data by week'!$H$121+N('Data by week'!$Y$140)*'Data by week'!$H$140,N('Data by week'!$Z$121)*'Data by week'!$H$121+N('Data by week'!$Z$140)*'Data by week'!$H$140,N('Data by week'!$AA$121)*'Data by week'!$H$121+N('Data by week'!$AA$140)*'Data by week'!$H$140,N('Data by week'!$AB$121)*'Data by week'!$H$121+N('Data by week'!$AB$140)*'Data by week'!$H$140),2)</f>
        <v/>
      </c>
      <c r="G14" s="9">
        <f>ROUND(MAX(N('Data by week'!$AC$121)*'Data by week'!$H$121+N('Data by week'!$AC$140)*'Data by week'!$H$140,N('Data by week'!$AD$121)*'Data by week'!$H$121+N('Data by week'!$AD$140)*'Data by week'!$H$140,N('Data by week'!$AE$121)*'Data by week'!$H$121+N('Data by week'!$AE$140)*'Data by week'!$H$140,N('Data by week'!$AF$121)*'Data by week'!$H$121+N('Data by week'!$AF$140)*'Data by week'!$H$140,N('Data by week'!$AG$121)*'Data by week'!$H$121+N('Data by week'!$AG$140)*'Data by week'!$H$140,N('Data by week'!$AH$121)*'Data by week'!$H$121+N('Data by week'!$AH$140)*'Data by week'!$H$140,N('Data by week'!$AI$121)*'Data by week'!$H$121+N('Data by week'!$AI$140)*'Data by week'!$H$140,N('Data by week'!$AJ$121)*'Data by week'!$H$121+N('Data by week'!$AJ$140)*'Data by week'!$H$140,N('Data by week'!$AK$121)*'Data by week'!$H$121+N('Data by week'!$AK$140)*'Data by week'!$H$140,N('Data by week'!$AL$121)*'Data by week'!$H$121+N('Data by week'!$AL$140)*'Data by week'!$H$140),2)</f>
        <v/>
      </c>
      <c r="H14" s="10">
        <f>MAX(E14:G14)</f>
        <v/>
      </c>
      <c r="I14" s="8" t="inlineStr">
        <is>
          <t>drawer</t>
        </is>
      </c>
      <c r="J14" s="8" t="inlineStr">
        <is>
          <t>Week 5</t>
        </is>
      </c>
      <c r="K14" s="8" t="inlineStr">
        <is>
          <t>Year 7: W5, W6, W7, W8; Year 8: W10</t>
        </is>
      </c>
      <c r="L14" s="8" t="inlineStr">
        <is>
          <t>Both plans, Plan A (freezer)</t>
        </is>
      </c>
      <c r="M14" s="8" t="inlineStr">
        <is>
          <t>Only the teacher puts samples into and takes them out of the freezer; keep trays flat and level.</t>
        </is>
      </c>
    </row>
    <row r="15">
      <c r="A15" s="8" t="inlineStr">
        <is>
          <t>Fridge space</t>
        </is>
      </c>
      <c r="B15" s="8" t="inlineStr">
        <is>
          <t>冰箱冷藏空间</t>
        </is>
      </c>
      <c r="C15" s="8" t="inlineStr">
        <is>
          <t>One shelf to keep the red cabbage indicator (up to 3 days).</t>
        </is>
      </c>
      <c r="D15" s="8" t="inlineStr">
        <is>
          <t>Reusable</t>
        </is>
      </c>
      <c r="E15" s="9">
        <f>ROUND(MAX(N('Data by week'!$I$122)*'Data by week'!$H$122,N('Data by week'!$J$122)*'Data by week'!$H$122,N('Data by week'!$K$122)*'Data by week'!$H$122,N('Data by week'!$L$122)*'Data by week'!$H$122,N('Data by week'!$M$122)*'Data by week'!$H$122,N('Data by week'!$N$122)*'Data by week'!$H$122,N('Data by week'!$O$122)*'Data by week'!$H$122,N('Data by week'!$P$122)*'Data by week'!$H$122,N('Data by week'!$Q$122)*'Data by week'!$H$122,N('Data by week'!$R$122)*'Data by week'!$H$122),2)</f>
        <v/>
      </c>
      <c r="F15" s="9">
        <f>ROUND(MAX(N('Data by week'!$S$122)*'Data by week'!$H$122,N('Data by week'!$T$122)*'Data by week'!$H$122,N('Data by week'!$U$122)*'Data by week'!$H$122,N('Data by week'!$V$122)*'Data by week'!$H$122,N('Data by week'!$W$122)*'Data by week'!$H$122,N('Data by week'!$X$122)*'Data by week'!$H$122,N('Data by week'!$Y$122)*'Data by week'!$H$122,N('Data by week'!$Z$122)*'Data by week'!$H$122,N('Data by week'!$AA$122)*'Data by week'!$H$122,N('Data by week'!$AB$122)*'Data by week'!$H$122),2)</f>
        <v/>
      </c>
      <c r="G15" s="9">
        <f>ROUND(MAX(N('Data by week'!$AC$122)*'Data by week'!$H$122,N('Data by week'!$AD$122)*'Data by week'!$H$122,N('Data by week'!$AE$122)*'Data by week'!$H$122,N('Data by week'!$AF$122)*'Data by week'!$H$122,N('Data by week'!$AG$122)*'Data by week'!$H$122,N('Data by week'!$AH$122)*'Data by week'!$H$122,N('Data by week'!$AI$122)*'Data by week'!$H$122,N('Data by week'!$AJ$122)*'Data by week'!$H$122,N('Data by week'!$AK$122)*'Data by week'!$H$122,N('Data by week'!$AL$122)*'Data by week'!$H$122),2)</f>
        <v/>
      </c>
      <c r="H15" s="10">
        <f>MAX(E15:G15)</f>
        <v/>
      </c>
      <c r="I15" s="8" t="inlineStr">
        <is>
          <t>shelf space</t>
        </is>
      </c>
      <c r="J15" s="8" t="inlineStr">
        <is>
          <t>Week 5</t>
        </is>
      </c>
      <c r="K15" s="8" t="inlineStr">
        <is>
          <t>Year 8: W5</t>
        </is>
      </c>
      <c r="L15" s="8" t="inlineStr">
        <is>
          <t>Both plans</t>
        </is>
      </c>
      <c r="M15" s="8" t="inlineStr">
        <is>
          <t>Label the bottle 'Red cabbage indicator: do not drink'.</t>
        </is>
      </c>
    </row>
    <row r="16">
      <c r="A16" s="8" t="inlineStr">
        <is>
          <t>Heatproof jug, at least 500 ml</t>
        </is>
      </c>
      <c r="B16" s="8" t="inlineStr">
        <is>
          <t>耐热水壶（500毫升以上，可装开水）</t>
        </is>
      </c>
      <c r="C16" s="8" t="inlineStr">
        <is>
          <t>Heatproof, at least 500 ml, for chopped cabbage in hot kettle water; teacher only.</t>
        </is>
      </c>
      <c r="D16" s="8" t="inlineStr">
        <is>
          <t>Reusable</t>
        </is>
      </c>
      <c r="E16" s="9">
        <f>ROUND(MAX(N('Data by week'!$I$123)*'Data by week'!$H$123,N('Data by week'!$J$123)*'Data by week'!$H$123,N('Data by week'!$K$123)*'Data by week'!$H$123,N('Data by week'!$L$123)*'Data by week'!$H$123,N('Data by week'!$M$123)*'Data by week'!$H$123,N('Data by week'!$N$123)*'Data by week'!$H$123,N('Data by week'!$O$123)*'Data by week'!$H$123,N('Data by week'!$P$123)*'Data by week'!$H$123,N('Data by week'!$Q$123)*'Data by week'!$H$123,N('Data by week'!$R$123)*'Data by week'!$H$123),2)</f>
        <v/>
      </c>
      <c r="F16" s="9">
        <f>ROUND(MAX(N('Data by week'!$S$123)*'Data by week'!$H$123,N('Data by week'!$T$123)*'Data by week'!$H$123,N('Data by week'!$U$123)*'Data by week'!$H$123,N('Data by week'!$V$123)*'Data by week'!$H$123,N('Data by week'!$W$123)*'Data by week'!$H$123,N('Data by week'!$X$123)*'Data by week'!$H$123,N('Data by week'!$Y$123)*'Data by week'!$H$123,N('Data by week'!$Z$123)*'Data by week'!$H$123,N('Data by week'!$AA$123)*'Data by week'!$H$123,N('Data by week'!$AB$123)*'Data by week'!$H$123),2)</f>
        <v/>
      </c>
      <c r="G16" s="9">
        <f>ROUND(MAX(N('Data by week'!$AC$123)*'Data by week'!$H$123,N('Data by week'!$AD$123)*'Data by week'!$H$123,N('Data by week'!$AE$123)*'Data by week'!$H$123,N('Data by week'!$AF$123)*'Data by week'!$H$123,N('Data by week'!$AG$123)*'Data by week'!$H$123,N('Data by week'!$AH$123)*'Data by week'!$H$123,N('Data by week'!$AI$123)*'Data by week'!$H$123,N('Data by week'!$AJ$123)*'Data by week'!$H$123,N('Data by week'!$AK$123)*'Data by week'!$H$123,N('Data by week'!$AL$123)*'Data by week'!$H$123),2)</f>
        <v/>
      </c>
      <c r="H16" s="10">
        <f>MAX(E16:G16)</f>
        <v/>
      </c>
      <c r="I16" s="8" t="inlineStr">
        <is>
          <t>jugs</t>
        </is>
      </c>
      <c r="J16" s="8" t="inlineStr">
        <is>
          <t>Week 5</t>
        </is>
      </c>
      <c r="K16" s="8" t="inlineStr">
        <is>
          <t>Year 8: W5</t>
        </is>
      </c>
      <c r="L16" s="8" t="inlineStr">
        <is>
          <t>Both plans</t>
        </is>
      </c>
      <c r="M16" s="8" t="inlineStr">
        <is>
          <t>Teacher only.</t>
        </is>
      </c>
    </row>
    <row r="17">
      <c r="A17" s="8" t="inlineStr">
        <is>
          <t>Lemon juice</t>
        </is>
      </c>
      <c r="B17" s="8" t="inlineStr">
        <is>
          <t>柠檬汁</t>
        </is>
      </c>
      <c r="C17" s="8" t="inlineStr">
        <is>
          <t>Lemon juice, about 10 ml per group.</t>
        </is>
      </c>
      <c r="D17" s="8" t="inlineStr">
        <is>
          <t>Used up</t>
        </is>
      </c>
      <c r="E17" s="9">
        <f>ROUND('Data by week'!$AW$124*'Data by week'!$H$124,2)</f>
        <v/>
      </c>
      <c r="F17" s="9">
        <f>ROUND('Data by week'!$AX$124*'Data by week'!$H$124,2)</f>
        <v/>
      </c>
      <c r="G17" s="9">
        <f>ROUND('Data by week'!$AY$124*'Data by week'!$H$124,2)</f>
        <v/>
      </c>
      <c r="H17" s="10">
        <f>ROUNDUP(E17*'Read me'!$C$5+F17*'Read me'!$C$6+G17*'Read me'!$C$7,0)</f>
        <v/>
      </c>
      <c r="I17" s="8" t="inlineStr">
        <is>
          <t>ml</t>
        </is>
      </c>
      <c r="J17" s="8" t="inlineStr">
        <is>
          <t>Week 5</t>
        </is>
      </c>
      <c r="K17" s="8" t="inlineStr">
        <is>
          <t>Year 8: W5</t>
        </is>
      </c>
      <c r="L17" s="8" t="inlineStr">
        <is>
          <t>Both plans</t>
        </is>
      </c>
      <c r="M17" s="8" t="inlineStr">
        <is>
          <t>Stings eyes: goggles. Never taste.</t>
        </is>
      </c>
    </row>
    <row r="18">
      <c r="A18" s="8" t="inlineStr">
        <is>
          <t>Red cabbage</t>
        </is>
      </c>
      <c r="B18" s="8" t="inlineStr">
        <is>
          <t>紫甘蓝</t>
        </is>
      </c>
      <c r="C18" s="8" t="inlineStr">
        <is>
          <t>Fresh red cabbage; a quarter head makes one class's indicator.</t>
        </is>
      </c>
      <c r="D18" s="8" t="inlineStr">
        <is>
          <t>Used up</t>
        </is>
      </c>
      <c r="E18" s="9">
        <f>ROUND('Data by week'!$AW$126*'Data by week'!$H$126,2)</f>
        <v/>
      </c>
      <c r="F18" s="9">
        <f>ROUND('Data by week'!$AX$126*'Data by week'!$H$126,2)</f>
        <v/>
      </c>
      <c r="G18" s="9">
        <f>ROUND('Data by week'!$AY$126*'Data by week'!$H$126,2)</f>
        <v/>
      </c>
      <c r="H18" s="10">
        <f>ROUNDUP(E18*'Read me'!$C$5+F18*'Read me'!$C$6+G18*'Read me'!$C$7,0)</f>
        <v/>
      </c>
      <c r="I18" s="8" t="inlineStr">
        <is>
          <t>head</t>
        </is>
      </c>
      <c r="J18" s="8" t="inlineStr">
        <is>
          <t>Week 5</t>
        </is>
      </c>
      <c r="K18" s="8" t="inlineStr">
        <is>
          <t>Year 8: W5</t>
        </is>
      </c>
      <c r="L18" s="8" t="inlineStr">
        <is>
          <t>Both plans</t>
        </is>
      </c>
      <c r="M18" s="8" t="inlineStr"/>
    </row>
    <row r="19">
      <c r="A19" s="8" t="inlineStr">
        <is>
          <t>Sieve, kitchen</t>
        </is>
      </c>
      <c r="B19" s="8" t="inlineStr">
        <is>
          <t>滤网（筛子）</t>
        </is>
      </c>
      <c r="C19" s="8" t="inlineStr">
        <is>
          <t>Kitchen sieve to strain the indicator.</t>
        </is>
      </c>
      <c r="D19" s="8" t="inlineStr">
        <is>
          <t>Reusable</t>
        </is>
      </c>
      <c r="E19" s="9">
        <f>ROUND(MAX(N('Data by week'!$I$128)*'Data by week'!$H$128,N('Data by week'!$J$128)*'Data by week'!$H$128,N('Data by week'!$K$128)*'Data by week'!$H$128,N('Data by week'!$L$128)*'Data by week'!$H$128,N('Data by week'!$M$128)*'Data by week'!$H$128,N('Data by week'!$N$128)*'Data by week'!$H$128,N('Data by week'!$O$128)*'Data by week'!$H$128,N('Data by week'!$P$128)*'Data by week'!$H$128,N('Data by week'!$Q$128)*'Data by week'!$H$128,N('Data by week'!$R$128)*'Data by week'!$H$128),2)</f>
        <v/>
      </c>
      <c r="F19" s="9">
        <f>ROUND(MAX(N('Data by week'!$S$128)*'Data by week'!$H$128,N('Data by week'!$T$128)*'Data by week'!$H$128,N('Data by week'!$U$128)*'Data by week'!$H$128,N('Data by week'!$V$128)*'Data by week'!$H$128,N('Data by week'!$W$128)*'Data by week'!$H$128,N('Data by week'!$X$128)*'Data by week'!$H$128,N('Data by week'!$Y$128)*'Data by week'!$H$128,N('Data by week'!$Z$128)*'Data by week'!$H$128,N('Data by week'!$AA$128)*'Data by week'!$H$128,N('Data by week'!$AB$128)*'Data by week'!$H$128),2)</f>
        <v/>
      </c>
      <c r="G19" s="9">
        <f>ROUND(MAX(N('Data by week'!$AC$128)*'Data by week'!$H$128,N('Data by week'!$AD$128)*'Data by week'!$H$128,N('Data by week'!$AE$128)*'Data by week'!$H$128,N('Data by week'!$AF$128)*'Data by week'!$H$128,N('Data by week'!$AG$128)*'Data by week'!$H$128,N('Data by week'!$AH$128)*'Data by week'!$H$128,N('Data by week'!$AI$128)*'Data by week'!$H$128,N('Data by week'!$AJ$128)*'Data by week'!$H$128,N('Data by week'!$AK$128)*'Data by week'!$H$128,N('Data by week'!$AL$128)*'Data by week'!$H$128),2)</f>
        <v/>
      </c>
      <c r="H19" s="10">
        <f>MAX(E19:G19)</f>
        <v/>
      </c>
      <c r="I19" s="8" t="inlineStr">
        <is>
          <t>sieve</t>
        </is>
      </c>
      <c r="J19" s="8" t="inlineStr">
        <is>
          <t>Week 5</t>
        </is>
      </c>
      <c r="K19" s="8" t="inlineStr">
        <is>
          <t>Year 8: W5</t>
        </is>
      </c>
      <c r="L19" s="8" t="inlineStr">
        <is>
          <t>Both plans</t>
        </is>
      </c>
      <c r="M19" s="8" t="inlineStr"/>
    </row>
    <row r="20">
      <c r="A20" s="8" t="inlineStr">
        <is>
          <t>Ice cubes</t>
        </is>
      </c>
      <c r="B20" s="8" t="inlineStr">
        <is>
          <t>冰块</t>
        </is>
      </c>
      <c r="C20" s="8" t="inlineStr">
        <is>
          <t>Ice cubes, fresh on the day; Y7 cubes from the same tray type filled to the same level; Y9 some crushed.</t>
        </is>
      </c>
      <c r="D20" s="8" t="inlineStr">
        <is>
          <t>Used up</t>
        </is>
      </c>
      <c r="E20" s="9">
        <f>ROUND('Data by week'!$AW$130*'Data by week'!$H$130,2)</f>
        <v/>
      </c>
      <c r="F20" s="9">
        <f>ROUND('Data by week'!$AX$130*'Data by week'!$H$130,2)</f>
        <v/>
      </c>
      <c r="G20" s="9">
        <f>ROUND('Data by week'!$AY$130*'Data by week'!$H$130,2)</f>
        <v/>
      </c>
      <c r="H20" s="10">
        <f>ROUNDUP(E20*'Read me'!$C$5+F20*'Read me'!$C$6+G20*'Read me'!$C$7,0)</f>
        <v/>
      </c>
      <c r="I20" s="8" t="inlineStr">
        <is>
          <t>kg</t>
        </is>
      </c>
      <c r="J20" s="8" t="inlineStr">
        <is>
          <t>Week 6</t>
        </is>
      </c>
      <c r="K20" s="8" t="inlineStr">
        <is>
          <t>Year 7: W6; Year 9: W6, W8</t>
        </is>
      </c>
      <c r="L20" s="8" t="inlineStr">
        <is>
          <t>Plan A (freezer)</t>
        </is>
      </c>
      <c r="M20" s="8" t="inlineStr">
        <is>
          <t>Gloves if holding ice for more than a minute; bags stay sealed until the measuring slot; no tasting; mop spills. Never taste the ice. Wear gloves if you handle it for more than a minute</t>
        </is>
      </c>
    </row>
    <row r="21">
      <c r="A21" s="8" t="inlineStr">
        <is>
          <t>Rolling pin</t>
        </is>
      </c>
      <c r="B21" s="8" t="inlineStr">
        <is>
          <t>擀面杖</t>
        </is>
      </c>
      <c r="C21" s="8" t="inlineStr">
        <is>
          <t>For crushing ice cubes inside a clean bag.</t>
        </is>
      </c>
      <c r="D21" s="8" t="inlineStr">
        <is>
          <t>Reusable</t>
        </is>
      </c>
      <c r="E21" s="9">
        <f>ROUND(MAX(N('Data by week'!$I$132)*'Data by week'!$H$132,N('Data by week'!$J$132)*'Data by week'!$H$132,N('Data by week'!$K$132)*'Data by week'!$H$132,N('Data by week'!$L$132)*'Data by week'!$H$132,N('Data by week'!$M$132)*'Data by week'!$H$132,N('Data by week'!$N$132)*'Data by week'!$H$132,N('Data by week'!$O$132)*'Data by week'!$H$132,N('Data by week'!$P$132)*'Data by week'!$H$132,N('Data by week'!$Q$132)*'Data by week'!$H$132,N('Data by week'!$R$132)*'Data by week'!$H$132),2)</f>
        <v/>
      </c>
      <c r="F21" s="9">
        <f>ROUND(MAX(N('Data by week'!$S$132)*'Data by week'!$H$132,N('Data by week'!$T$132)*'Data by week'!$H$132,N('Data by week'!$U$132)*'Data by week'!$H$132,N('Data by week'!$V$132)*'Data by week'!$H$132,N('Data by week'!$W$132)*'Data by week'!$H$132,N('Data by week'!$X$132)*'Data by week'!$H$132,N('Data by week'!$Y$132)*'Data by week'!$H$132,N('Data by week'!$Z$132)*'Data by week'!$H$132,N('Data by week'!$AA$132)*'Data by week'!$H$132,N('Data by week'!$AB$132)*'Data by week'!$H$132),2)</f>
        <v/>
      </c>
      <c r="G21" s="9">
        <f>ROUND(MAX(N('Data by week'!$AC$132)*'Data by week'!$H$132,N('Data by week'!$AD$132)*'Data by week'!$H$132,N('Data by week'!$AE$132)*'Data by week'!$H$132,N('Data by week'!$AF$132)*'Data by week'!$H$132,N('Data by week'!$AG$132)*'Data by week'!$H$132,N('Data by week'!$AH$132)*'Data by week'!$H$132,N('Data by week'!$AI$132)*'Data by week'!$H$132,N('Data by week'!$AJ$132)*'Data by week'!$H$132,N('Data by week'!$AK$132)*'Data by week'!$H$132,N('Data by week'!$AL$132)*'Data by week'!$H$132),2)</f>
        <v/>
      </c>
      <c r="H21" s="10">
        <f>MAX(E21:G21)</f>
        <v/>
      </c>
      <c r="I21" s="8" t="inlineStr">
        <is>
          <t>rolling pin</t>
        </is>
      </c>
      <c r="J21" s="8" t="inlineStr">
        <is>
          <t>Week 6</t>
        </is>
      </c>
      <c r="K21" s="8" t="inlineStr">
        <is>
          <t>Year 9: W6, W8</t>
        </is>
      </c>
      <c r="L21" s="8" t="inlineStr">
        <is>
          <t>Plan A (freezer)</t>
        </is>
      </c>
      <c r="M21" s="8" t="inlineStr"/>
    </row>
    <row r="22">
      <c r="A22" s="8" t="inlineStr">
        <is>
          <t>Vacuum flask</t>
        </is>
      </c>
      <c r="B22" s="8" t="inlineStr">
        <is>
          <t>保温瓶</t>
        </is>
      </c>
      <c r="C22" s="8" t="inlineStr">
        <is>
          <t>Keeps warm water at about 50 to 60 °C through the lesson.</t>
        </is>
      </c>
      <c r="D22" s="8" t="inlineStr">
        <is>
          <t>Reusable</t>
        </is>
      </c>
      <c r="E22" s="9">
        <f>ROUND(MAX(N('Data by week'!$I$134)*'Data by week'!$H$134,N('Data by week'!$J$134)*'Data by week'!$H$134,N('Data by week'!$K$134)*'Data by week'!$H$134,N('Data by week'!$L$134)*'Data by week'!$H$134,N('Data by week'!$M$134)*'Data by week'!$H$134,N('Data by week'!$N$134)*'Data by week'!$H$134,N('Data by week'!$O$134)*'Data by week'!$H$134,N('Data by week'!$P$134)*'Data by week'!$H$134,N('Data by week'!$Q$134)*'Data by week'!$H$134,N('Data by week'!$R$134)*'Data by week'!$H$134),2)</f>
        <v/>
      </c>
      <c r="F22" s="9">
        <f>ROUND(MAX(N('Data by week'!$S$134)*'Data by week'!$H$134,N('Data by week'!$T$134)*'Data by week'!$H$134,N('Data by week'!$U$134)*'Data by week'!$H$134,N('Data by week'!$V$134)*'Data by week'!$H$134,N('Data by week'!$W$134)*'Data by week'!$H$134,N('Data by week'!$X$134)*'Data by week'!$H$134,N('Data by week'!$Y$134)*'Data by week'!$H$134,N('Data by week'!$Z$134)*'Data by week'!$H$134,N('Data by week'!$AA$134)*'Data by week'!$H$134,N('Data by week'!$AB$134)*'Data by week'!$H$134),2)</f>
        <v/>
      </c>
      <c r="G22" s="9">
        <f>ROUND(MAX(N('Data by week'!$AC$134)*'Data by week'!$H$134,N('Data by week'!$AD$134)*'Data by week'!$H$134,N('Data by week'!$AE$134)*'Data by week'!$H$134,N('Data by week'!$AF$134)*'Data by week'!$H$134,N('Data by week'!$AG$134)*'Data by week'!$H$134,N('Data by week'!$AH$134)*'Data by week'!$H$134,N('Data by week'!$AI$134)*'Data by week'!$H$134,N('Data by week'!$AJ$134)*'Data by week'!$H$134,N('Data by week'!$AK$134)*'Data by week'!$H$134,N('Data by week'!$AL$134)*'Data by week'!$H$134),2)</f>
        <v/>
      </c>
      <c r="H22" s="10">
        <f>MAX(E22:G22)</f>
        <v/>
      </c>
      <c r="I22" s="8" t="inlineStr">
        <is>
          <t>flasks</t>
        </is>
      </c>
      <c r="J22" s="8" t="inlineStr">
        <is>
          <t>Week 6</t>
        </is>
      </c>
      <c r="K22" s="8" t="inlineStr">
        <is>
          <t>Year 9: W6, W8</t>
        </is>
      </c>
      <c r="L22" s="8" t="inlineStr">
        <is>
          <t>Both plans</t>
        </is>
      </c>
      <c r="M22" s="8" t="inlineStr"/>
    </row>
    <row r="23">
      <c r="A23" s="8" t="inlineStr">
        <is>
          <t>Canteen napkins</t>
        </is>
      </c>
      <c r="B23" s="8" t="inlineStr">
        <is>
          <t>食堂餐巾纸</t>
        </is>
      </c>
      <c r="C23" s="8" t="inlineStr">
        <is>
          <t>Napkins from the school canteen (Y8 paper reference P2).</t>
        </is>
      </c>
      <c r="D23" s="8" t="inlineStr">
        <is>
          <t>Used up</t>
        </is>
      </c>
      <c r="E23" s="9">
        <f>ROUND('Data by week'!$AW$135*'Data by week'!$H$135,2)</f>
        <v/>
      </c>
      <c r="F23" s="9">
        <f>ROUND('Data by week'!$AX$135*'Data by week'!$H$135,2)</f>
        <v/>
      </c>
      <c r="G23" s="9">
        <f>ROUND('Data by week'!$AY$135*'Data by week'!$H$135,2)</f>
        <v/>
      </c>
      <c r="H23" s="10">
        <f>ROUNDUP(E23*'Read me'!$C$5+F23*'Read me'!$C$6+G23*'Read me'!$C$7,0)</f>
        <v/>
      </c>
      <c r="I23" s="8" t="inlineStr">
        <is>
          <t>napkins</t>
        </is>
      </c>
      <c r="J23" s="8" t="inlineStr">
        <is>
          <t>Week 8</t>
        </is>
      </c>
      <c r="K23" s="8" t="inlineStr">
        <is>
          <t>Year 8: W8</t>
        </is>
      </c>
      <c r="L23" s="8" t="inlineStr">
        <is>
          <t>Both plans</t>
        </is>
      </c>
      <c r="M23" s="8" t="inlineStr"/>
    </row>
    <row r="24">
      <c r="A24" s="8" t="inlineStr">
        <is>
          <t>Food colouring</t>
        </is>
      </c>
      <c r="B24" s="8" t="inlineStr">
        <is>
          <t>食用色素</t>
        </is>
      </c>
      <c r="C24" s="8" t="inlineStr">
        <is>
          <t>Any colour, small bottle.</t>
        </is>
      </c>
      <c r="D24" s="8" t="inlineStr">
        <is>
          <t>Used up</t>
        </is>
      </c>
      <c r="E24" s="9">
        <f>ROUND('Data by week'!$AW$136*'Data by week'!$H$136,2)</f>
        <v/>
      </c>
      <c r="F24" s="9">
        <f>ROUND('Data by week'!$AX$136*'Data by week'!$H$136,2)</f>
        <v/>
      </c>
      <c r="G24" s="9">
        <f>ROUND('Data by week'!$AY$136*'Data by week'!$H$136,2)</f>
        <v/>
      </c>
      <c r="H24" s="10">
        <f>ROUNDUP(E24*'Read me'!$C$5+F24*'Read me'!$C$6+G24*'Read me'!$C$7,0)</f>
        <v/>
      </c>
      <c r="I24" s="8" t="inlineStr">
        <is>
          <t>small bottle</t>
        </is>
      </c>
      <c r="J24" s="8" t="inlineStr">
        <is>
          <t>Week 8</t>
        </is>
      </c>
      <c r="K24" s="8" t="inlineStr">
        <is>
          <t>Year 9: W8</t>
        </is>
      </c>
      <c r="L24" s="8" t="inlineStr">
        <is>
          <t>Plan A (freezer)</t>
        </is>
      </c>
      <c r="M24" s="8" t="inlineStr">
        <is>
          <t>Nothing is tasted</t>
        </is>
      </c>
    </row>
    <row r="25">
      <c r="A25" s="8" t="inlineStr">
        <is>
          <t>Food colouring</t>
        </is>
      </c>
      <c r="B25" s="8" t="inlineStr">
        <is>
          <t>食用色素</t>
        </is>
      </c>
      <c r="C25" s="8" t="inlineStr">
        <is>
          <t>Any colour, small bottle.</t>
        </is>
      </c>
      <c r="D25" s="8" t="inlineStr">
        <is>
          <t>Used up</t>
        </is>
      </c>
      <c r="E25" s="9">
        <f>ROUND('Data by week'!$AW$137*'Data by week'!$H$137,2)</f>
        <v/>
      </c>
      <c r="F25" s="9">
        <f>ROUND('Data by week'!$AX$137*'Data by week'!$H$137,2)</f>
        <v/>
      </c>
      <c r="G25" s="9">
        <f>ROUND('Data by week'!$AY$137*'Data by week'!$H$137,2)</f>
        <v/>
      </c>
      <c r="H25" s="10">
        <f>ROUNDUP(E25*'Read me'!$C$5+F25*'Read me'!$C$6+G25*'Read me'!$C$7,0)</f>
        <v/>
      </c>
      <c r="I25" s="8" t="inlineStr">
        <is>
          <t>drops</t>
        </is>
      </c>
      <c r="J25" s="8" t="inlineStr">
        <is>
          <t>Week 8</t>
        </is>
      </c>
      <c r="K25" s="8" t="inlineStr">
        <is>
          <t>Year 8: W8</t>
        </is>
      </c>
      <c r="L25" s="8" t="inlineStr">
        <is>
          <t>Both plans</t>
        </is>
      </c>
      <c r="M25" s="8" t="inlineStr">
        <is>
          <t>Nothing is tasted Stains skin and clothes: one drop only. Do not drink the water.</t>
        </is>
      </c>
    </row>
    <row r="26">
      <c r="A26" s="8" t="inlineStr">
        <is>
          <t>Tablespoons, kitchen</t>
        </is>
      </c>
      <c r="B26" s="8" t="inlineStr">
        <is>
          <t>汤匙</t>
        </is>
      </c>
      <c r="C26" s="8" t="inlineStr">
        <is>
          <t>Kitchen tablespoons, levelled.</t>
        </is>
      </c>
      <c r="D26" s="8" t="inlineStr">
        <is>
          <t>Reusable</t>
        </is>
      </c>
      <c r="E26" s="9">
        <f>ROUND(MAX(N('Data by week'!$I$139)*'Data by week'!$H$139,N('Data by week'!$J$139)*'Data by week'!$H$139,N('Data by week'!$K$139)*'Data by week'!$H$139,N('Data by week'!$L$139)*'Data by week'!$H$139,N('Data by week'!$M$139)*'Data by week'!$H$139,N('Data by week'!$N$139)*'Data by week'!$H$139,N('Data by week'!$O$139)*'Data by week'!$H$139,N('Data by week'!$P$139)*'Data by week'!$H$139,N('Data by week'!$Q$139)*'Data by week'!$H$139,N('Data by week'!$R$139)*'Data by week'!$H$139),2)</f>
        <v/>
      </c>
      <c r="F26" s="9">
        <f>ROUND(MAX(N('Data by week'!$S$139)*'Data by week'!$H$139,N('Data by week'!$T$139)*'Data by week'!$H$139,N('Data by week'!$U$139)*'Data by week'!$H$139,N('Data by week'!$V$139)*'Data by week'!$H$139,N('Data by week'!$W$139)*'Data by week'!$H$139,N('Data by week'!$X$139)*'Data by week'!$H$139,N('Data by week'!$Y$139)*'Data by week'!$H$139,N('Data by week'!$Z$139)*'Data by week'!$H$139,N('Data by week'!$AA$139)*'Data by week'!$H$139,N('Data by week'!$AB$139)*'Data by week'!$H$139),2)</f>
        <v/>
      </c>
      <c r="G26" s="9">
        <f>ROUND(MAX(N('Data by week'!$AC$139)*'Data by week'!$H$139,N('Data by week'!$AD$139)*'Data by week'!$H$139,N('Data by week'!$AE$139)*'Data by week'!$H$139,N('Data by week'!$AF$139)*'Data by week'!$H$139,N('Data by week'!$AG$139)*'Data by week'!$H$139,N('Data by week'!$AH$139)*'Data by week'!$H$139,N('Data by week'!$AI$139)*'Data by week'!$H$139,N('Data by week'!$AJ$139)*'Data by week'!$H$139,N('Data by week'!$AK$139)*'Data by week'!$H$139,N('Data by week'!$AL$139)*'Data by week'!$H$139),2)</f>
        <v/>
      </c>
      <c r="H26" s="10">
        <f>MAX(E26:G26)</f>
        <v/>
      </c>
      <c r="I26" s="8" t="inlineStr">
        <is>
          <t>tablespoons</t>
        </is>
      </c>
      <c r="J26" s="8" t="inlineStr">
        <is>
          <t>Week 8</t>
        </is>
      </c>
      <c r="K26" s="8" t="inlineStr">
        <is>
          <t>Year 8: W8</t>
        </is>
      </c>
      <c r="L26" s="8" t="inlineStr">
        <is>
          <t>Both plans</t>
        </is>
      </c>
      <c r="M26" s="8" t="inlineStr"/>
    </row>
  </sheetData>
  <autoFilter ref="A1:M26"/>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M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30" customWidth="1" min="3" max="3"/>
    <col width="10" customWidth="1" min="4" max="4"/>
    <col width="10" customWidth="1" min="5" max="5"/>
    <col width="10" customWidth="1" min="6" max="6"/>
    <col width="10" customWidth="1" min="7" max="7"/>
    <col width="10" customWidth="1" min="8" max="8"/>
    <col width="12" customWidth="1" min="9" max="9"/>
    <col width="9" customWidth="1" min="10" max="10"/>
    <col width="32" customWidth="1" min="11" max="11"/>
    <col width="16" customWidth="1" min="12" max="12"/>
    <col width="44" customWidth="1" min="13" max="13"/>
  </cols>
  <sheetData>
    <row r="1" ht="32" customHeight="1">
      <c r="A1" s="7" t="inlineStr">
        <is>
          <t>Item</t>
        </is>
      </c>
      <c r="B1" s="7" t="inlineStr">
        <is>
          <t>中文名称（草稿）</t>
        </is>
      </c>
      <c r="C1" s="7" t="inlineStr">
        <is>
          <t>Specification</t>
        </is>
      </c>
      <c r="D1" s="7" t="inlineStr">
        <is>
          <t>Type</t>
        </is>
      </c>
      <c r="E1" s="7" t="inlineStr">
        <is>
          <t>Year 7 per class</t>
        </is>
      </c>
      <c r="F1" s="7" t="inlineStr">
        <is>
          <t>Year 8 per class</t>
        </is>
      </c>
      <c r="G1" s="7" t="inlineStr">
        <is>
          <t>Year 9 per class</t>
        </is>
      </c>
      <c r="H1" s="7" t="inlineStr">
        <is>
          <t>Total</t>
        </is>
      </c>
      <c r="I1" s="7" t="inlineStr">
        <is>
          <t>Unit</t>
        </is>
      </c>
      <c r="J1" s="7" t="inlineStr">
        <is>
          <t>First needed</t>
        </is>
      </c>
      <c r="K1" s="7" t="inlineStr">
        <is>
          <t>Weeks used</t>
        </is>
      </c>
      <c r="L1" s="7" t="inlineStr">
        <is>
          <t>Plan</t>
        </is>
      </c>
      <c r="M1" s="7" t="inlineStr">
        <is>
          <t>Safety and notes</t>
        </is>
      </c>
    </row>
    <row r="2">
      <c r="A2" s="8" t="inlineStr">
        <is>
          <t>Bottle cap</t>
        </is>
      </c>
      <c r="B2" s="8" t="inlineStr">
        <is>
          <t>瓶盖</t>
        </is>
      </c>
      <c r="C2" s="8" t="inlineStr">
        <is>
          <t>1 bottle cap for a mystery cup.</t>
        </is>
      </c>
      <c r="D2" s="8" t="inlineStr">
        <is>
          <t>Reusable</t>
        </is>
      </c>
      <c r="E2" s="9">
        <f>ROUND(MAX(N('Data by week'!$I$141)*'Data by week'!$H$141,N('Data by week'!$J$141)*'Data by week'!$H$141,N('Data by week'!$K$141)*'Data by week'!$H$141,N('Data by week'!$L$141)*'Data by week'!$H$141,N('Data by week'!$M$141)*'Data by week'!$H$141,N('Data by week'!$N$141)*'Data by week'!$H$141,N('Data by week'!$O$141)*'Data by week'!$H$141,N('Data by week'!$P$141)*'Data by week'!$H$141,N('Data by week'!$Q$141)*'Data by week'!$H$141,N('Data by week'!$R$141)*'Data by week'!$H$141),2)</f>
        <v/>
      </c>
      <c r="F2" s="9">
        <f>ROUND(MAX(N('Data by week'!$S$141)*'Data by week'!$H$141,N('Data by week'!$T$141)*'Data by week'!$H$141,N('Data by week'!$U$141)*'Data by week'!$H$141,N('Data by week'!$V$141)*'Data by week'!$H$141,N('Data by week'!$W$141)*'Data by week'!$H$141,N('Data by week'!$X$141)*'Data by week'!$H$141,N('Data by week'!$Y$141)*'Data by week'!$H$141,N('Data by week'!$Z$141)*'Data by week'!$H$141,N('Data by week'!$AA$141)*'Data by week'!$H$141,N('Data by week'!$AB$141)*'Data by week'!$H$141),2)</f>
        <v/>
      </c>
      <c r="G2" s="9">
        <f>ROUND(MAX(N('Data by week'!$AC$141)*'Data by week'!$H$141,N('Data by week'!$AD$141)*'Data by week'!$H$141,N('Data by week'!$AE$141)*'Data by week'!$H$141,N('Data by week'!$AF$141)*'Data by week'!$H$141,N('Data by week'!$AG$141)*'Data by week'!$H$141,N('Data by week'!$AH$141)*'Data by week'!$H$141,N('Data by week'!$AI$141)*'Data by week'!$H$141,N('Data by week'!$AJ$141)*'Data by week'!$H$141,N('Data by week'!$AK$141)*'Data by week'!$H$141,N('Data by week'!$AL$141)*'Data by week'!$H$141),2)</f>
        <v/>
      </c>
      <c r="H2" s="10">
        <f>MAX(E2:G2)</f>
        <v/>
      </c>
      <c r="I2" s="8" t="inlineStr">
        <is>
          <t>caps</t>
        </is>
      </c>
      <c r="J2" s="8" t="inlineStr">
        <is>
          <t>Week 2</t>
        </is>
      </c>
      <c r="K2" s="8" t="inlineStr">
        <is>
          <t>Year 7: W2</t>
        </is>
      </c>
      <c r="L2" s="8" t="inlineStr">
        <is>
          <t>Both plans</t>
        </is>
      </c>
      <c r="M2" s="8" t="inlineStr">
        <is>
          <t>Small objects: cups stay taped shut; never put small objects in your mouth.</t>
        </is>
      </c>
    </row>
    <row r="3">
      <c r="A3" s="8" t="inlineStr">
        <is>
          <t>Coin</t>
        </is>
      </c>
      <c r="B3" s="8" t="inlineStr">
        <is>
          <t>硬币</t>
        </is>
      </c>
      <c r="C3" s="8" t="inlineStr">
        <is>
          <t>1 coin for a mystery cup.</t>
        </is>
      </c>
      <c r="D3" s="8" t="inlineStr">
        <is>
          <t>Reusable</t>
        </is>
      </c>
      <c r="E3" s="9">
        <f>ROUND(MAX(N('Data by week'!$I$142)*'Data by week'!$H$142,N('Data by week'!$J$142)*'Data by week'!$H$142,N('Data by week'!$K$142)*'Data by week'!$H$142,N('Data by week'!$L$142)*'Data by week'!$H$142,N('Data by week'!$M$142)*'Data by week'!$H$142,N('Data by week'!$N$142)*'Data by week'!$H$142,N('Data by week'!$O$142)*'Data by week'!$H$142,N('Data by week'!$P$142)*'Data by week'!$H$142,N('Data by week'!$Q$142)*'Data by week'!$H$142,N('Data by week'!$R$142)*'Data by week'!$H$142),2)</f>
        <v/>
      </c>
      <c r="F3" s="9">
        <f>ROUND(MAX(N('Data by week'!$S$142)*'Data by week'!$H$142,N('Data by week'!$T$142)*'Data by week'!$H$142,N('Data by week'!$U$142)*'Data by week'!$H$142,N('Data by week'!$V$142)*'Data by week'!$H$142,N('Data by week'!$W$142)*'Data by week'!$H$142,N('Data by week'!$X$142)*'Data by week'!$H$142,N('Data by week'!$Y$142)*'Data by week'!$H$142,N('Data by week'!$Z$142)*'Data by week'!$H$142,N('Data by week'!$AA$142)*'Data by week'!$H$142,N('Data by week'!$AB$142)*'Data by week'!$H$142),2)</f>
        <v/>
      </c>
      <c r="G3" s="9">
        <f>ROUND(MAX(N('Data by week'!$AC$142)*'Data by week'!$H$142,N('Data by week'!$AD$142)*'Data by week'!$H$142,N('Data by week'!$AE$142)*'Data by week'!$H$142,N('Data by week'!$AF$142)*'Data by week'!$H$142,N('Data by week'!$AG$142)*'Data by week'!$H$142,N('Data by week'!$AH$142)*'Data by week'!$H$142,N('Data by week'!$AI$142)*'Data by week'!$H$142,N('Data by week'!$AJ$142)*'Data by week'!$H$142,N('Data by week'!$AK$142)*'Data by week'!$H$142,N('Data by week'!$AL$142)*'Data by week'!$H$142),2)</f>
        <v/>
      </c>
      <c r="H3" s="10">
        <f>MAX(E3:G3)</f>
        <v/>
      </c>
      <c r="I3" s="8" t="inlineStr">
        <is>
          <t>coins</t>
        </is>
      </c>
      <c r="J3" s="8" t="inlineStr">
        <is>
          <t>Week 2</t>
        </is>
      </c>
      <c r="K3" s="8" t="inlineStr">
        <is>
          <t>Year 7: W2</t>
        </is>
      </c>
      <c r="L3" s="8" t="inlineStr">
        <is>
          <t>Both plans</t>
        </is>
      </c>
      <c r="M3" s="8" t="inlineStr">
        <is>
          <t>Small objects: cups stay taped shut; never put small objects in your mouth.</t>
        </is>
      </c>
    </row>
    <row r="4">
      <c r="A4" s="8" t="inlineStr">
        <is>
          <t>Dice</t>
        </is>
      </c>
      <c r="B4" s="8" t="inlineStr">
        <is>
          <t>骰子</t>
        </is>
      </c>
      <c r="C4" s="8" t="inlineStr">
        <is>
          <t>1 die for a mystery cup.</t>
        </is>
      </c>
      <c r="D4" s="8" t="inlineStr">
        <is>
          <t>Reusable</t>
        </is>
      </c>
      <c r="E4" s="9">
        <f>ROUND(MAX(N('Data by week'!$I$143)*'Data by week'!$H$143,N('Data by week'!$J$143)*'Data by week'!$H$143,N('Data by week'!$K$143)*'Data by week'!$H$143,N('Data by week'!$L$143)*'Data by week'!$H$143,N('Data by week'!$M$143)*'Data by week'!$H$143,N('Data by week'!$N$143)*'Data by week'!$H$143,N('Data by week'!$O$143)*'Data by week'!$H$143,N('Data by week'!$P$143)*'Data by week'!$H$143,N('Data by week'!$Q$143)*'Data by week'!$H$143,N('Data by week'!$R$143)*'Data by week'!$H$143),2)</f>
        <v/>
      </c>
      <c r="F4" s="9">
        <f>ROUND(MAX(N('Data by week'!$S$143)*'Data by week'!$H$143,N('Data by week'!$T$143)*'Data by week'!$H$143,N('Data by week'!$U$143)*'Data by week'!$H$143,N('Data by week'!$V$143)*'Data by week'!$H$143,N('Data by week'!$W$143)*'Data by week'!$H$143,N('Data by week'!$X$143)*'Data by week'!$H$143,N('Data by week'!$Y$143)*'Data by week'!$H$143,N('Data by week'!$Z$143)*'Data by week'!$H$143,N('Data by week'!$AA$143)*'Data by week'!$H$143,N('Data by week'!$AB$143)*'Data by week'!$H$143),2)</f>
        <v/>
      </c>
      <c r="G4" s="9">
        <f>ROUND(MAX(N('Data by week'!$AC$143)*'Data by week'!$H$143,N('Data by week'!$AD$143)*'Data by week'!$H$143,N('Data by week'!$AE$143)*'Data by week'!$H$143,N('Data by week'!$AF$143)*'Data by week'!$H$143,N('Data by week'!$AG$143)*'Data by week'!$H$143,N('Data by week'!$AH$143)*'Data by week'!$H$143,N('Data by week'!$AI$143)*'Data by week'!$H$143,N('Data by week'!$AJ$143)*'Data by week'!$H$143,N('Data by week'!$AK$143)*'Data by week'!$H$143,N('Data by week'!$AL$143)*'Data by week'!$H$143),2)</f>
        <v/>
      </c>
      <c r="H4" s="10">
        <f>MAX(E4:G4)</f>
        <v/>
      </c>
      <c r="I4" s="8" t="inlineStr">
        <is>
          <t>dice</t>
        </is>
      </c>
      <c r="J4" s="8" t="inlineStr">
        <is>
          <t>Week 2</t>
        </is>
      </c>
      <c r="K4" s="8" t="inlineStr">
        <is>
          <t>Year 7: W2</t>
        </is>
      </c>
      <c r="L4" s="8" t="inlineStr">
        <is>
          <t>Both plans</t>
        </is>
      </c>
      <c r="M4" s="8" t="inlineStr">
        <is>
          <t>Small objects: cups stay taped shut; never put small objects in your mouth.</t>
        </is>
      </c>
    </row>
    <row r="5">
      <c r="A5" s="8" t="inlineStr">
        <is>
          <t>Eraser</t>
        </is>
      </c>
      <c r="B5" s="8" t="inlineStr">
        <is>
          <t>橡皮</t>
        </is>
      </c>
      <c r="C5" s="8" t="inlineStr">
        <is>
          <t>1 eraser for a mystery cup.</t>
        </is>
      </c>
      <c r="D5" s="8" t="inlineStr">
        <is>
          <t>Reusable</t>
        </is>
      </c>
      <c r="E5" s="9">
        <f>ROUND(MAX(N('Data by week'!$I$144)*'Data by week'!$H$144,N('Data by week'!$J$144)*'Data by week'!$H$144,N('Data by week'!$K$144)*'Data by week'!$H$144,N('Data by week'!$L$144)*'Data by week'!$H$144,N('Data by week'!$M$144)*'Data by week'!$H$144,N('Data by week'!$N$144)*'Data by week'!$H$144,N('Data by week'!$O$144)*'Data by week'!$H$144,N('Data by week'!$P$144)*'Data by week'!$H$144,N('Data by week'!$Q$144)*'Data by week'!$H$144,N('Data by week'!$R$144)*'Data by week'!$H$144),2)</f>
        <v/>
      </c>
      <c r="F5" s="9">
        <f>ROUND(MAX(N('Data by week'!$S$144)*'Data by week'!$H$144,N('Data by week'!$T$144)*'Data by week'!$H$144,N('Data by week'!$U$144)*'Data by week'!$H$144,N('Data by week'!$V$144)*'Data by week'!$H$144,N('Data by week'!$W$144)*'Data by week'!$H$144,N('Data by week'!$X$144)*'Data by week'!$H$144,N('Data by week'!$Y$144)*'Data by week'!$H$144,N('Data by week'!$Z$144)*'Data by week'!$H$144,N('Data by week'!$AA$144)*'Data by week'!$H$144,N('Data by week'!$AB$144)*'Data by week'!$H$144),2)</f>
        <v/>
      </c>
      <c r="G5" s="9">
        <f>ROUND(MAX(N('Data by week'!$AC$144)*'Data by week'!$H$144,N('Data by week'!$AD$144)*'Data by week'!$H$144,N('Data by week'!$AE$144)*'Data by week'!$H$144,N('Data by week'!$AF$144)*'Data by week'!$H$144,N('Data by week'!$AG$144)*'Data by week'!$H$144,N('Data by week'!$AH$144)*'Data by week'!$H$144,N('Data by week'!$AI$144)*'Data by week'!$H$144,N('Data by week'!$AJ$144)*'Data by week'!$H$144,N('Data by week'!$AK$144)*'Data by week'!$H$144,N('Data by week'!$AL$144)*'Data by week'!$H$144),2)</f>
        <v/>
      </c>
      <c r="H5" s="10">
        <f>MAX(E5:G5)</f>
        <v/>
      </c>
      <c r="I5" s="8" t="inlineStr">
        <is>
          <t>erasers</t>
        </is>
      </c>
      <c r="J5" s="8" t="inlineStr">
        <is>
          <t>Week 2</t>
        </is>
      </c>
      <c r="K5" s="8" t="inlineStr">
        <is>
          <t>Year 7: W2</t>
        </is>
      </c>
      <c r="L5" s="8" t="inlineStr">
        <is>
          <t>Both plans</t>
        </is>
      </c>
      <c r="M5" s="8" t="inlineStr">
        <is>
          <t>Small objects: cups stay taped shut.</t>
        </is>
      </c>
    </row>
    <row r="6">
      <c r="A6" s="8" t="inlineStr">
        <is>
          <t>Hardback books, flat cover, about A4</t>
        </is>
      </c>
      <c r="B6" s="8" t="inlineStr">
        <is>
          <t>精装书（硬封面，约A4）</t>
        </is>
      </c>
      <c r="C6" s="8" t="inlineStr">
        <is>
          <t>Any hardback with a flat cover; the Y7 demo book needs a cover larger than an A4 sheet.</t>
        </is>
      </c>
      <c r="D6" s="8" t="inlineStr">
        <is>
          <t>Reusable</t>
        </is>
      </c>
      <c r="E6" s="9">
        <f>ROUND(MAX(N('Data by week'!$I$145)*'Data by week'!$H$145,N('Data by week'!$J$145)*'Data by week'!$H$145,N('Data by week'!$K$145)*'Data by week'!$H$145,N('Data by week'!$L$145)*'Data by week'!$H$145,N('Data by week'!$M$145)*'Data by week'!$H$145,N('Data by week'!$N$145)*'Data by week'!$H$145,N('Data by week'!$O$145)*'Data by week'!$H$145,N('Data by week'!$P$145)*'Data by week'!$H$145,N('Data by week'!$Q$145)*'Data by week'!$H$145,N('Data by week'!$R$145)*'Data by week'!$H$145),2)</f>
        <v/>
      </c>
      <c r="F6" s="9">
        <f>ROUND(MAX(N('Data by week'!$S$145)*'Data by week'!$H$145,N('Data by week'!$T$145)*'Data by week'!$H$145,N('Data by week'!$U$145)*'Data by week'!$H$145,N('Data by week'!$V$145)*'Data by week'!$H$145,N('Data by week'!$W$145)*'Data by week'!$H$145,N('Data by week'!$X$145)*'Data by week'!$H$145,N('Data by week'!$Y$145)*'Data by week'!$H$145,N('Data by week'!$Z$145)*'Data by week'!$H$145,N('Data by week'!$AA$145)*'Data by week'!$H$145,N('Data by week'!$AB$145)*'Data by week'!$H$145),2)</f>
        <v/>
      </c>
      <c r="G6" s="9">
        <f>ROUND(MAX(N('Data by week'!$AC$145)*'Data by week'!$H$145,N('Data by week'!$AD$145)*'Data by week'!$H$145,N('Data by week'!$AE$145)*'Data by week'!$H$145,N('Data by week'!$AF$145)*'Data by week'!$H$145,N('Data by week'!$AG$145)*'Data by week'!$H$145,N('Data by week'!$AH$145)*'Data by week'!$H$145,N('Data by week'!$AI$145)*'Data by week'!$H$145,N('Data by week'!$AJ$145)*'Data by week'!$H$145,N('Data by week'!$AK$145)*'Data by week'!$H$145,N('Data by week'!$AL$145)*'Data by week'!$H$145),2)</f>
        <v/>
      </c>
      <c r="H6" s="10">
        <f>MAX(E6:G6)</f>
        <v/>
      </c>
      <c r="I6" s="8" t="inlineStr">
        <is>
          <t>books</t>
        </is>
      </c>
      <c r="J6" s="8" t="inlineStr">
        <is>
          <t>Week 2</t>
        </is>
      </c>
      <c r="K6" s="8" t="inlineStr">
        <is>
          <t>Year 7: W2; Year 8: W6; Year 9: W4, W8</t>
        </is>
      </c>
      <c r="L6" s="8" t="inlineStr">
        <is>
          <t>Both plans</t>
        </is>
      </c>
      <c r="M6" s="8" t="inlineStr">
        <is>
          <t>Only the teacher drops the book, from about 1 m, onto a table or the floor; keep feet and hands clear.</t>
        </is>
      </c>
    </row>
    <row r="7">
      <c r="A7" s="8" t="inlineStr">
        <is>
          <t>Marbles</t>
        </is>
      </c>
      <c r="B7" s="8" t="inlineStr">
        <is>
          <t>玻璃弹珠</t>
        </is>
      </c>
      <c r="C7" s="8" t="inlineStr">
        <is>
          <t>3 marbles for the mystery cups.</t>
        </is>
      </c>
      <c r="D7" s="8" t="inlineStr">
        <is>
          <t>Reusable</t>
        </is>
      </c>
      <c r="E7" s="9">
        <f>ROUND(MAX(N('Data by week'!$I$146)*'Data by week'!$H$146,N('Data by week'!$J$146)*'Data by week'!$H$146,N('Data by week'!$K$146)*'Data by week'!$H$146,N('Data by week'!$L$146)*'Data by week'!$H$146,N('Data by week'!$M$146)*'Data by week'!$H$146,N('Data by week'!$N$146)*'Data by week'!$H$146,N('Data by week'!$O$146)*'Data by week'!$H$146,N('Data by week'!$P$146)*'Data by week'!$H$146,N('Data by week'!$Q$146)*'Data by week'!$H$146,N('Data by week'!$R$146)*'Data by week'!$H$146),2)</f>
        <v/>
      </c>
      <c r="F7" s="9">
        <f>ROUND(MAX(N('Data by week'!$S$146)*'Data by week'!$H$146,N('Data by week'!$T$146)*'Data by week'!$H$146,N('Data by week'!$U$146)*'Data by week'!$H$146,N('Data by week'!$V$146)*'Data by week'!$H$146,N('Data by week'!$W$146)*'Data by week'!$H$146,N('Data by week'!$X$146)*'Data by week'!$H$146,N('Data by week'!$Y$146)*'Data by week'!$H$146,N('Data by week'!$Z$146)*'Data by week'!$H$146,N('Data by week'!$AA$146)*'Data by week'!$H$146,N('Data by week'!$AB$146)*'Data by week'!$H$146),2)</f>
        <v/>
      </c>
      <c r="G7" s="9">
        <f>ROUND(MAX(N('Data by week'!$AC$146)*'Data by week'!$H$146,N('Data by week'!$AD$146)*'Data by week'!$H$146,N('Data by week'!$AE$146)*'Data by week'!$H$146,N('Data by week'!$AF$146)*'Data by week'!$H$146,N('Data by week'!$AG$146)*'Data by week'!$H$146,N('Data by week'!$AH$146)*'Data by week'!$H$146,N('Data by week'!$AI$146)*'Data by week'!$H$146,N('Data by week'!$AJ$146)*'Data by week'!$H$146,N('Data by week'!$AK$146)*'Data by week'!$H$146,N('Data by week'!$AL$146)*'Data by week'!$H$146),2)</f>
        <v/>
      </c>
      <c r="H7" s="10">
        <f>MAX(E7:G7)</f>
        <v/>
      </c>
      <c r="I7" s="8" t="inlineStr">
        <is>
          <t>marbles</t>
        </is>
      </c>
      <c r="J7" s="8" t="inlineStr">
        <is>
          <t>Week 2</t>
        </is>
      </c>
      <c r="K7" s="8" t="inlineStr">
        <is>
          <t>Year 7: W2</t>
        </is>
      </c>
      <c r="L7" s="8" t="inlineStr">
        <is>
          <t>Both plans</t>
        </is>
      </c>
      <c r="M7" s="8" t="inlineStr">
        <is>
          <t>Small objects: cups stay taped shut; never put small objects in your mouth.</t>
        </is>
      </c>
    </row>
    <row r="8">
      <c r="A8" s="8" t="inlineStr">
        <is>
          <t>Scrap paper, A4 (used or spare)</t>
        </is>
      </c>
      <c r="B8" s="8" t="inlineStr">
        <is>
          <t>废纸（A4，旧纸即可）</t>
        </is>
      </c>
      <c r="C8" s="8" t="inlineStr">
        <is>
          <t>Any used or spare A4 paper, for shading graphite patches (Y8 fingerprints).</t>
        </is>
      </c>
      <c r="D8" s="8" t="inlineStr">
        <is>
          <t>Used up</t>
        </is>
      </c>
      <c r="E8" s="9">
        <f>ROUND('Data by week'!$AW$147*'Data by week'!$H$147,2)</f>
        <v/>
      </c>
      <c r="F8" s="9">
        <f>ROUND('Data by week'!$AX$147*'Data by week'!$H$147,2)</f>
        <v/>
      </c>
      <c r="G8" s="9">
        <f>ROUND('Data by week'!$AY$147*'Data by week'!$H$147,2)</f>
        <v/>
      </c>
      <c r="H8" s="10">
        <f>ROUNDUP(E8*'Read me'!$C$5+F8*'Read me'!$C$6+G8*'Read me'!$C$7,0)</f>
        <v/>
      </c>
      <c r="I8" s="8" t="inlineStr">
        <is>
          <t>sheets</t>
        </is>
      </c>
      <c r="J8" s="8" t="inlineStr">
        <is>
          <t>Week 2</t>
        </is>
      </c>
      <c r="K8" s="8" t="inlineStr">
        <is>
          <t>Year 8: W2</t>
        </is>
      </c>
      <c r="L8" s="8" t="inlineStr">
        <is>
          <t>Both plans</t>
        </is>
      </c>
      <c r="M8" s="8" t="inlineStr"/>
    </row>
    <row r="9">
      <c r="A9" s="8" t="inlineStr">
        <is>
          <t>Small bell (mystery cup object)</t>
        </is>
      </c>
      <c r="B9" s="8" t="inlineStr">
        <is>
          <t>小铃铛</t>
        </is>
      </c>
      <c r="C9" s="8" t="inlineStr">
        <is>
          <t>Small enough to seal inside a paper cup.</t>
        </is>
      </c>
      <c r="D9" s="8" t="inlineStr">
        <is>
          <t>Reusable</t>
        </is>
      </c>
      <c r="E9" s="9">
        <f>ROUND(MAX(N('Data by week'!$I$148)*'Data by week'!$H$148,N('Data by week'!$J$148)*'Data by week'!$H$148,N('Data by week'!$K$148)*'Data by week'!$H$148,N('Data by week'!$L$148)*'Data by week'!$H$148,N('Data by week'!$M$148)*'Data by week'!$H$148,N('Data by week'!$N$148)*'Data by week'!$H$148,N('Data by week'!$O$148)*'Data by week'!$H$148,N('Data by week'!$P$148)*'Data by week'!$H$148,N('Data by week'!$Q$148)*'Data by week'!$H$148,N('Data by week'!$R$148)*'Data by week'!$H$148),2)</f>
        <v/>
      </c>
      <c r="F9" s="9">
        <f>ROUND(MAX(N('Data by week'!$S$148)*'Data by week'!$H$148,N('Data by week'!$T$148)*'Data by week'!$H$148,N('Data by week'!$U$148)*'Data by week'!$H$148,N('Data by week'!$V$148)*'Data by week'!$H$148,N('Data by week'!$W$148)*'Data by week'!$H$148,N('Data by week'!$X$148)*'Data by week'!$H$148,N('Data by week'!$Y$148)*'Data by week'!$H$148,N('Data by week'!$Z$148)*'Data by week'!$H$148,N('Data by week'!$AA$148)*'Data by week'!$H$148,N('Data by week'!$AB$148)*'Data by week'!$H$148),2)</f>
        <v/>
      </c>
      <c r="G9" s="9">
        <f>ROUND(MAX(N('Data by week'!$AC$148)*'Data by week'!$H$148,N('Data by week'!$AD$148)*'Data by week'!$H$148,N('Data by week'!$AE$148)*'Data by week'!$H$148,N('Data by week'!$AF$148)*'Data by week'!$H$148,N('Data by week'!$AG$148)*'Data by week'!$H$148,N('Data by week'!$AH$148)*'Data by week'!$H$148,N('Data by week'!$AI$148)*'Data by week'!$H$148,N('Data by week'!$AJ$148)*'Data by week'!$H$148,N('Data by week'!$AK$148)*'Data by week'!$H$148,N('Data by week'!$AL$148)*'Data by week'!$H$148),2)</f>
        <v/>
      </c>
      <c r="H9" s="10">
        <f>MAX(E9:G9)</f>
        <v/>
      </c>
      <c r="I9" s="8" t="inlineStr">
        <is>
          <t>bells</t>
        </is>
      </c>
      <c r="J9" s="8" t="inlineStr">
        <is>
          <t>Week 2</t>
        </is>
      </c>
      <c r="K9" s="8" t="inlineStr">
        <is>
          <t>Year 7: W2</t>
        </is>
      </c>
      <c r="L9" s="8" t="inlineStr">
        <is>
          <t>Both plans</t>
        </is>
      </c>
      <c r="M9" s="8" t="inlineStr">
        <is>
          <t>Small objects: cups stay taped shut; never put small objects in your mouth.</t>
        </is>
      </c>
    </row>
    <row r="10">
      <c r="A10" s="8" t="inlineStr">
        <is>
          <t>Small wooden block (mystery cup object)</t>
        </is>
      </c>
      <c r="B10" s="8" t="inlineStr">
        <is>
          <t>小木块</t>
        </is>
      </c>
      <c r="C10" s="8" t="inlineStr">
        <is>
          <t>Small enough to seal inside a paper cup.</t>
        </is>
      </c>
      <c r="D10" s="8" t="inlineStr">
        <is>
          <t>Reusable</t>
        </is>
      </c>
      <c r="E10" s="9">
        <f>ROUND(MAX(N('Data by week'!$I$149)*'Data by week'!$H$149,N('Data by week'!$J$149)*'Data by week'!$H$149,N('Data by week'!$K$149)*'Data by week'!$H$149,N('Data by week'!$L$149)*'Data by week'!$H$149,N('Data by week'!$M$149)*'Data by week'!$H$149,N('Data by week'!$N$149)*'Data by week'!$H$149,N('Data by week'!$O$149)*'Data by week'!$H$149,N('Data by week'!$P$149)*'Data by week'!$H$149,N('Data by week'!$Q$149)*'Data by week'!$H$149,N('Data by week'!$R$149)*'Data by week'!$H$149),2)</f>
        <v/>
      </c>
      <c r="F10" s="9">
        <f>ROUND(MAX(N('Data by week'!$S$149)*'Data by week'!$H$149,N('Data by week'!$T$149)*'Data by week'!$H$149,N('Data by week'!$U$149)*'Data by week'!$H$149,N('Data by week'!$V$149)*'Data by week'!$H$149,N('Data by week'!$W$149)*'Data by week'!$H$149,N('Data by week'!$X$149)*'Data by week'!$H$149,N('Data by week'!$Y$149)*'Data by week'!$H$149,N('Data by week'!$Z$149)*'Data by week'!$H$149,N('Data by week'!$AA$149)*'Data by week'!$H$149,N('Data by week'!$AB$149)*'Data by week'!$H$149),2)</f>
        <v/>
      </c>
      <c r="G10" s="9">
        <f>ROUND(MAX(N('Data by week'!$AC$149)*'Data by week'!$H$149,N('Data by week'!$AD$149)*'Data by week'!$H$149,N('Data by week'!$AE$149)*'Data by week'!$H$149,N('Data by week'!$AF$149)*'Data by week'!$H$149,N('Data by week'!$AG$149)*'Data by week'!$H$149,N('Data by week'!$AH$149)*'Data by week'!$H$149,N('Data by week'!$AI$149)*'Data by week'!$H$149,N('Data by week'!$AJ$149)*'Data by week'!$H$149,N('Data by week'!$AK$149)*'Data by week'!$H$149,N('Data by week'!$AL$149)*'Data by week'!$H$149),2)</f>
        <v/>
      </c>
      <c r="H10" s="10">
        <f>MAX(E10:G10)</f>
        <v/>
      </c>
      <c r="I10" s="8" t="inlineStr">
        <is>
          <t>blocks</t>
        </is>
      </c>
      <c r="J10" s="8" t="inlineStr">
        <is>
          <t>Week 2</t>
        </is>
      </c>
      <c r="K10" s="8" t="inlineStr">
        <is>
          <t>Year 7: W2</t>
        </is>
      </c>
      <c r="L10" s="8" t="inlineStr">
        <is>
          <t>Both plans</t>
        </is>
      </c>
      <c r="M10" s="8" t="inlineStr">
        <is>
          <t>Small objects: cups stay taped shut.</t>
        </is>
      </c>
    </row>
    <row r="11">
      <c r="A11" s="8" t="inlineStr">
        <is>
          <t>Phone, tablet or camera (teacher's own)</t>
        </is>
      </c>
      <c r="B11" s="8" t="inlineStr">
        <is>
          <t>手机、平板电脑或相机（教师自备）</t>
        </is>
      </c>
      <c r="C11" s="8" t="inlineStr">
        <is>
          <t>Teacher's own device, charged; photographs data and plays music.</t>
        </is>
      </c>
      <c r="D11" s="8" t="inlineStr">
        <is>
          <t>Reusable</t>
        </is>
      </c>
      <c r="E11" s="9">
        <f>ROUND(MAX(N('Data by week'!$I$150)*'Data by week'!$H$150,N('Data by week'!$J$150)*'Data by week'!$H$150,N('Data by week'!$K$150)*'Data by week'!$H$150,N('Data by week'!$L$150)*'Data by week'!$H$150,N('Data by week'!$M$150)*'Data by week'!$H$150,N('Data by week'!$N$150)*'Data by week'!$H$150,N('Data by week'!$O$150)*'Data by week'!$H$150,N('Data by week'!$P$150)*'Data by week'!$H$150,N('Data by week'!$Q$150)*'Data by week'!$H$150,N('Data by week'!$R$150)*'Data by week'!$H$150),2)</f>
        <v/>
      </c>
      <c r="F11" s="9">
        <f>ROUND(MAX(N('Data by week'!$S$150)*'Data by week'!$H$150,N('Data by week'!$T$150)*'Data by week'!$H$150,N('Data by week'!$U$150)*'Data by week'!$H$150,N('Data by week'!$V$150)*'Data by week'!$H$150,N('Data by week'!$W$150)*'Data by week'!$H$150,N('Data by week'!$X$150)*'Data by week'!$H$150,N('Data by week'!$Y$150)*'Data by week'!$H$150,N('Data by week'!$Z$150)*'Data by week'!$H$150,N('Data by week'!$AA$150)*'Data by week'!$H$150,N('Data by week'!$AB$150)*'Data by week'!$H$150),2)</f>
        <v/>
      </c>
      <c r="G11" s="9">
        <f>ROUND(MAX(N('Data by week'!$AC$150)*'Data by week'!$H$150,N('Data by week'!$AD$150)*'Data by week'!$H$150,N('Data by week'!$AE$150)*'Data by week'!$H$150,N('Data by week'!$AF$150)*'Data by week'!$H$150,N('Data by week'!$AG$150)*'Data by week'!$H$150,N('Data by week'!$AH$150)*'Data by week'!$H$150,N('Data by week'!$AI$150)*'Data by week'!$H$150,N('Data by week'!$AJ$150)*'Data by week'!$H$150,N('Data by week'!$AK$150)*'Data by week'!$H$150,N('Data by week'!$AL$150)*'Data by week'!$H$150),2)</f>
        <v/>
      </c>
      <c r="H11" s="10">
        <f>MAX(E11:G11)</f>
        <v/>
      </c>
      <c r="I11" s="8" t="inlineStr">
        <is>
          <t>device</t>
        </is>
      </c>
      <c r="J11" s="8" t="inlineStr">
        <is>
          <t>Week 4</t>
        </is>
      </c>
      <c r="K11" s="8" t="inlineStr">
        <is>
          <t>Year 9: W4, W8, W10</t>
        </is>
      </c>
      <c r="L11" s="8" t="inlineStr">
        <is>
          <t>Both plans</t>
        </is>
      </c>
      <c r="M11" s="8" t="inlineStr"/>
    </row>
    <row r="12">
      <c r="A12" s="8" t="inlineStr">
        <is>
          <t>Plastic bottles, 500 ml, identical, clean</t>
        </is>
      </c>
      <c r="B12" s="8" t="inlineStr">
        <is>
          <t>塑料瓶（500毫升，同款，洗净）</t>
        </is>
      </c>
      <c r="C12" s="8" t="inlineStr">
        <is>
          <t>Identical 500 ml plastic bottles, rinsed clean; one holds the Y8 cabbage indicator, labelled 'do not drink'.</t>
        </is>
      </c>
      <c r="D12" s="8" t="inlineStr">
        <is>
          <t>Reusable</t>
        </is>
      </c>
      <c r="E12" s="9">
        <f>ROUND(MAX(N('Data by week'!$I$151)*'Data by week'!$H$151,N('Data by week'!$J$151)*'Data by week'!$H$151,N('Data by week'!$K$151)*'Data by week'!$H$151,N('Data by week'!$L$151)*'Data by week'!$H$151,N('Data by week'!$M$151)*'Data by week'!$H$151,N('Data by week'!$N$151)*'Data by week'!$H$151,N('Data by week'!$O$151)*'Data by week'!$H$151,N('Data by week'!$P$151)*'Data by week'!$H$151,N('Data by week'!$Q$151)*'Data by week'!$H$151,N('Data by week'!$R$151)*'Data by week'!$H$151),2)</f>
        <v/>
      </c>
      <c r="F12" s="9">
        <f>ROUND(MAX(N('Data by week'!$S$151)*'Data by week'!$H$151,N('Data by week'!$T$151)*'Data by week'!$H$151,N('Data by week'!$U$151)*'Data by week'!$H$151,N('Data by week'!$V$151)*'Data by week'!$H$151,N('Data by week'!$W$151)*'Data by week'!$H$151,N('Data by week'!$X$151)*'Data by week'!$H$151,N('Data by week'!$Y$151)*'Data by week'!$H$151,N('Data by week'!$Z$151)*'Data by week'!$H$151,N('Data by week'!$AA$151)*'Data by week'!$H$151,N('Data by week'!$AB$151)*'Data by week'!$H$151),2)</f>
        <v/>
      </c>
      <c r="G12" s="9">
        <f>ROUND(MAX(N('Data by week'!$AC$151)*'Data by week'!$H$151,N('Data by week'!$AD$151)*'Data by week'!$H$151,N('Data by week'!$AE$151)*'Data by week'!$H$151,N('Data by week'!$AF$151)*'Data by week'!$H$151,N('Data by week'!$AG$151)*'Data by week'!$H$151,N('Data by week'!$AH$151)*'Data by week'!$H$151,N('Data by week'!$AI$151)*'Data by week'!$H$151,N('Data by week'!$AJ$151)*'Data by week'!$H$151,N('Data by week'!$AK$151)*'Data by week'!$H$151,N('Data by week'!$AL$151)*'Data by week'!$H$151),2)</f>
        <v/>
      </c>
      <c r="H12" s="10">
        <f>MAX(E12:G12)</f>
        <v/>
      </c>
      <c r="I12" s="8" t="inlineStr">
        <is>
          <t>bottles</t>
        </is>
      </c>
      <c r="J12" s="8" t="inlineStr">
        <is>
          <t>Week 5</t>
        </is>
      </c>
      <c r="K12" s="8" t="inlineStr">
        <is>
          <t>Year 8: W5; Year 9: W8</t>
        </is>
      </c>
      <c r="L12" s="8" t="inlineStr">
        <is>
          <t>Both plans</t>
        </is>
      </c>
      <c r="M12" s="8" t="inlineStr">
        <is>
          <t>Label clearly: do not drink. Only the teacher pours warm water. Bottles stay on the tray</t>
        </is>
      </c>
    </row>
    <row r="13">
      <c r="A13" s="8" t="inlineStr">
        <is>
          <t>Small carrier bags or freezer bags with handles</t>
        </is>
      </c>
      <c r="B13" s="8" t="inlineStr">
        <is>
          <t>带提手的小塑料袋或冷冻袋</t>
        </is>
      </c>
      <c r="C13" s="8" t="inlineStr">
        <is>
          <t>Must have handles and must not leak (hold water on the strength rig).</t>
        </is>
      </c>
      <c r="D13" s="8" t="inlineStr">
        <is>
          <t>Used up</t>
        </is>
      </c>
      <c r="E13" s="9">
        <f>ROUND('Data by week'!$AW$152*'Data by week'!$H$152,2)</f>
        <v/>
      </c>
      <c r="F13" s="9">
        <f>ROUND('Data by week'!$AX$152*'Data by week'!$H$152,2)</f>
        <v/>
      </c>
      <c r="G13" s="9">
        <f>ROUND('Data by week'!$AY$152*'Data by week'!$H$152,2)</f>
        <v/>
      </c>
      <c r="H13" s="10">
        <f>ROUNDUP(E13*'Read me'!$C$5+F13*'Read me'!$C$6+G13*'Read me'!$C$7,0)</f>
        <v/>
      </c>
      <c r="I13" s="8" t="inlineStr">
        <is>
          <t>bags</t>
        </is>
      </c>
      <c r="J13" s="8" t="inlineStr">
        <is>
          <t>Week 5</t>
        </is>
      </c>
      <c r="K13" s="8" t="inlineStr">
        <is>
          <t>Year 7: W5, W8</t>
        </is>
      </c>
      <c r="L13" s="8" t="inlineStr">
        <is>
          <t>Both plans</t>
        </is>
      </c>
      <c r="M13" s="8" t="inlineStr"/>
    </row>
    <row r="14">
      <c r="A14" s="8" t="inlineStr">
        <is>
          <t>Textbooks for book stacks</t>
        </is>
      </c>
      <c r="B14" s="8" t="inlineStr">
        <is>
          <t>课本（叠成书堆用）</t>
        </is>
      </c>
      <c r="C14" s="8" t="inlineStr">
        <is>
          <t>Equal-height stacks; students' own books are fine.</t>
        </is>
      </c>
      <c r="D14" s="8" t="inlineStr">
        <is>
          <t>Reusable</t>
        </is>
      </c>
      <c r="E14" s="9">
        <f>ROUND(MAX(N('Data by week'!$I$153)*'Data by week'!$H$153,N('Data by week'!$J$153)*'Data by week'!$H$153,N('Data by week'!$K$153)*'Data by week'!$H$153,N('Data by week'!$L$153)*'Data by week'!$H$153,N('Data by week'!$M$153)*'Data by week'!$H$153,N('Data by week'!$N$153)*'Data by week'!$H$153,N('Data by week'!$O$153)*'Data by week'!$H$153,N('Data by week'!$P$153)*'Data by week'!$H$153,N('Data by week'!$Q$153)*'Data by week'!$H$153,N('Data by week'!$R$153)*'Data by week'!$H$153),2)</f>
        <v/>
      </c>
      <c r="F14" s="9">
        <f>ROUND(MAX(N('Data by week'!$S$153)*'Data by week'!$H$153,N('Data by week'!$T$153)*'Data by week'!$H$153,N('Data by week'!$U$153)*'Data by week'!$H$153,N('Data by week'!$V$153)*'Data by week'!$H$153,N('Data by week'!$W$153)*'Data by week'!$H$153,N('Data by week'!$X$153)*'Data by week'!$H$153,N('Data by week'!$Y$153)*'Data by week'!$H$153,N('Data by week'!$Z$153)*'Data by week'!$H$153,N('Data by week'!$AA$153)*'Data by week'!$H$153,N('Data by week'!$AB$153)*'Data by week'!$H$153),2)</f>
        <v/>
      </c>
      <c r="G14" s="9">
        <f>ROUND(MAX(N('Data by week'!$AC$153)*'Data by week'!$H$153,N('Data by week'!$AD$153)*'Data by week'!$H$153,N('Data by week'!$AE$153)*'Data by week'!$H$153,N('Data by week'!$AF$153)*'Data by week'!$H$153,N('Data by week'!$AG$153)*'Data by week'!$H$153,N('Data by week'!$AH$153)*'Data by week'!$H$153,N('Data by week'!$AI$153)*'Data by week'!$H$153,N('Data by week'!$AJ$153)*'Data by week'!$H$153,N('Data by week'!$AK$153)*'Data by week'!$H$153,N('Data by week'!$AL$153)*'Data by week'!$H$153),2)</f>
        <v/>
      </c>
      <c r="H14" s="10">
        <f>MAX(E14:G14)</f>
        <v/>
      </c>
      <c r="I14" s="8" t="inlineStr">
        <is>
          <t>books</t>
        </is>
      </c>
      <c r="J14" s="8" t="inlineStr">
        <is>
          <t>Week 5</t>
        </is>
      </c>
      <c r="K14" s="8" t="inlineStr">
        <is>
          <t>Year 7: W5, W8</t>
        </is>
      </c>
      <c r="L14" s="8" t="inlineStr">
        <is>
          <t>Both plans</t>
        </is>
      </c>
      <c r="M14" s="8" t="inlineStr"/>
    </row>
    <row r="15">
      <c r="A15" s="8" t="inlineStr">
        <is>
          <t>Wood offcut for the trough template block, 12 x 2 cm</t>
        </is>
      </c>
      <c r="B15" s="8" t="inlineStr">
        <is>
          <t>铝箔槽模具木块（12×2厘米）</t>
        </is>
      </c>
      <c r="C15" s="8" t="inlineStr">
        <is>
          <t>Wood offcut 12 cm long x 2 cm wide used as the template block for folding every foil trough (or a stack of rulers taped together); keep for next year.</t>
        </is>
      </c>
      <c r="D15" s="8" t="inlineStr">
        <is>
          <t>Reusable</t>
        </is>
      </c>
      <c r="E15" s="9">
        <f>ROUND(MAX(N('Data by week'!$I$154)*'Data by week'!$H$154,N('Data by week'!$J$154)*'Data by week'!$H$154,N('Data by week'!$K$154)*'Data by week'!$H$154,N('Data by week'!$L$154)*'Data by week'!$H$154,N('Data by week'!$M$154)*'Data by week'!$H$154,N('Data by week'!$N$154)*'Data by week'!$H$154,N('Data by week'!$O$154)*'Data by week'!$H$154,N('Data by week'!$P$154)*'Data by week'!$H$154,N('Data by week'!$Q$154)*'Data by week'!$H$154,N('Data by week'!$R$154)*'Data by week'!$H$154),2)</f>
        <v/>
      </c>
      <c r="F15" s="9">
        <f>ROUND(MAX(N('Data by week'!$S$154)*'Data by week'!$H$154,N('Data by week'!$T$154)*'Data by week'!$H$154,N('Data by week'!$U$154)*'Data by week'!$H$154,N('Data by week'!$V$154)*'Data by week'!$H$154,N('Data by week'!$W$154)*'Data by week'!$H$154,N('Data by week'!$X$154)*'Data by week'!$H$154,N('Data by week'!$Y$154)*'Data by week'!$H$154,N('Data by week'!$Z$154)*'Data by week'!$H$154,N('Data by week'!$AA$154)*'Data by week'!$H$154,N('Data by week'!$AB$154)*'Data by week'!$H$154),2)</f>
        <v/>
      </c>
      <c r="G15" s="9">
        <f>ROUND(MAX(N('Data by week'!$AC$154)*'Data by week'!$H$154,N('Data by week'!$AD$154)*'Data by week'!$H$154,N('Data by week'!$AE$154)*'Data by week'!$H$154,N('Data by week'!$AF$154)*'Data by week'!$H$154,N('Data by week'!$AG$154)*'Data by week'!$H$154,N('Data by week'!$AH$154)*'Data by week'!$H$154,N('Data by week'!$AI$154)*'Data by week'!$H$154,N('Data by week'!$AJ$154)*'Data by week'!$H$154,N('Data by week'!$AK$154)*'Data by week'!$H$154,N('Data by week'!$AL$154)*'Data by week'!$H$154),2)</f>
        <v/>
      </c>
      <c r="H15" s="10">
        <f>MAX(E15:G15)</f>
        <v/>
      </c>
      <c r="I15" s="8" t="inlineStr">
        <is>
          <t>blocks</t>
        </is>
      </c>
      <c r="J15" s="8" t="inlineStr">
        <is>
          <t>Week 5</t>
        </is>
      </c>
      <c r="K15" s="8" t="inlineStr">
        <is>
          <t>Year 7: W5, W7</t>
        </is>
      </c>
      <c r="L15" s="8" t="inlineStr">
        <is>
          <t>Both plans</t>
        </is>
      </c>
      <c r="M15" s="8" t="inlineStr"/>
    </row>
    <row r="16">
      <c r="A16" s="8" t="inlineStr">
        <is>
          <t>Bubble wrap</t>
        </is>
      </c>
      <c r="B16" s="8" t="inlineStr">
        <is>
          <t>气泡膜</t>
        </is>
      </c>
      <c r="C16" s="8" t="inlineStr">
        <is>
          <t>Bubble wrap pieces (also for wrapping a box if cool boxes are short).</t>
        </is>
      </c>
      <c r="D16" s="8" t="inlineStr">
        <is>
          <t>Reusable</t>
        </is>
      </c>
      <c r="E16" s="9">
        <f>ROUND(MAX(N('Data by week'!$I$155)*'Data by week'!$H$155,N('Data by week'!$J$155)*'Data by week'!$H$155,N('Data by week'!$K$155)*'Data by week'!$H$155,N('Data by week'!$L$155)*'Data by week'!$H$155,N('Data by week'!$M$155)*'Data by week'!$H$155,N('Data by week'!$N$155)*'Data by week'!$H$155,N('Data by week'!$O$155)*'Data by week'!$H$155,N('Data by week'!$P$155)*'Data by week'!$H$155,N('Data by week'!$Q$155)*'Data by week'!$H$155,N('Data by week'!$R$155)*'Data by week'!$H$155),2)</f>
        <v/>
      </c>
      <c r="F16" s="9">
        <f>ROUND(MAX(N('Data by week'!$S$155)*'Data by week'!$H$155,N('Data by week'!$T$155)*'Data by week'!$H$155,N('Data by week'!$U$155)*'Data by week'!$H$155,N('Data by week'!$V$155)*'Data by week'!$H$155,N('Data by week'!$W$155)*'Data by week'!$H$155,N('Data by week'!$X$155)*'Data by week'!$H$155,N('Data by week'!$Y$155)*'Data by week'!$H$155,N('Data by week'!$Z$155)*'Data by week'!$H$155,N('Data by week'!$AA$155)*'Data by week'!$H$155,N('Data by week'!$AB$155)*'Data by week'!$H$155),2)</f>
        <v/>
      </c>
      <c r="G16" s="9">
        <f>ROUND(MAX(N('Data by week'!$AC$155)*'Data by week'!$H$155,N('Data by week'!$AD$155)*'Data by week'!$H$155,N('Data by week'!$AE$155)*'Data by week'!$H$155,N('Data by week'!$AF$155)*'Data by week'!$H$155,N('Data by week'!$AG$155)*'Data by week'!$H$155,N('Data by week'!$AH$155)*'Data by week'!$H$155,N('Data by week'!$AI$155)*'Data by week'!$H$155,N('Data by week'!$AJ$155)*'Data by week'!$H$155,N('Data by week'!$AK$155)*'Data by week'!$H$155,N('Data by week'!$AL$155)*'Data by week'!$H$155),2)</f>
        <v/>
      </c>
      <c r="H16" s="10">
        <f>MAX(E16:G16)</f>
        <v/>
      </c>
      <c r="I16" s="8" t="inlineStr">
        <is>
          <t>pieces</t>
        </is>
      </c>
      <c r="J16" s="8" t="inlineStr">
        <is>
          <t>Week 6</t>
        </is>
      </c>
      <c r="K16" s="8" t="inlineStr">
        <is>
          <t>Year 7: W6</t>
        </is>
      </c>
      <c r="L16" s="8" t="inlineStr">
        <is>
          <t>Both plans</t>
        </is>
      </c>
      <c r="M16" s="8" t="inlineStr"/>
    </row>
    <row r="17">
      <c r="A17" s="8" t="inlineStr">
        <is>
          <t>Fabric scraps, one type, same size</t>
        </is>
      </c>
      <c r="B17" s="8" t="inlineStr">
        <is>
          <t>布料碎片（同种布料、同样大小）</t>
        </is>
      </c>
      <c r="C17" s="8" t="inlineStr">
        <is>
          <t>Plain fabric scraps, all the same type, cut to the same size (Y7 15 x 15 cm squares or 25 x 10 cm strips; Y9 hats and cloth pieces).</t>
        </is>
      </c>
      <c r="D17" s="8" t="inlineStr">
        <is>
          <t>Reusable</t>
        </is>
      </c>
      <c r="E17" s="9">
        <f>ROUND(MAX(N('Data by week'!$I$156)*'Data by week'!$H$156,N('Data by week'!$J$156)*'Data by week'!$H$156,N('Data by week'!$K$156)*'Data by week'!$H$156,N('Data by week'!$L$156)*'Data by week'!$H$156,N('Data by week'!$M$156)*'Data by week'!$H$156,N('Data by week'!$N$156)*'Data by week'!$H$156,N('Data by week'!$O$156)*'Data by week'!$H$156,N('Data by week'!$P$156)*'Data by week'!$H$156,N('Data by week'!$Q$156)*'Data by week'!$H$156,N('Data by week'!$R$156)*'Data by week'!$H$156),2)</f>
        <v/>
      </c>
      <c r="F17" s="9">
        <f>ROUND(MAX(N('Data by week'!$S$156)*'Data by week'!$H$156,N('Data by week'!$T$156)*'Data by week'!$H$156,N('Data by week'!$U$156)*'Data by week'!$H$156,N('Data by week'!$V$156)*'Data by week'!$H$156,N('Data by week'!$W$156)*'Data by week'!$H$156,N('Data by week'!$X$156)*'Data by week'!$H$156,N('Data by week'!$Y$156)*'Data by week'!$H$156,N('Data by week'!$Z$156)*'Data by week'!$H$156,N('Data by week'!$AA$156)*'Data by week'!$H$156,N('Data by week'!$AB$156)*'Data by week'!$H$156),2)</f>
        <v/>
      </c>
      <c r="G17" s="9">
        <f>ROUND(MAX(N('Data by week'!$AC$156)*'Data by week'!$H$156,N('Data by week'!$AD$156)*'Data by week'!$H$156,N('Data by week'!$AE$156)*'Data by week'!$H$156,N('Data by week'!$AF$156)*'Data by week'!$H$156,N('Data by week'!$AG$156)*'Data by week'!$H$156,N('Data by week'!$AH$156)*'Data by week'!$H$156,N('Data by week'!$AI$156)*'Data by week'!$H$156,N('Data by week'!$AJ$156)*'Data by week'!$H$156,N('Data by week'!$AK$156)*'Data by week'!$H$156,N('Data by week'!$AL$156)*'Data by week'!$H$156),2)</f>
        <v/>
      </c>
      <c r="H17" s="10">
        <f>MAX(E17:G17)</f>
        <v/>
      </c>
      <c r="I17" s="8" t="inlineStr">
        <is>
          <t>pieces</t>
        </is>
      </c>
      <c r="J17" s="8" t="inlineStr">
        <is>
          <t>Week 6</t>
        </is>
      </c>
      <c r="K17" s="8" t="inlineStr">
        <is>
          <t>Year 7: W6; Year 9: W8</t>
        </is>
      </c>
      <c r="L17" s="8" t="inlineStr">
        <is>
          <t>Both plans</t>
        </is>
      </c>
      <c r="M17" s="8" t="inlineStr">
        <is>
          <t>For claim 4, wet the cloth with room-temperature water, not cold water</t>
        </is>
      </c>
    </row>
    <row r="18">
      <c r="A18" s="8" t="inlineStr">
        <is>
          <t>Newspaper</t>
        </is>
      </c>
      <c r="B18" s="8" t="inlineStr">
        <is>
          <t>报纸</t>
        </is>
      </c>
      <c r="C18" s="8" t="inlineStr">
        <is>
          <t>Old newspaper.</t>
        </is>
      </c>
      <c r="D18" s="8" t="inlineStr">
        <is>
          <t>Used up</t>
        </is>
      </c>
      <c r="E18" s="9">
        <f>ROUND('Data by week'!$AW$157*'Data by week'!$H$157,2)</f>
        <v/>
      </c>
      <c r="F18" s="9">
        <f>ROUND('Data by week'!$AX$157*'Data by week'!$H$157,2)</f>
        <v/>
      </c>
      <c r="G18" s="9">
        <f>ROUND('Data by week'!$AY$157*'Data by week'!$H$157,2)</f>
        <v/>
      </c>
      <c r="H18" s="10">
        <f>ROUNDUP(E18*'Read me'!$C$5+F18*'Read me'!$C$6+G18*'Read me'!$C$7,0)</f>
        <v/>
      </c>
      <c r="I18" s="8" t="inlineStr">
        <is>
          <t>pieces</t>
        </is>
      </c>
      <c r="J18" s="8" t="inlineStr">
        <is>
          <t>Week 6</t>
        </is>
      </c>
      <c r="K18" s="8" t="inlineStr">
        <is>
          <t>Year 7: W6</t>
        </is>
      </c>
      <c r="L18" s="8" t="inlineStr">
        <is>
          <t>Both plans</t>
        </is>
      </c>
      <c r="M18" s="8" t="inlineStr"/>
    </row>
    <row r="19">
      <c r="A19" s="8" t="inlineStr">
        <is>
          <t>Shredded paper, finely shredded</t>
        </is>
      </c>
      <c r="B19" s="8" t="inlineStr">
        <is>
          <t>碎纸（细碎）</t>
        </is>
      </c>
      <c r="C19" s="8" t="inlineStr">
        <is>
          <t>Fine shreds.</t>
        </is>
      </c>
      <c r="D19" s="8" t="inlineStr">
        <is>
          <t>Used up</t>
        </is>
      </c>
      <c r="E19" s="9">
        <f>ROUND('Data by week'!$AW$158*'Data by week'!$H$158,2)</f>
        <v/>
      </c>
      <c r="F19" s="9">
        <f>ROUND('Data by week'!$AX$158*'Data by week'!$H$158,2)</f>
        <v/>
      </c>
      <c r="G19" s="9">
        <f>ROUND('Data by week'!$AY$158*'Data by week'!$H$158,2)</f>
        <v/>
      </c>
      <c r="H19" s="10">
        <f>ROUNDUP(E19*'Read me'!$C$5+F19*'Read me'!$C$6+G19*'Read me'!$C$7,0)</f>
        <v/>
      </c>
      <c r="I19" s="8" t="inlineStr">
        <is>
          <t>g</t>
        </is>
      </c>
      <c r="J19" s="8" t="inlineStr">
        <is>
          <t>Week 7</t>
        </is>
      </c>
      <c r="K19" s="8" t="inlineStr">
        <is>
          <t>Year 7: W7</t>
        </is>
      </c>
      <c r="L19" s="8" t="inlineStr">
        <is>
          <t>Both plans</t>
        </is>
      </c>
      <c r="M19" s="8" t="inlineStr"/>
    </row>
    <row r="20">
      <c r="A20" s="8" t="inlineStr">
        <is>
          <t>Box with a lid (to wrap in bubble wrap)</t>
        </is>
      </c>
      <c r="B20" s="8" t="inlineStr">
        <is>
          <t>带盖纸箱（外包气泡膜）</t>
        </is>
      </c>
      <c r="C20" s="8" t="inlineStr">
        <is>
          <t>Must hold a group's flat tray of ice strips, with its lid; only if cool boxes are short.</t>
        </is>
      </c>
      <c r="D20" s="8" t="inlineStr">
        <is>
          <t>Reusable</t>
        </is>
      </c>
      <c r="E20" s="9">
        <f>ROUND(MAX(N('Data by week'!$I$159)*'Data by week'!$H$159,N('Data by week'!$J$159)*'Data by week'!$H$159,N('Data by week'!$K$159)*'Data by week'!$H$159,N('Data by week'!$L$159)*'Data by week'!$H$159,N('Data by week'!$M$159)*'Data by week'!$H$159,N('Data by week'!$N$159)*'Data by week'!$H$159,N('Data by week'!$O$159)*'Data by week'!$H$159,N('Data by week'!$P$159)*'Data by week'!$H$159,N('Data by week'!$Q$159)*'Data by week'!$H$159,N('Data by week'!$R$159)*'Data by week'!$H$159),2)</f>
        <v/>
      </c>
      <c r="F20" s="9">
        <f>ROUND(MAX(N('Data by week'!$S$159)*'Data by week'!$H$159,N('Data by week'!$T$159)*'Data by week'!$H$159,N('Data by week'!$U$159)*'Data by week'!$H$159,N('Data by week'!$V$159)*'Data by week'!$H$159,N('Data by week'!$W$159)*'Data by week'!$H$159,N('Data by week'!$X$159)*'Data by week'!$H$159,N('Data by week'!$Y$159)*'Data by week'!$H$159,N('Data by week'!$Z$159)*'Data by week'!$H$159,N('Data by week'!$AA$159)*'Data by week'!$H$159,N('Data by week'!$AB$159)*'Data by week'!$H$159),2)</f>
        <v/>
      </c>
      <c r="G20" s="9">
        <f>ROUND(MAX(N('Data by week'!$AC$159)*'Data by week'!$H$159,N('Data by week'!$AD$159)*'Data by week'!$H$159,N('Data by week'!$AE$159)*'Data by week'!$H$159,N('Data by week'!$AF$159)*'Data by week'!$H$159,N('Data by week'!$AG$159)*'Data by week'!$H$159,N('Data by week'!$AH$159)*'Data by week'!$H$159,N('Data by week'!$AI$159)*'Data by week'!$H$159,N('Data by week'!$AJ$159)*'Data by week'!$H$159,N('Data by week'!$AK$159)*'Data by week'!$H$159,N('Data by week'!$AL$159)*'Data by week'!$H$159),2)</f>
        <v/>
      </c>
      <c r="H20" s="10">
        <f>MAX(E20:G20)</f>
        <v/>
      </c>
      <c r="I20" s="8" t="inlineStr">
        <is>
          <t>boxes</t>
        </is>
      </c>
      <c r="J20" s="8" t="inlineStr">
        <is>
          <t>Week 8</t>
        </is>
      </c>
      <c r="K20" s="8" t="inlineStr">
        <is>
          <t>Year 7: W8</t>
        </is>
      </c>
      <c r="L20" s="8" t="inlineStr">
        <is>
          <t>Plan A (freezer)</t>
        </is>
      </c>
      <c r="M20" s="8" t="inlineStr"/>
    </row>
    <row r="21">
      <c r="A21" s="8" t="inlineStr">
        <is>
          <t>Bubble wrap</t>
        </is>
      </c>
      <c r="B21" s="8" t="inlineStr">
        <is>
          <t>气泡膜</t>
        </is>
      </c>
      <c r="C21" s="8" t="inlineStr">
        <is>
          <t>Bubble wrap pieces (also for wrapping a box if cool boxes are short).</t>
        </is>
      </c>
      <c r="D21" s="8" t="inlineStr">
        <is>
          <t>Reusable</t>
        </is>
      </c>
      <c r="E21" s="9">
        <f>ROUND(MAX(N('Data by week'!$I$160)*'Data by week'!$H$160,N('Data by week'!$J$160)*'Data by week'!$H$160,N('Data by week'!$K$160)*'Data by week'!$H$160,N('Data by week'!$L$160)*'Data by week'!$H$160,N('Data by week'!$M$160)*'Data by week'!$H$160,N('Data by week'!$N$160)*'Data by week'!$H$160,N('Data by week'!$O$160)*'Data by week'!$H$160,N('Data by week'!$P$160)*'Data by week'!$H$160,N('Data by week'!$Q$160)*'Data by week'!$H$160,N('Data by week'!$R$160)*'Data by week'!$H$160),2)</f>
        <v/>
      </c>
      <c r="F21" s="9">
        <f>ROUND(MAX(N('Data by week'!$S$160)*'Data by week'!$H$160,N('Data by week'!$T$160)*'Data by week'!$H$160,N('Data by week'!$U$160)*'Data by week'!$H$160,N('Data by week'!$V$160)*'Data by week'!$H$160,N('Data by week'!$W$160)*'Data by week'!$H$160,N('Data by week'!$X$160)*'Data by week'!$H$160,N('Data by week'!$Y$160)*'Data by week'!$H$160,N('Data by week'!$Z$160)*'Data by week'!$H$160,N('Data by week'!$AA$160)*'Data by week'!$H$160,N('Data by week'!$AB$160)*'Data by week'!$H$160),2)</f>
        <v/>
      </c>
      <c r="G21" s="9">
        <f>ROUND(MAX(N('Data by week'!$AC$160)*'Data by week'!$H$160,N('Data by week'!$AD$160)*'Data by week'!$H$160,N('Data by week'!$AE$160)*'Data by week'!$H$160,N('Data by week'!$AF$160)*'Data by week'!$H$160,N('Data by week'!$AG$160)*'Data by week'!$H$160,N('Data by week'!$AH$160)*'Data by week'!$H$160,N('Data by week'!$AI$160)*'Data by week'!$H$160,N('Data by week'!$AJ$160)*'Data by week'!$H$160,N('Data by week'!$AK$160)*'Data by week'!$H$160,N('Data by week'!$AL$160)*'Data by week'!$H$160),2)</f>
        <v/>
      </c>
      <c r="H21" s="10">
        <f>MAX(E21:G21)</f>
        <v/>
      </c>
      <c r="I21" s="8" t="inlineStr">
        <is>
          <t>box wraps</t>
        </is>
      </c>
      <c r="J21" s="8" t="inlineStr">
        <is>
          <t>Week 8</t>
        </is>
      </c>
      <c r="K21" s="8" t="inlineStr">
        <is>
          <t>Year 7: W8</t>
        </is>
      </c>
      <c r="L21" s="8" t="inlineStr">
        <is>
          <t>Both plans</t>
        </is>
      </c>
      <c r="M21" s="8" t="inlineStr"/>
    </row>
    <row r="22">
      <c r="A22" s="8" t="inlineStr">
        <is>
          <t>Campus soil samples (references A to D)</t>
        </is>
      </c>
      <c r="B22" s="8" t="inlineStr">
        <is>
          <t>校园土壤样本（参照A至D）</t>
        </is>
      </c>
      <c r="C22" s="8" t="inlineStr">
        <is>
          <t>About 2 cups each from A flowerbed by the science block entrance, B sports field edge, C sandpit, D tree bed by the main gate.</t>
        </is>
      </c>
      <c r="D22" s="8" t="inlineStr">
        <is>
          <t>Used up</t>
        </is>
      </c>
      <c r="E22" s="9">
        <f>ROUND('Data by week'!$AW$161*'Data by week'!$H$161,2)</f>
        <v/>
      </c>
      <c r="F22" s="9">
        <f>ROUND('Data by week'!$AX$161*'Data by week'!$H$161,2)</f>
        <v/>
      </c>
      <c r="G22" s="9">
        <f>ROUND('Data by week'!$AY$161*'Data by week'!$H$161,2)</f>
        <v/>
      </c>
      <c r="H22" s="10">
        <f>ROUNDUP(E22*'Read me'!$C$5+F22*'Read me'!$C$6+G22*'Read me'!$C$7,0)</f>
        <v/>
      </c>
      <c r="I22" s="8" t="inlineStr">
        <is>
          <t>cups</t>
        </is>
      </c>
      <c r="J22" s="8" t="inlineStr">
        <is>
          <t>Week 8</t>
        </is>
      </c>
      <c r="K22" s="8" t="inlineStr">
        <is>
          <t>Year 8: W8</t>
        </is>
      </c>
      <c r="L22" s="8" t="inlineStr">
        <is>
          <t>Both plans</t>
        </is>
      </c>
      <c r="M22" s="8" t="inlineStr">
        <is>
          <t>Do not collect where animals may have fouled. Soil can carry germs: wash hands with soap after; cover cuts or wear gloves.</t>
        </is>
      </c>
    </row>
    <row r="23">
      <c r="A23" s="8" t="inlineStr">
        <is>
          <t>Clear plastic bottles or jars with screw lids, about 300 ml</t>
        </is>
      </c>
      <c r="B23" s="8" t="inlineStr">
        <is>
          <t>透明塑料瓶或罐（带螺旋盖，约300毫升）</t>
        </is>
      </c>
      <c r="C23" s="8" t="inlineStr">
        <is>
          <t>About 300 ml, clear plastic, all identical, screw lids; no glass.</t>
        </is>
      </c>
      <c r="D23" s="8" t="inlineStr">
        <is>
          <t>Reusable</t>
        </is>
      </c>
      <c r="E23" s="9">
        <f>ROUND(MAX(N('Data by week'!$I$162)*'Data by week'!$H$162,N('Data by week'!$J$162)*'Data by week'!$H$162,N('Data by week'!$K$162)*'Data by week'!$H$162,N('Data by week'!$L$162)*'Data by week'!$H$162,N('Data by week'!$M$162)*'Data by week'!$H$162,N('Data by week'!$N$162)*'Data by week'!$H$162,N('Data by week'!$O$162)*'Data by week'!$H$162,N('Data by week'!$P$162)*'Data by week'!$H$162,N('Data by week'!$Q$162)*'Data by week'!$H$162,N('Data by week'!$R$162)*'Data by week'!$H$162),2)</f>
        <v/>
      </c>
      <c r="F23" s="9">
        <f>ROUND(MAX(N('Data by week'!$S$162)*'Data by week'!$H$162,N('Data by week'!$T$162)*'Data by week'!$H$162,N('Data by week'!$U$162)*'Data by week'!$H$162,N('Data by week'!$V$162)*'Data by week'!$H$162,N('Data by week'!$W$162)*'Data by week'!$H$162,N('Data by week'!$X$162)*'Data by week'!$H$162,N('Data by week'!$Y$162)*'Data by week'!$H$162,N('Data by week'!$Z$162)*'Data by week'!$H$162,N('Data by week'!$AA$162)*'Data by week'!$H$162,N('Data by week'!$AB$162)*'Data by week'!$H$162),2)</f>
        <v/>
      </c>
      <c r="G23" s="9">
        <f>ROUND(MAX(N('Data by week'!$AC$162)*'Data by week'!$H$162,N('Data by week'!$AD$162)*'Data by week'!$H$162,N('Data by week'!$AE$162)*'Data by week'!$H$162,N('Data by week'!$AF$162)*'Data by week'!$H$162,N('Data by week'!$AG$162)*'Data by week'!$H$162,N('Data by week'!$AH$162)*'Data by week'!$H$162,N('Data by week'!$AI$162)*'Data by week'!$H$162,N('Data by week'!$AJ$162)*'Data by week'!$H$162,N('Data by week'!$AK$162)*'Data by week'!$H$162,N('Data by week'!$AL$162)*'Data by week'!$H$162),2)</f>
        <v/>
      </c>
      <c r="H23" s="10">
        <f>MAX(E23:G23)</f>
        <v/>
      </c>
      <c r="I23" s="8" t="inlineStr">
        <is>
          <t>bottles</t>
        </is>
      </c>
      <c r="J23" s="8" t="inlineStr">
        <is>
          <t>Week 8</t>
        </is>
      </c>
      <c r="K23" s="8" t="inlineStr">
        <is>
          <t>Year 8: W8</t>
        </is>
      </c>
      <c r="L23" s="8" t="inlineStr">
        <is>
          <t>Both plans</t>
        </is>
      </c>
      <c r="M23" s="8" t="inlineStr">
        <is>
          <t>Plastic only, never glass. Check every lid is tight before shaking; goggles while shaking.</t>
        </is>
      </c>
    </row>
    <row r="24">
      <c r="A24" s="8" t="inlineStr">
        <is>
          <t>Headphones</t>
        </is>
      </c>
      <c r="B24" s="8" t="inlineStr">
        <is>
          <t>耳机</t>
        </is>
      </c>
      <c r="C24" s="8" t="inlineStr">
        <is>
          <t>To plug into the teacher's device; test before the lesson.</t>
        </is>
      </c>
      <c r="D24" s="8" t="inlineStr">
        <is>
          <t>Reusable</t>
        </is>
      </c>
      <c r="E24" s="9">
        <f>ROUND(MAX(N('Data by week'!$I$163)*'Data by week'!$H$163,N('Data by week'!$J$163)*'Data by week'!$H$163,N('Data by week'!$K$163)*'Data by week'!$H$163,N('Data by week'!$L$163)*'Data by week'!$H$163,N('Data by week'!$M$163)*'Data by week'!$H$163,N('Data by week'!$N$163)*'Data by week'!$H$163,N('Data by week'!$O$163)*'Data by week'!$H$163,N('Data by week'!$P$163)*'Data by week'!$H$163,N('Data by week'!$Q$163)*'Data by week'!$H$163,N('Data by week'!$R$163)*'Data by week'!$H$163),2)</f>
        <v/>
      </c>
      <c r="F24" s="9">
        <f>ROUND(MAX(N('Data by week'!$S$163)*'Data by week'!$H$163,N('Data by week'!$T$163)*'Data by week'!$H$163,N('Data by week'!$U$163)*'Data by week'!$H$163,N('Data by week'!$V$163)*'Data by week'!$H$163,N('Data by week'!$W$163)*'Data by week'!$H$163,N('Data by week'!$X$163)*'Data by week'!$H$163,N('Data by week'!$Y$163)*'Data by week'!$H$163,N('Data by week'!$Z$163)*'Data by week'!$H$163,N('Data by week'!$AA$163)*'Data by week'!$H$163,N('Data by week'!$AB$163)*'Data by week'!$H$163),2)</f>
        <v/>
      </c>
      <c r="G24" s="9">
        <f>ROUND(MAX(N('Data by week'!$AC$163)*'Data by week'!$H$163,N('Data by week'!$AD$163)*'Data by week'!$H$163,N('Data by week'!$AE$163)*'Data by week'!$H$163,N('Data by week'!$AF$163)*'Data by week'!$H$163,N('Data by week'!$AG$163)*'Data by week'!$H$163,N('Data by week'!$AH$163)*'Data by week'!$H$163,N('Data by week'!$AI$163)*'Data by week'!$H$163,N('Data by week'!$AJ$163)*'Data by week'!$H$163,N('Data by week'!$AK$163)*'Data by week'!$H$163,N('Data by week'!$AL$163)*'Data by week'!$H$163),2)</f>
        <v/>
      </c>
      <c r="H24" s="10">
        <f>MAX(E24:G24)</f>
        <v/>
      </c>
      <c r="I24" s="8" t="inlineStr">
        <is>
          <t>pairs</t>
        </is>
      </c>
      <c r="J24" s="8" t="inlineStr">
        <is>
          <t>Week 8</t>
        </is>
      </c>
      <c r="K24" s="8" t="inlineStr">
        <is>
          <t>Year 9: W8</t>
        </is>
      </c>
      <c r="L24" s="8" t="inlineStr">
        <is>
          <t>Both plans</t>
        </is>
      </c>
      <c r="M24" s="8" t="inlineStr">
        <is>
          <t>Participants: voluntary, no pressure, codes not names</t>
        </is>
      </c>
    </row>
    <row r="25">
      <c r="A25" s="8" t="inlineStr">
        <is>
          <t>Newspaper</t>
        </is>
      </c>
      <c r="B25" s="8" t="inlineStr">
        <is>
          <t>报纸</t>
        </is>
      </c>
      <c r="C25" s="8" t="inlineStr">
        <is>
          <t>Old newspaper.</t>
        </is>
      </c>
      <c r="D25" s="8" t="inlineStr">
        <is>
          <t>Used up</t>
        </is>
      </c>
      <c r="E25" s="9">
        <f>ROUND('Data by week'!$AW$164*'Data by week'!$H$164,2)</f>
        <v/>
      </c>
      <c r="F25" s="9">
        <f>ROUND('Data by week'!$AX$164*'Data by week'!$H$164,2)</f>
        <v/>
      </c>
      <c r="G25" s="9">
        <f>ROUND('Data by week'!$AY$164*'Data by week'!$H$164,2)</f>
        <v/>
      </c>
      <c r="H25" s="10">
        <f>ROUNDUP(E25*'Read me'!$C$5+F25*'Read me'!$C$6+G25*'Read me'!$C$7,0)</f>
        <v/>
      </c>
      <c r="I25" s="8" t="inlineStr">
        <is>
          <t>sheets</t>
        </is>
      </c>
      <c r="J25" s="8" t="inlineStr">
        <is>
          <t>Week 8</t>
        </is>
      </c>
      <c r="K25" s="8" t="inlineStr">
        <is>
          <t>Year 8: W8</t>
        </is>
      </c>
      <c r="L25" s="8" t="inlineStr">
        <is>
          <t>Both plans</t>
        </is>
      </c>
      <c r="M25" s="8" t="inlineStr"/>
    </row>
    <row r="26">
      <c r="A26" s="8" t="inlineStr">
        <is>
          <t>Thin plastic bags (to cover books)</t>
        </is>
      </c>
      <c r="B26" s="8" t="inlineStr">
        <is>
          <t>薄塑料袋（包书用）</t>
        </is>
      </c>
      <c r="C26" s="8" t="inlineStr">
        <is>
          <t>Thin plastic bags to cover the top books on the strength rig.</t>
        </is>
      </c>
      <c r="D26" s="8" t="inlineStr">
        <is>
          <t>Used up</t>
        </is>
      </c>
      <c r="E26" s="9">
        <f>ROUND('Data by week'!$AW$165*'Data by week'!$H$165,2)</f>
        <v/>
      </c>
      <c r="F26" s="9">
        <f>ROUND('Data by week'!$AX$165*'Data by week'!$H$165,2)</f>
        <v/>
      </c>
      <c r="G26" s="9">
        <f>ROUND('Data by week'!$AY$165*'Data by week'!$H$165,2)</f>
        <v/>
      </c>
      <c r="H26" s="10">
        <f>ROUNDUP(E26*'Read me'!$C$5+F26*'Read me'!$C$6+G26*'Read me'!$C$7,0)</f>
        <v/>
      </c>
      <c r="I26" s="8" t="inlineStr">
        <is>
          <t>bags</t>
        </is>
      </c>
      <c r="J26" s="8" t="inlineStr">
        <is>
          <t>Week 8</t>
        </is>
      </c>
      <c r="K26" s="8" t="inlineStr">
        <is>
          <t>Year 7: W8</t>
        </is>
      </c>
      <c r="L26" s="8" t="inlineStr">
        <is>
          <t>Plan A (freezer)</t>
        </is>
      </c>
      <c r="M26" s="8" t="inlineStr"/>
    </row>
    <row r="27">
      <c r="A27" s="8" t="inlineStr">
        <is>
          <t>Towels, cloth</t>
        </is>
      </c>
      <c r="B27" s="8" t="inlineStr">
        <is>
          <t>毛巾</t>
        </is>
      </c>
      <c r="C27" s="8" t="inlineStr">
        <is>
          <t>Cloth towels, 2 per group plus 1 for the teacher, for spills on the strength rig.</t>
        </is>
      </c>
      <c r="D27" s="8" t="inlineStr">
        <is>
          <t>Reusable</t>
        </is>
      </c>
      <c r="E27" s="9">
        <f>ROUND(MAX(N('Data by week'!$I$166)*'Data by week'!$H$166,N('Data by week'!$J$166)*'Data by week'!$H$166,N('Data by week'!$K$166)*'Data by week'!$H$166,N('Data by week'!$L$166)*'Data by week'!$H$166,N('Data by week'!$M$166)*'Data by week'!$H$166,N('Data by week'!$N$166)*'Data by week'!$H$166,N('Data by week'!$O$166)*'Data by week'!$H$166,N('Data by week'!$P$166)*'Data by week'!$H$166,N('Data by week'!$Q$166)*'Data by week'!$H$166,N('Data by week'!$R$166)*'Data by week'!$H$166),2)</f>
        <v/>
      </c>
      <c r="F27" s="9">
        <f>ROUND(MAX(N('Data by week'!$S$166)*'Data by week'!$H$166,N('Data by week'!$T$166)*'Data by week'!$H$166,N('Data by week'!$U$166)*'Data by week'!$H$166,N('Data by week'!$V$166)*'Data by week'!$H$166,N('Data by week'!$W$166)*'Data by week'!$H$166,N('Data by week'!$X$166)*'Data by week'!$H$166,N('Data by week'!$Y$166)*'Data by week'!$H$166,N('Data by week'!$Z$166)*'Data by week'!$H$166,N('Data by week'!$AA$166)*'Data by week'!$H$166,N('Data by week'!$AB$166)*'Data by week'!$H$166),2)</f>
        <v/>
      </c>
      <c r="G27" s="9">
        <f>ROUND(MAX(N('Data by week'!$AC$166)*'Data by week'!$H$166,N('Data by week'!$AD$166)*'Data by week'!$H$166,N('Data by week'!$AE$166)*'Data by week'!$H$166,N('Data by week'!$AF$166)*'Data by week'!$H$166,N('Data by week'!$AG$166)*'Data by week'!$H$166,N('Data by week'!$AH$166)*'Data by week'!$H$166,N('Data by week'!$AI$166)*'Data by week'!$H$166,N('Data by week'!$AJ$166)*'Data by week'!$H$166,N('Data by week'!$AK$166)*'Data by week'!$H$166,N('Data by week'!$AL$166)*'Data by week'!$H$166),2)</f>
        <v/>
      </c>
      <c r="H27" s="10">
        <f>MAX(E27:G27)</f>
        <v/>
      </c>
      <c r="I27" s="8" t="inlineStr">
        <is>
          <t>towels</t>
        </is>
      </c>
      <c r="J27" s="8" t="inlineStr">
        <is>
          <t>Week 8</t>
        </is>
      </c>
      <c r="K27" s="8" t="inlineStr">
        <is>
          <t>Year 7: W8</t>
        </is>
      </c>
      <c r="L27" s="8" t="inlineStr">
        <is>
          <t>Both plans</t>
        </is>
      </c>
      <c r="M27" s="8" t="inlineStr">
        <is>
          <t>Towels on every table; mop spills at once.</t>
        </is>
      </c>
    </row>
    <row r="28">
      <c r="A28" s="8" t="inlineStr">
        <is>
          <t>Old notebook (prop)</t>
        </is>
      </c>
      <c r="B28" s="8" t="inlineStr">
        <is>
          <t>旧笔记本（道具）</t>
        </is>
      </c>
      <c r="C28" s="8" t="inlineStr">
        <is>
          <t>An old notebook, ideally blue (optional).</t>
        </is>
      </c>
      <c r="D28" s="8" t="inlineStr">
        <is>
          <t>Reusable</t>
        </is>
      </c>
      <c r="E28" s="9">
        <f>ROUND(MAX(N('Data by week'!$I$167)*'Data by week'!$H$167,N('Data by week'!$J$167)*'Data by week'!$H$167,N('Data by week'!$K$167)*'Data by week'!$H$167,N('Data by week'!$L$167)*'Data by week'!$H$167,N('Data by week'!$M$167)*'Data by week'!$H$167,N('Data by week'!$N$167)*'Data by week'!$H$167,N('Data by week'!$O$167)*'Data by week'!$H$167,N('Data by week'!$P$167)*'Data by week'!$H$167,N('Data by week'!$Q$167)*'Data by week'!$H$167,N('Data by week'!$R$167)*'Data by week'!$H$167),2)</f>
        <v/>
      </c>
      <c r="F28" s="9">
        <f>ROUND(MAX(N('Data by week'!$S$167)*'Data by week'!$H$167,N('Data by week'!$T$167)*'Data by week'!$H$167,N('Data by week'!$U$167)*'Data by week'!$H$167,N('Data by week'!$V$167)*'Data by week'!$H$167,N('Data by week'!$W$167)*'Data by week'!$H$167,N('Data by week'!$X$167)*'Data by week'!$H$167,N('Data by week'!$Y$167)*'Data by week'!$H$167,N('Data by week'!$Z$167)*'Data by week'!$H$167,N('Data by week'!$AA$167)*'Data by week'!$H$167,N('Data by week'!$AB$167)*'Data by week'!$H$167),2)</f>
        <v/>
      </c>
      <c r="G28" s="9">
        <f>ROUND(MAX(N('Data by week'!$AC$167)*'Data by week'!$H$167,N('Data by week'!$AD$167)*'Data by week'!$H$167,N('Data by week'!$AE$167)*'Data by week'!$H$167,N('Data by week'!$AF$167)*'Data by week'!$H$167,N('Data by week'!$AG$167)*'Data by week'!$H$167,N('Data by week'!$AH$167)*'Data by week'!$H$167,N('Data by week'!$AI$167)*'Data by week'!$H$167,N('Data by week'!$AJ$167)*'Data by week'!$H$167,N('Data by week'!$AK$167)*'Data by week'!$H$167,N('Data by week'!$AL$167)*'Data by week'!$H$167),2)</f>
        <v/>
      </c>
      <c r="H28" s="10">
        <f>MAX(E28:G28)</f>
        <v/>
      </c>
      <c r="I28" s="8" t="inlineStr">
        <is>
          <t>notebook</t>
        </is>
      </c>
      <c r="J28" s="8" t="inlineStr">
        <is>
          <t>Week 10</t>
        </is>
      </c>
      <c r="K28" s="8" t="inlineStr">
        <is>
          <t>Year 8: W10</t>
        </is>
      </c>
      <c r="L28" s="8" t="inlineStr">
        <is>
          <t>Both plans</t>
        </is>
      </c>
      <c r="M28" s="8" t="inlineStr">
        <is>
          <t>Cold and damp from the freezer: pass it round in its bag, not out of it.</t>
        </is>
      </c>
    </row>
  </sheetData>
  <autoFilter ref="A1:M28"/>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M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30" customWidth="1" min="3" max="3"/>
    <col width="10" customWidth="1" min="4" max="4"/>
    <col width="10" customWidth="1" min="5" max="5"/>
    <col width="10" customWidth="1" min="6" max="6"/>
    <col width="10" customWidth="1" min="7" max="7"/>
    <col width="10" customWidth="1" min="8" max="8"/>
    <col width="12" customWidth="1" min="9" max="9"/>
    <col width="9" customWidth="1" min="10" max="10"/>
    <col width="32" customWidth="1" min="11" max="11"/>
    <col width="16" customWidth="1" min="12" max="12"/>
    <col width="44" customWidth="1" min="13" max="13"/>
  </cols>
  <sheetData>
    <row r="1" ht="32" customHeight="1">
      <c r="A1" s="7" t="inlineStr">
        <is>
          <t>Item</t>
        </is>
      </c>
      <c r="B1" s="7" t="inlineStr">
        <is>
          <t>中文名称（草稿）</t>
        </is>
      </c>
      <c r="C1" s="7" t="inlineStr">
        <is>
          <t>Specification</t>
        </is>
      </c>
      <c r="D1" s="7" t="inlineStr">
        <is>
          <t>Type</t>
        </is>
      </c>
      <c r="E1" s="7" t="inlineStr">
        <is>
          <t>Year 7 per class</t>
        </is>
      </c>
      <c r="F1" s="7" t="inlineStr">
        <is>
          <t>Year 8 per class</t>
        </is>
      </c>
      <c r="G1" s="7" t="inlineStr">
        <is>
          <t>Year 9 per class</t>
        </is>
      </c>
      <c r="H1" s="7" t="inlineStr">
        <is>
          <t>Total</t>
        </is>
      </c>
      <c r="I1" s="7" t="inlineStr">
        <is>
          <t>Unit</t>
        </is>
      </c>
      <c r="J1" s="7" t="inlineStr">
        <is>
          <t>First needed</t>
        </is>
      </c>
      <c r="K1" s="7" t="inlineStr">
        <is>
          <t>Weeks used</t>
        </is>
      </c>
      <c r="L1" s="7" t="inlineStr">
        <is>
          <t>Plan</t>
        </is>
      </c>
      <c r="M1" s="7" t="inlineStr">
        <is>
          <t>Safety and notes</t>
        </is>
      </c>
    </row>
    <row r="2">
      <c r="A2" s="8" t="inlineStr">
        <is>
          <t>Baking soda solution</t>
        </is>
      </c>
      <c r="B2" s="8" t="inlineStr">
        <is>
          <t>小苏打溶液</t>
        </is>
      </c>
      <c r="C2" s="8" t="inlineStr">
        <is>
          <t>Baking soda dissolved in water (strength not given in the files).</t>
        </is>
      </c>
      <c r="D2" s="8" t="inlineStr">
        <is>
          <t>Used up</t>
        </is>
      </c>
      <c r="E2" s="9">
        <f>ROUND('Data by week'!$AW$168*'Data by week'!$H$168,2)</f>
        <v/>
      </c>
      <c r="F2" s="9">
        <f>ROUND('Data by week'!$AX$168*'Data by week'!$H$168,2)</f>
        <v/>
      </c>
      <c r="G2" s="9">
        <f>ROUND('Data by week'!$AY$168*'Data by week'!$H$168,2)</f>
        <v/>
      </c>
      <c r="H2" s="10">
        <f>ROUNDUP(E2*'Read me'!$C$5+F2*'Read me'!$C$6+G2*'Read me'!$C$7,0)</f>
        <v/>
      </c>
      <c r="I2" s="8" t="inlineStr">
        <is>
          <t>small batch</t>
        </is>
      </c>
      <c r="J2" s="8" t="inlineStr">
        <is>
          <t>Week 1</t>
        </is>
      </c>
      <c r="K2" s="8" t="inlineStr">
        <is>
          <t>Year 8: W1</t>
        </is>
      </c>
      <c r="L2" s="8" t="inlineStr">
        <is>
          <t>Both plans</t>
        </is>
      </c>
      <c r="M2" s="8" t="inlineStr">
        <is>
          <t>Goggles; no tasting. Notes: Y8 W1: Optional, for the scene table liquid only (a pinch of baking soda in a little water). Ingredients: baking soda, water</t>
        </is>
      </c>
    </row>
    <row r="3">
      <c r="A3" s="8" t="inlineStr">
        <is>
          <t>Display note (the note prop)</t>
        </is>
      </c>
      <c r="B3" s="8" t="inlineStr">
        <is>
          <t>展示纸条（纸条道具）</t>
        </is>
      </c>
      <c r="C3" s="8" t="inlineStr">
        <is>
          <t>Exact note text handwritten with pen B on plain white card, with a small snowflake doodle after 'Sorry'.</t>
        </is>
      </c>
      <c r="D3" s="8" t="inlineStr">
        <is>
          <t>Reusable</t>
        </is>
      </c>
      <c r="E3" s="9">
        <f>ROUND(MAX(N('Data by week'!$I$169)*'Data by week'!$H$169,N('Data by week'!$J$169)*'Data by week'!$H$169,N('Data by week'!$K$169)*'Data by week'!$H$169,N('Data by week'!$L$169)*'Data by week'!$H$169,N('Data by week'!$M$169)*'Data by week'!$H$169,N('Data by week'!$N$169)*'Data by week'!$H$169,N('Data by week'!$O$169)*'Data by week'!$H$169,N('Data by week'!$P$169)*'Data by week'!$H$169,N('Data by week'!$Q$169)*'Data by week'!$H$169,N('Data by week'!$R$169)*'Data by week'!$H$169),2)</f>
        <v/>
      </c>
      <c r="F3" s="9">
        <f>ROUND(MAX(N('Data by week'!$S$169)*'Data by week'!$H$169,N('Data by week'!$T$169)*'Data by week'!$H$169,N('Data by week'!$U$169)*'Data by week'!$H$169,N('Data by week'!$V$169)*'Data by week'!$H$169,N('Data by week'!$W$169)*'Data by week'!$H$169,N('Data by week'!$X$169)*'Data by week'!$H$169,N('Data by week'!$Y$169)*'Data by week'!$H$169,N('Data by week'!$Z$169)*'Data by week'!$H$169,N('Data by week'!$AA$169)*'Data by week'!$H$169,N('Data by week'!$AB$169)*'Data by week'!$H$169),2)</f>
        <v/>
      </c>
      <c r="G3" s="9">
        <f>ROUND(MAX(N('Data by week'!$AC$169)*'Data by week'!$H$169,N('Data by week'!$AD$169)*'Data by week'!$H$169,N('Data by week'!$AE$169)*'Data by week'!$H$169,N('Data by week'!$AF$169)*'Data by week'!$H$169,N('Data by week'!$AG$169)*'Data by week'!$H$169,N('Data by week'!$AH$169)*'Data by week'!$H$169,N('Data by week'!$AI$169)*'Data by week'!$H$169,N('Data by week'!$AJ$169)*'Data by week'!$H$169,N('Data by week'!$AK$169)*'Data by week'!$H$169,N('Data by week'!$AL$169)*'Data by week'!$H$169),2)</f>
        <v/>
      </c>
      <c r="H3" s="10">
        <f>MAX(E3:G3)</f>
        <v/>
      </c>
      <c r="I3" s="8" t="inlineStr">
        <is>
          <t>note</t>
        </is>
      </c>
      <c r="J3" s="8" t="inlineStr">
        <is>
          <t>Week 1</t>
        </is>
      </c>
      <c r="K3" s="8" t="inlineStr">
        <is>
          <t>Year 8: W1</t>
        </is>
      </c>
      <c r="L3" s="8" t="inlineStr">
        <is>
          <t>Both plans</t>
        </is>
      </c>
      <c r="M3" s="8" t="inlineStr">
        <is>
          <t>Notes: Y8 W1: Made after the pen pre-test; photographed for the Week 1 slides; held up again in the Week 3 Hook. Ingredients: white card, pen B</t>
        </is>
      </c>
    </row>
    <row r="4">
      <c r="A4" s="8" t="inlineStr">
        <is>
          <t>Evidence 4: scene liquid</t>
        </is>
      </c>
      <c r="B4" s="8" t="inlineStr">
        <is>
          <t>证据4：现场液体</t>
        </is>
      </c>
      <c r="C4" s="8" t="inlineStr">
        <is>
          <t>Equal amounts of soap solution and baking soda solution; labelled 'Evidence 4: liquid, floor by sink (I2)'.</t>
        </is>
      </c>
      <c r="D4" s="8" t="inlineStr">
        <is>
          <t>Used up</t>
        </is>
      </c>
      <c r="E4" s="9">
        <f>ROUND('Data by week'!$AW$170*'Data by week'!$H$170,2)</f>
        <v/>
      </c>
      <c r="F4" s="9">
        <f>ROUND('Data by week'!$AX$170*'Data by week'!$H$170,2)</f>
        <v/>
      </c>
      <c r="G4" s="9">
        <f>ROUND('Data by week'!$AY$170*'Data by week'!$H$170,2)</f>
        <v/>
      </c>
      <c r="H4" s="10">
        <f>ROUNDUP(E4*'Read me'!$C$5+F4*'Read me'!$C$6+G4*'Read me'!$C$7,0)</f>
        <v/>
      </c>
      <c r="I4" s="8" t="inlineStr">
        <is>
          <t>saucers</t>
        </is>
      </c>
      <c r="J4" s="8" t="inlineStr">
        <is>
          <t>Week 1</t>
        </is>
      </c>
      <c r="K4" s="8" t="inlineStr">
        <is>
          <t>Year 8: W1</t>
        </is>
      </c>
      <c r="L4" s="8" t="inlineStr">
        <is>
          <t>Both plans</t>
        </is>
      </c>
      <c r="M4" s="8" t="inlineStr">
        <is>
          <t>Goggles; never taste. Notes: Y8 W1: Optional scene table only</t>
        </is>
      </c>
    </row>
    <row r="5">
      <c r="A5" s="8" t="inlineStr">
        <is>
          <t>Pen pre-test strips (answer key)</t>
        </is>
      </c>
      <c r="B5" s="8" t="inlineStr">
        <is>
          <t>A号笔到D号笔预测试滤纸条（答案）</t>
        </is>
      </c>
      <c r="C5" s="8" t="inlineStr">
        <is>
          <t>Dried chromatograms of each pen on coffee-filter strips 2 cm x 10 cm.</t>
        </is>
      </c>
      <c r="D5" s="8" t="inlineStr">
        <is>
          <t>Reusable</t>
        </is>
      </c>
      <c r="E5" s="9">
        <f>ROUND(MAX(N('Data by week'!$I$171)*'Data by week'!$H$171,N('Data by week'!$J$171)*'Data by week'!$H$171,N('Data by week'!$K$171)*'Data by week'!$H$171,N('Data by week'!$L$171)*'Data by week'!$H$171,N('Data by week'!$M$171)*'Data by week'!$H$171,N('Data by week'!$N$171)*'Data by week'!$H$171,N('Data by week'!$O$171)*'Data by week'!$H$171,N('Data by week'!$P$171)*'Data by week'!$H$171,N('Data by week'!$Q$171)*'Data by week'!$H$171,N('Data by week'!$R$171)*'Data by week'!$H$171),2)</f>
        <v/>
      </c>
      <c r="F5" s="9">
        <f>ROUND(MAX(N('Data by week'!$S$171)*'Data by week'!$H$171,N('Data by week'!$T$171)*'Data by week'!$H$171,N('Data by week'!$U$171)*'Data by week'!$H$171,N('Data by week'!$V$171)*'Data by week'!$H$171,N('Data by week'!$W$171)*'Data by week'!$H$171,N('Data by week'!$X$171)*'Data by week'!$H$171,N('Data by week'!$Y$171)*'Data by week'!$H$171,N('Data by week'!$Z$171)*'Data by week'!$H$171,N('Data by week'!$AA$171)*'Data by week'!$H$171,N('Data by week'!$AB$171)*'Data by week'!$H$171),2)</f>
        <v/>
      </c>
      <c r="G5" s="9">
        <f>ROUND(MAX(N('Data by week'!$AC$171)*'Data by week'!$H$171,N('Data by week'!$AD$171)*'Data by week'!$H$171,N('Data by week'!$AE$171)*'Data by week'!$H$171,N('Data by week'!$AF$171)*'Data by week'!$H$171,N('Data by week'!$AG$171)*'Data by week'!$H$171,N('Data by week'!$AH$171)*'Data by week'!$H$171,N('Data by week'!$AI$171)*'Data by week'!$H$171,N('Data by week'!$AJ$171)*'Data by week'!$H$171,N('Data by week'!$AK$171)*'Data by week'!$H$171,N('Data by week'!$AL$171)*'Data by week'!$H$171),2)</f>
        <v/>
      </c>
      <c r="H5" s="10">
        <f>MAX(E5:G5)</f>
        <v/>
      </c>
      <c r="I5" s="8" t="inlineStr">
        <is>
          <t>strips</t>
        </is>
      </c>
      <c r="J5" s="8" t="inlineStr">
        <is>
          <t>Week 1</t>
        </is>
      </c>
      <c r="K5" s="8" t="inlineStr">
        <is>
          <t>Year 8: W1, W8</t>
        </is>
      </c>
      <c r="L5" s="8" t="inlineStr">
        <is>
          <t>Both plans</t>
        </is>
      </c>
      <c r="M5" s="8" t="inlineStr">
        <is>
          <t>Notes: Y8 W1: One per pen A to D in water (about 20 minutes, two weeks before Week 3); kept as answer key and backup lab results; one is shown in the Week 3 Hook. Ingredients: coffee-filter strips, pens, pencil, cups, water | Y8 W8: Ink 2 pre-test: pens A, B and an N strip in salt water and in vinegar; kept as backup lab report and answer key. Ingredients: coffee-filter strips, pens A and B, N strips, cups, salt, vinegar</t>
        </is>
      </c>
    </row>
    <row r="6">
      <c r="A6" s="8" t="inlineStr">
        <is>
          <t>Scene table (optional Week 1 display)</t>
        </is>
      </c>
      <c r="B6" s="8" t="inlineStr">
        <is>
          <t>案发现场展示桌（第1周，可选）</t>
        </is>
      </c>
      <c r="C6" s="8" t="inlineStr">
        <is>
          <t>A glass, the pen-B note, a teaspoon of baking soda on a dark tray, a saucer of scene liquid, a 24 cm paper footprint, and an A5 sign 'Evidence: do not touch'.</t>
        </is>
      </c>
      <c r="D6" s="8" t="inlineStr">
        <is>
          <t>Reusable</t>
        </is>
      </c>
      <c r="E6" s="9">
        <f>ROUND(MAX(N('Data by week'!$I$172)*'Data by week'!$H$172,N('Data by week'!$J$172)*'Data by week'!$H$172,N('Data by week'!$K$172)*'Data by week'!$H$172,N('Data by week'!$L$172)*'Data by week'!$H$172,N('Data by week'!$M$172)*'Data by week'!$H$172,N('Data by week'!$N$172)*'Data by week'!$H$172,N('Data by week'!$O$172)*'Data by week'!$H$172,N('Data by week'!$P$172)*'Data by week'!$H$172,N('Data by week'!$Q$172)*'Data by week'!$H$172,N('Data by week'!$R$172)*'Data by week'!$H$172),2)</f>
        <v/>
      </c>
      <c r="F6" s="9">
        <f>ROUND(MAX(N('Data by week'!$S$172)*'Data by week'!$H$172,N('Data by week'!$T$172)*'Data by week'!$H$172,N('Data by week'!$U$172)*'Data by week'!$H$172,N('Data by week'!$V$172)*'Data by week'!$H$172,N('Data by week'!$W$172)*'Data by week'!$H$172,N('Data by week'!$X$172)*'Data by week'!$H$172,N('Data by week'!$Y$172)*'Data by week'!$H$172,N('Data by week'!$Z$172)*'Data by week'!$H$172,N('Data by week'!$AA$172)*'Data by week'!$H$172,N('Data by week'!$AB$172)*'Data by week'!$H$172),2)</f>
        <v/>
      </c>
      <c r="G6" s="9">
        <f>ROUND(MAX(N('Data by week'!$AC$172)*'Data by week'!$H$172,N('Data by week'!$AD$172)*'Data by week'!$H$172,N('Data by week'!$AE$172)*'Data by week'!$H$172,N('Data by week'!$AF$172)*'Data by week'!$H$172,N('Data by week'!$AG$172)*'Data by week'!$H$172,N('Data by week'!$AH$172)*'Data by week'!$H$172,N('Data by week'!$AI$172)*'Data by week'!$H$172,N('Data by week'!$AJ$172)*'Data by week'!$H$172,N('Data by week'!$AK$172)*'Data by week'!$H$172,N('Data by week'!$AL$172)*'Data by week'!$H$172),2)</f>
        <v/>
      </c>
      <c r="H6" s="10">
        <f>MAX(E6:G6)</f>
        <v/>
      </c>
      <c r="I6" s="8" t="inlineStr">
        <is>
          <t>display</t>
        </is>
      </c>
      <c r="J6" s="8" t="inlineStr">
        <is>
          <t>Week 1</t>
        </is>
      </c>
      <c r="K6" s="8" t="inlineStr">
        <is>
          <t>Year 8: W1</t>
        </is>
      </c>
      <c r="L6" s="8" t="inlineStr">
        <is>
          <t>Both plans</t>
        </is>
      </c>
      <c r="M6" s="8" t="inlineStr">
        <is>
          <t>Look only: do not touch, taste or smell the evidence. Notes: Y8 W1: Optional, 5 minutes to set up at the front of the room</t>
        </is>
      </c>
    </row>
    <row r="7">
      <c r="A7" s="8" t="inlineStr">
        <is>
          <t>Soap solution</t>
        </is>
      </c>
      <c r="B7" s="8" t="inlineStr">
        <is>
          <t>肥皂水</t>
        </is>
      </c>
      <c r="C7" s="8" t="inlineStr">
        <is>
          <t>About 1 teaspoon grated plain bar soap in 200 ml warm water, stirred until cloudy.</t>
        </is>
      </c>
      <c r="D7" s="8" t="inlineStr">
        <is>
          <t>Used up</t>
        </is>
      </c>
      <c r="E7" s="9">
        <f>ROUND('Data by week'!$AW$173*'Data by week'!$H$173,2)</f>
        <v/>
      </c>
      <c r="F7" s="9">
        <f>ROUND('Data by week'!$AX$173*'Data by week'!$H$173,2)</f>
        <v/>
      </c>
      <c r="G7" s="9">
        <f>ROUND('Data by week'!$AY$173*'Data by week'!$H$173,2)</f>
        <v/>
      </c>
      <c r="H7" s="10">
        <f>ROUNDUP(E7*'Read me'!$C$5+F7*'Read me'!$C$6+G7*'Read me'!$C$7,0)</f>
        <v/>
      </c>
      <c r="I7" s="8" t="inlineStr">
        <is>
          <t>small batch</t>
        </is>
      </c>
      <c r="J7" s="8" t="inlineStr">
        <is>
          <t>Week 1</t>
        </is>
      </c>
      <c r="K7" s="8" t="inlineStr">
        <is>
          <t>Year 8: W1</t>
        </is>
      </c>
      <c r="L7" s="8" t="inlineStr">
        <is>
          <t>Both plans</t>
        </is>
      </c>
      <c r="M7" s="8" t="inlineStr">
        <is>
          <t>Stings eyes: goggles. Notes: Y8 W1: Optional, for the scene table liquid only</t>
        </is>
      </c>
    </row>
    <row r="8">
      <c r="A8" s="8" t="inlineStr">
        <is>
          <t>Mystery cups (12, labelled A to L)</t>
        </is>
      </c>
      <c r="B8" s="8" t="inlineStr">
        <is>
          <t>神秘杯子（12个，A至L）</t>
        </is>
      </c>
      <c r="C8" s="8" t="inlineStr">
        <is>
          <t>One object in an opaque paper cup, second cup upside down on top, taped all round with masking tape, letter underneath; key kept on the teacher desk.</t>
        </is>
      </c>
      <c r="D8" s="8" t="inlineStr">
        <is>
          <t>Reusable</t>
        </is>
      </c>
      <c r="E8" s="9">
        <f>ROUND(MAX(N('Data by week'!$I$174)*'Data by week'!$H$174,N('Data by week'!$J$174)*'Data by week'!$H$174,N('Data by week'!$K$174)*'Data by week'!$H$174,N('Data by week'!$L$174)*'Data by week'!$H$174,N('Data by week'!$M$174)*'Data by week'!$H$174,N('Data by week'!$N$174)*'Data by week'!$H$174,N('Data by week'!$O$174)*'Data by week'!$H$174,N('Data by week'!$P$174)*'Data by week'!$H$174,N('Data by week'!$Q$174)*'Data by week'!$H$174,N('Data by week'!$R$174)*'Data by week'!$H$174),2)</f>
        <v/>
      </c>
      <c r="F8" s="9">
        <f>ROUND(MAX(N('Data by week'!$S$174)*'Data by week'!$H$174,N('Data by week'!$T$174)*'Data by week'!$H$174,N('Data by week'!$U$174)*'Data by week'!$H$174,N('Data by week'!$V$174)*'Data by week'!$H$174,N('Data by week'!$W$174)*'Data by week'!$H$174,N('Data by week'!$X$174)*'Data by week'!$H$174,N('Data by week'!$Y$174)*'Data by week'!$H$174,N('Data by week'!$Z$174)*'Data by week'!$H$174,N('Data by week'!$AA$174)*'Data by week'!$H$174,N('Data by week'!$AB$174)*'Data by week'!$H$174),2)</f>
        <v/>
      </c>
      <c r="G8" s="9">
        <f>ROUND(MAX(N('Data by week'!$AC$174)*'Data by week'!$H$174,N('Data by week'!$AD$174)*'Data by week'!$H$174,N('Data by week'!$AE$174)*'Data by week'!$H$174,N('Data by week'!$AF$174)*'Data by week'!$H$174,N('Data by week'!$AG$174)*'Data by week'!$H$174,N('Data by week'!$AH$174)*'Data by week'!$H$174,N('Data by week'!$AI$174)*'Data by week'!$H$174,N('Data by week'!$AJ$174)*'Data by week'!$H$174,N('Data by week'!$AK$174)*'Data by week'!$H$174,N('Data by week'!$AL$174)*'Data by week'!$H$174),2)</f>
        <v/>
      </c>
      <c r="H8" s="10">
        <f>MAX(E8:G8)</f>
        <v/>
      </c>
      <c r="I8" s="8" t="inlineStr">
        <is>
          <t>cups</t>
        </is>
      </c>
      <c r="J8" s="8" t="inlineStr">
        <is>
          <t>Week 2</t>
        </is>
      </c>
      <c r="K8" s="8" t="inlineStr">
        <is>
          <t>Year 7: W2</t>
        </is>
      </c>
      <c r="L8" s="8" t="inlineStr">
        <is>
          <t>Both plans</t>
        </is>
      </c>
      <c r="M8" s="8" t="inlineStr">
        <is>
          <t>Keep the cups sealed; never put small objects in your mouth. Notes: Y7 W2: 2 per group, different contents for neighbouring groups. Made in Week 1 (15 min) from paper cups, masking tape, marbles, cotton ball, coin, paper clip, rice, eraser, dice, bell, bottle cap, wooden block (L empty)</t>
        </is>
      </c>
    </row>
    <row r="9">
      <c r="A9" s="8" t="inlineStr">
        <is>
          <t>Demo paper spinners (S and L)</t>
        </is>
      </c>
      <c r="B9" s="8" t="inlineStr">
        <is>
          <t>演示用纸直升机（S号和L号）</t>
        </is>
      </c>
      <c r="C9" s="8" t="inlineStr">
        <is>
          <t>S (4 cm wings) and L (8 cm wings), made from the spinner template card with one paper clip each.</t>
        </is>
      </c>
      <c r="D9" s="8" t="inlineStr">
        <is>
          <t>Reusable</t>
        </is>
      </c>
      <c r="E9" s="9">
        <f>ROUND(MAX(N('Data by week'!$I$175)*'Data by week'!$H$175,N('Data by week'!$J$175)*'Data by week'!$H$175,N('Data by week'!$K$175)*'Data by week'!$H$175,N('Data by week'!$L$175)*'Data by week'!$H$175,N('Data by week'!$M$175)*'Data by week'!$H$175,N('Data by week'!$N$175)*'Data by week'!$H$175,N('Data by week'!$O$175)*'Data by week'!$H$175,N('Data by week'!$P$175)*'Data by week'!$H$175,N('Data by week'!$Q$175)*'Data by week'!$H$175,N('Data by week'!$R$175)*'Data by week'!$H$175),2)</f>
        <v/>
      </c>
      <c r="F9" s="9">
        <f>ROUND(MAX(N('Data by week'!$S$175)*'Data by week'!$H$175,N('Data by week'!$T$175)*'Data by week'!$H$175,N('Data by week'!$U$175)*'Data by week'!$H$175,N('Data by week'!$V$175)*'Data by week'!$H$175,N('Data by week'!$W$175)*'Data by week'!$H$175,N('Data by week'!$X$175)*'Data by week'!$H$175,N('Data by week'!$Y$175)*'Data by week'!$H$175,N('Data by week'!$Z$175)*'Data by week'!$H$175,N('Data by week'!$AA$175)*'Data by week'!$H$175,N('Data by week'!$AB$175)*'Data by week'!$H$175),2)</f>
        <v/>
      </c>
      <c r="G9" s="9">
        <f>ROUND(MAX(N('Data by week'!$AC$175)*'Data by week'!$H$175,N('Data by week'!$AD$175)*'Data by week'!$H$175,N('Data by week'!$AE$175)*'Data by week'!$H$175,N('Data by week'!$AF$175)*'Data by week'!$H$175,N('Data by week'!$AG$175)*'Data by week'!$H$175,N('Data by week'!$AH$175)*'Data by week'!$H$175,N('Data by week'!$AI$175)*'Data by week'!$H$175,N('Data by week'!$AJ$175)*'Data by week'!$H$175,N('Data by week'!$AK$175)*'Data by week'!$H$175,N('Data by week'!$AL$175)*'Data by week'!$H$175),2)</f>
        <v/>
      </c>
      <c r="H9" s="10">
        <f>MAX(E9:G9)</f>
        <v/>
      </c>
      <c r="I9" s="8" t="inlineStr">
        <is>
          <t>spinners</t>
        </is>
      </c>
      <c r="J9" s="8" t="inlineStr">
        <is>
          <t>Week 3</t>
        </is>
      </c>
      <c r="K9" s="8" t="inlineStr">
        <is>
          <t>Year 7: W3, W4, W5</t>
        </is>
      </c>
      <c r="L9" s="8" t="inlineStr">
        <is>
          <t>Both plans</t>
        </is>
      </c>
      <c r="M9" s="8" t="inlineStr">
        <is>
          <t>Notes: Y7 W3: S and L for the Hook demo, tested once | Y7 W4: One L spinner for the Hook | Y7 W5: Clean-up: keep two sets of S, M and L from the group sets as a demo for the incoming teacher (no new spinners made)</t>
        </is>
      </c>
    </row>
    <row r="10">
      <c r="A10" s="8" t="inlineStr">
        <is>
          <t>Note ink strips 'N'</t>
        </is>
      </c>
      <c r="B10" s="8" t="inlineStr">
        <is>
          <t>纸条墨水N滤纸条</t>
        </is>
      </c>
      <c r="C10" s="8" t="inlineStr">
        <is>
          <t>Coffee-filter strip 2 cm x 10 cm, pencil line 2 cm from the bottom, 'N' in pencil at the top, pen B dotted on the line three times.</t>
        </is>
      </c>
      <c r="D10" s="8" t="inlineStr">
        <is>
          <t>Used up</t>
        </is>
      </c>
      <c r="E10" s="9">
        <f>ROUND('Data by week'!$AW$176*'Data by week'!$H$176,2)</f>
        <v/>
      </c>
      <c r="F10" s="9">
        <f>ROUND('Data by week'!$AX$176*'Data by week'!$H$176,2)</f>
        <v/>
      </c>
      <c r="G10" s="9">
        <f>ROUND('Data by week'!$AY$176*'Data by week'!$H$176,2)</f>
        <v/>
      </c>
      <c r="H10" s="10">
        <f>ROUNDUP(E10*'Read me'!$C$5+F10*'Read me'!$C$6+G10*'Read me'!$C$7,0)</f>
        <v/>
      </c>
      <c r="I10" s="8" t="inlineStr">
        <is>
          <t>strips</t>
        </is>
      </c>
      <c r="J10" s="8" t="inlineStr">
        <is>
          <t>Week 3</t>
        </is>
      </c>
      <c r="K10" s="8" t="inlineStr">
        <is>
          <t>Year 8: W3, W7, W8</t>
        </is>
      </c>
      <c r="L10" s="8" t="inlineStr">
        <is>
          <t>Both plans</t>
        </is>
      </c>
      <c r="M10" s="8" t="inlineStr">
        <is>
          <t>Notes: Y8 W3: 1 per group plus 2 spare (about 10 minutes per class). Ingredients: coffee-filter strips, pen B, pencil | Y8 W7: Ink 2 groups: 1 N strip each shown in a clear sleeve; 2 groups maximum (the 2 Week 3 spares can be used) | Y8 W8: Ink 2: 6 per group (2 groups maximum) plus 2 for the teacher's salt water and vinegar pre-test; kit card adds 'plus spares' without a number</t>
        </is>
      </c>
    </row>
    <row r="11">
      <c r="A11" s="8" t="inlineStr">
        <is>
          <t>PRIZE strip (teacher-made)</t>
        </is>
      </c>
      <c r="B11" s="8" t="inlineStr">
        <is>
          <t>奖励纸条（教师自制）</t>
        </is>
      </c>
      <c r="C11" s="8" t="inlineStr">
        <is>
          <t>About 15 x 3 cm, cut from A4 card, with 'PRIZE: first choice of role next week' written on it.</t>
        </is>
      </c>
      <c r="D11" s="8" t="inlineStr">
        <is>
          <t>Used up</t>
        </is>
      </c>
      <c r="E11" s="9">
        <f>ROUND('Data by week'!$AW$177*'Data by week'!$H$177,2)</f>
        <v/>
      </c>
      <c r="F11" s="9">
        <f>ROUND('Data by week'!$AX$177*'Data by week'!$H$177,2)</f>
        <v/>
      </c>
      <c r="G11" s="9">
        <f>ROUND('Data by week'!$AY$177*'Data by week'!$H$177,2)</f>
        <v/>
      </c>
      <c r="H11" s="10">
        <f>ROUNDUP(E11*'Read me'!$C$5+F11*'Read me'!$C$6+G11*'Read me'!$C$7,0)</f>
        <v/>
      </c>
      <c r="I11" s="8" t="inlineStr">
        <is>
          <t>strips</t>
        </is>
      </c>
      <c r="J11" s="8" t="inlineStr">
        <is>
          <t>Week 3</t>
        </is>
      </c>
      <c r="K11" s="8" t="inlineStr">
        <is>
          <t>Year 9: W3</t>
        </is>
      </c>
      <c r="L11" s="8" t="inlineStr">
        <is>
          <t>Both plans</t>
        </is>
      </c>
      <c r="M11" s="8" t="inlineStr">
        <is>
          <t>Notes: Y9 W3: 1 plus a spare, for the Hook</t>
        </is>
      </c>
    </row>
    <row r="12">
      <c r="A12" s="8" t="inlineStr">
        <is>
          <t>Wall drop marks (2.0 m and 1.8 m)</t>
        </is>
      </c>
      <c r="B12" s="8" t="inlineStr">
        <is>
          <t>墙面下落标记（2.0米和1.8米）</t>
        </is>
      </c>
      <c r="C12" s="8" t="inlineStr">
        <is>
          <t>Masking tape at exactly 2.0 m plus a second mark at 1.8 m, away from windows, fans and air-conditioning vents.</t>
        </is>
      </c>
      <c r="D12" s="8" t="inlineStr">
        <is>
          <t>Reusable</t>
        </is>
      </c>
      <c r="E12" s="9">
        <f>ROUND(MAX(N('Data by week'!$I$178)*'Data by week'!$H$178,N('Data by week'!$J$178)*'Data by week'!$H$178,N('Data by week'!$K$178)*'Data by week'!$H$178,N('Data by week'!$L$178)*'Data by week'!$H$178,N('Data by week'!$M$178)*'Data by week'!$H$178,N('Data by week'!$N$178)*'Data by week'!$H$178,N('Data by week'!$O$178)*'Data by week'!$H$178,N('Data by week'!$P$178)*'Data by week'!$H$178,N('Data by week'!$Q$178)*'Data by week'!$H$178,N('Data by week'!$R$178)*'Data by week'!$H$178),2)</f>
        <v/>
      </c>
      <c r="F12" s="9">
        <f>ROUND(MAX(N('Data by week'!$S$178)*'Data by week'!$H$178,N('Data by week'!$T$178)*'Data by week'!$H$178,N('Data by week'!$U$178)*'Data by week'!$H$178,N('Data by week'!$V$178)*'Data by week'!$H$178,N('Data by week'!$W$178)*'Data by week'!$H$178,N('Data by week'!$X$178)*'Data by week'!$H$178,N('Data by week'!$Y$178)*'Data by week'!$H$178,N('Data by week'!$Z$178)*'Data by week'!$H$178,N('Data by week'!$AA$178)*'Data by week'!$H$178,N('Data by week'!$AB$178)*'Data by week'!$H$178),2)</f>
        <v/>
      </c>
      <c r="G12" s="9">
        <f>ROUND(MAX(N('Data by week'!$AC$178)*'Data by week'!$H$178,N('Data by week'!$AD$178)*'Data by week'!$H$178,N('Data by week'!$AE$178)*'Data by week'!$H$178,N('Data by week'!$AF$178)*'Data by week'!$H$178,N('Data by week'!$AG$178)*'Data by week'!$H$178,N('Data by week'!$AH$178)*'Data by week'!$H$178,N('Data by week'!$AI$178)*'Data by week'!$H$178,N('Data by week'!$AJ$178)*'Data by week'!$H$178,N('Data by week'!$AK$178)*'Data by week'!$H$178,N('Data by week'!$AL$178)*'Data by week'!$H$178),2)</f>
        <v/>
      </c>
      <c r="H12" s="10">
        <f>MAX(E12:G12)</f>
        <v/>
      </c>
      <c r="I12" s="8" t="inlineStr">
        <is>
          <t>stations</t>
        </is>
      </c>
      <c r="J12" s="8" t="inlineStr">
        <is>
          <t>Week 3</t>
        </is>
      </c>
      <c r="K12" s="8" t="inlineStr">
        <is>
          <t>Year 7: W3, W4</t>
        </is>
      </c>
      <c r="L12" s="8" t="inlineStr">
        <is>
          <t>Both plans</t>
        </is>
      </c>
      <c r="M12" s="8" t="inlineStr">
        <is>
          <t>Keep bags off the floor under the drop marks. Notes: Y7 W3: Measured with a metre stick (10 min) | Y7 W4: Check and re-press</t>
        </is>
      </c>
    </row>
    <row r="13">
      <c r="A13" s="8" t="inlineStr">
        <is>
          <t>Evidence 3: scene powder</t>
        </is>
      </c>
      <c r="B13" s="8" t="inlineStr">
        <is>
          <t>证据3：现场白色粉末</t>
        </is>
      </c>
      <c r="C13" s="8" t="inlineStr">
        <is>
          <t>Baking soda, labelled 'Evidence 3: white powder, floor by desk (F4)'.</t>
        </is>
      </c>
      <c r="D13" s="8" t="inlineStr">
        <is>
          <t>Used up</t>
        </is>
      </c>
      <c r="E13" s="9">
        <f>ROUND('Data by week'!$AW$179*'Data by week'!$H$179,2)</f>
        <v/>
      </c>
      <c r="F13" s="9">
        <f>ROUND('Data by week'!$AX$179*'Data by week'!$H$179,2)</f>
        <v/>
      </c>
      <c r="G13" s="9">
        <f>ROUND('Data by week'!$AY$179*'Data by week'!$H$179,2)</f>
        <v/>
      </c>
      <c r="H13" s="10">
        <f>ROUNDUP(E13*'Read me'!$C$5+F13*'Read me'!$C$6+G13*'Read me'!$C$7,0)</f>
        <v/>
      </c>
      <c r="I13" s="8" t="inlineStr">
        <is>
          <t>bags</t>
        </is>
      </c>
      <c r="J13" s="8" t="inlineStr">
        <is>
          <t>Week 4</t>
        </is>
      </c>
      <c r="K13" s="8" t="inlineStr">
        <is>
          <t>Year 8: W4, W7</t>
        </is>
      </c>
      <c r="L13" s="8" t="inlineStr">
        <is>
          <t>Both plans</t>
        </is>
      </c>
      <c r="M13" s="8" t="inlineStr">
        <is>
          <t>Never taste. Notes: Y8 W4: About 3 teaspoons per group in a zip bag or lidded pot; test one portion yourself: it must fizz strongly with vinegar | Y8 W7: 1 sealed Evidence 3 bag per Powder 2 group, 2 groups maximum: an unopened Week 4 bag if one is left, otherwise a new bag of about 3 teaspoons of baking soda. Ingredients: baking soda, zip bags, labels</t>
        </is>
      </c>
    </row>
    <row r="14">
      <c r="A14" s="8" t="inlineStr">
        <is>
          <t>Known powder sets</t>
        </is>
      </c>
      <c r="B14" s="8" t="inlineStr">
        <is>
          <t>已知粉末套装</t>
        </is>
      </c>
      <c r="C14" s="8" t="inlineStr">
        <is>
          <t>5 labelled pots per group: salt, sugar, baking soda, cornflour, flour, about 2 teaspoons each.</t>
        </is>
      </c>
      <c r="D14" s="8" t="inlineStr">
        <is>
          <t>Used up</t>
        </is>
      </c>
      <c r="E14" s="9">
        <f>ROUND('Data by week'!$AW$180*'Data by week'!$H$180,2)</f>
        <v/>
      </c>
      <c r="F14" s="9">
        <f>ROUND('Data by week'!$AX$180*'Data by week'!$H$180,2)</f>
        <v/>
      </c>
      <c r="G14" s="9">
        <f>ROUND('Data by week'!$AY$180*'Data by week'!$H$180,2)</f>
        <v/>
      </c>
      <c r="H14" s="10">
        <f>ROUNDUP(E14*'Read me'!$C$5+F14*'Read me'!$C$6+G14*'Read me'!$C$7,0)</f>
        <v/>
      </c>
      <c r="I14" s="8" t="inlineStr">
        <is>
          <t>sets</t>
        </is>
      </c>
      <c r="J14" s="8" t="inlineStr">
        <is>
          <t>Week 4</t>
        </is>
      </c>
      <c r="K14" s="8" t="inlineStr">
        <is>
          <t>Year 8: W4</t>
        </is>
      </c>
      <c r="L14" s="8" t="inlineStr">
        <is>
          <t>Both plans</t>
        </is>
      </c>
      <c r="M14" s="8" t="inlineStr">
        <is>
          <t>Check the allergy list (wheat flour, corn) first. No tasting; avoid dust clouds. Notes: Y8 W4: 1 set per group. Ingredients: salt, sugar, baking soda, cornflour, plain flour, lidded pots, labels</t>
        </is>
      </c>
    </row>
    <row r="15">
      <c r="A15" s="8" t="inlineStr">
        <is>
          <t>Baking soda solution</t>
        </is>
      </c>
      <c r="B15" s="8" t="inlineStr">
        <is>
          <t>小苏打溶液</t>
        </is>
      </c>
      <c r="C15" s="8" t="inlineStr">
        <is>
          <t>Baking soda dissolved in water (strength not given in the files).</t>
        </is>
      </c>
      <c r="D15" s="8" t="inlineStr">
        <is>
          <t>Used up</t>
        </is>
      </c>
      <c r="E15" s="9">
        <f>ROUND('Data by week'!$AW$181*'Data by week'!$H$181,2)</f>
        <v/>
      </c>
      <c r="F15" s="9">
        <f>ROUND('Data by week'!$AX$181*'Data by week'!$H$181,2)</f>
        <v/>
      </c>
      <c r="G15" s="9">
        <f>ROUND('Data by week'!$AY$181*'Data by week'!$H$181,2)</f>
        <v/>
      </c>
      <c r="H15" s="10">
        <f>ROUNDUP(E15*'Read me'!$C$5+F15*'Read me'!$C$6+G15*'Read me'!$C$7,0)</f>
        <v/>
      </c>
      <c r="I15" s="8" t="inlineStr">
        <is>
          <t>ml</t>
        </is>
      </c>
      <c r="J15" s="8" t="inlineStr">
        <is>
          <t>Week 5</t>
        </is>
      </c>
      <c r="K15" s="8" t="inlineStr">
        <is>
          <t>Year 8: W5</t>
        </is>
      </c>
      <c r="L15" s="8" t="inlineStr">
        <is>
          <t>Both plans</t>
        </is>
      </c>
      <c r="M15" s="8" t="inlineStr">
        <is>
          <t>Goggles; no tasting. Notes: Y8 W5: Reference cups (10 ml per group), half of the scene liquid, and the Hook demo (amount assumed; about 130 ml if the scene liquid is made at the Case Bible's 20 ml per group). Ingredients: baking soda, water</t>
        </is>
      </c>
    </row>
    <row r="16">
      <c r="A16" s="8" t="inlineStr">
        <is>
          <t>Evidence 4: scene liquid</t>
        </is>
      </c>
      <c r="B16" s="8" t="inlineStr">
        <is>
          <t>证据4：现场液体</t>
        </is>
      </c>
      <c r="C16" s="8" t="inlineStr">
        <is>
          <t>Equal amounts of soap solution and baking soda solution; labelled 'Evidence 4: liquid, floor by sink (I2)'.</t>
        </is>
      </c>
      <c r="D16" s="8" t="inlineStr">
        <is>
          <t>Used up</t>
        </is>
      </c>
      <c r="E16" s="9">
        <f>ROUND('Data by week'!$AW$182*'Data by week'!$H$182,2)</f>
        <v/>
      </c>
      <c r="F16" s="9">
        <f>ROUND('Data by week'!$AX$182*'Data by week'!$H$182,2)</f>
        <v/>
      </c>
      <c r="G16" s="9">
        <f>ROUND('Data by week'!$AY$182*'Data by week'!$H$182,2)</f>
        <v/>
      </c>
      <c r="H16" s="10">
        <f>ROUNDUP(E16*'Read me'!$C$5+F16*'Read me'!$C$6+G16*'Read me'!$C$7,0)</f>
        <v/>
      </c>
      <c r="I16" s="8" t="inlineStr">
        <is>
          <t>ml</t>
        </is>
      </c>
      <c r="J16" s="8" t="inlineStr">
        <is>
          <t>Week 5</t>
        </is>
      </c>
      <c r="K16" s="8" t="inlineStr">
        <is>
          <t>Year 8: W5</t>
        </is>
      </c>
      <c r="L16" s="8" t="inlineStr">
        <is>
          <t>Both plans</t>
        </is>
      </c>
      <c r="M16" s="8" t="inlineStr">
        <is>
          <t>Goggles; never taste. Notes: Y8 W5: About 10 ml per group in a labelled cup (kit card); the Case Bible, which says it wins over lesson files, gives about 20 ml per group (120 ml). Test it yourself: it must turn the indicator blue-green, not purple</t>
        </is>
      </c>
    </row>
    <row r="17">
      <c r="A17" s="8" t="inlineStr">
        <is>
          <t>Foil troughs</t>
        </is>
      </c>
      <c r="B17" s="8" t="inlineStr">
        <is>
          <t>铝箔槽</t>
        </is>
      </c>
      <c r="C17" s="8" t="inlineStr">
        <is>
          <t>12 cm x 2 cm inside, sides about 1.5 cm high, 3 cm flat tab at one end; folded round the template block from double-thickness foil.</t>
        </is>
      </c>
      <c r="D17" s="8" t="inlineStr">
        <is>
          <t>Used up</t>
        </is>
      </c>
      <c r="E17" s="9">
        <f>ROUND('Data by week'!$AW$183*'Data by week'!$H$183,2)</f>
        <v/>
      </c>
      <c r="F17" s="9">
        <f>ROUND('Data by week'!$AX$183*'Data by week'!$H$183,2)</f>
        <v/>
      </c>
      <c r="G17" s="9">
        <f>ROUND('Data by week'!$AY$183*'Data by week'!$H$183,2)</f>
        <v/>
      </c>
      <c r="H17" s="10">
        <f>ROUNDUP(E17*'Read me'!$C$5+F17*'Read me'!$C$6+G17*'Read me'!$C$7,0)</f>
        <v/>
      </c>
      <c r="I17" s="8" t="inlineStr">
        <is>
          <t>troughs</t>
        </is>
      </c>
      <c r="J17" s="8" t="inlineStr">
        <is>
          <t>Week 5</t>
        </is>
      </c>
      <c r="K17" s="8" t="inlineStr">
        <is>
          <t>Year 7: W5, W7</t>
        </is>
      </c>
      <c r="L17" s="8" t="inlineStr">
        <is>
          <t>Both plans</t>
        </is>
      </c>
      <c r="M17" s="8" t="inlineStr">
        <is>
          <t>Notes: Y7 W5: Trial: 3 plain strips to test + 2 spare plain strips kept for the Week 8 Hook | Y7 W7: 10 per group (9 + 1 spare); about 25 min to fold</t>
        </is>
      </c>
    </row>
    <row r="18">
      <c r="A18" s="8" t="inlineStr">
        <is>
          <t>Hanger strings, pre-tied</t>
        </is>
      </c>
      <c r="B18" s="8" t="inlineStr">
        <is>
          <t>预先系好的挂绳（绳圈）</t>
        </is>
      </c>
      <c r="C18" s="8" t="inlineStr">
        <is>
          <t>Loop about 20 cm round to slip over the strip, tail long enough that the bag hangs about 5 cm above the bucket bottom.</t>
        </is>
      </c>
      <c r="D18" s="8" t="inlineStr">
        <is>
          <t>Used up</t>
        </is>
      </c>
      <c r="E18" s="9">
        <f>ROUND('Data by week'!$AW$184*'Data by week'!$H$184,2)</f>
        <v/>
      </c>
      <c r="F18" s="9">
        <f>ROUND('Data by week'!$AX$184*'Data by week'!$H$184,2)</f>
        <v/>
      </c>
      <c r="G18" s="9">
        <f>ROUND('Data by week'!$AY$184*'Data by week'!$H$184,2)</f>
        <v/>
      </c>
      <c r="H18" s="10">
        <f>ROUNDUP(E18*'Read me'!$C$5+F18*'Read me'!$C$6+G18*'Read me'!$C$7,0)</f>
        <v/>
      </c>
      <c r="I18" s="8" t="inlineStr">
        <is>
          <t>strings</t>
        </is>
      </c>
      <c r="J18" s="8" t="inlineStr">
        <is>
          <t>Week 5</t>
        </is>
      </c>
      <c r="K18" s="8" t="inlineStr">
        <is>
          <t>Year 7: W5, W8</t>
        </is>
      </c>
      <c r="L18" s="8" t="inlineStr">
        <is>
          <t>Both plans</t>
        </is>
      </c>
      <c r="M18" s="8" t="inlineStr">
        <is>
          <t>Notes: Y7 W5: Trial rig | Y7 W8: 2 per group + 1 demo rig</t>
        </is>
      </c>
    </row>
    <row r="19">
      <c r="A19" s="8" t="inlineStr">
        <is>
          <t>Plain trial strips</t>
        </is>
      </c>
      <c r="B19" s="8" t="inlineStr">
        <is>
          <t>普通试验样品条</t>
        </is>
      </c>
      <c r="C19" s="8" t="inlineStr">
        <is>
          <t>5 mm plain strips: 12 ml water frozen (Plan A) or 18 g dough dried a week (Plan B), in the class foil troughs.</t>
        </is>
      </c>
      <c r="D19" s="8" t="inlineStr">
        <is>
          <t>Used up</t>
        </is>
      </c>
      <c r="E19" s="9">
        <f>ROUND('Data by week'!$AW$185*'Data by week'!$H$185,2)</f>
        <v/>
      </c>
      <c r="F19" s="9">
        <f>ROUND('Data by week'!$AX$185*'Data by week'!$H$185,2)</f>
        <v/>
      </c>
      <c r="G19" s="9">
        <f>ROUND('Data by week'!$AY$185*'Data by week'!$H$185,2)</f>
        <v/>
      </c>
      <c r="H19" s="10">
        <f>ROUNDUP(E19*'Read me'!$C$5+F19*'Read me'!$C$6+G19*'Read me'!$C$7,0)</f>
        <v/>
      </c>
      <c r="I19" s="8" t="inlineStr">
        <is>
          <t>strips</t>
        </is>
      </c>
      <c r="J19" s="8" t="inlineStr">
        <is>
          <t>Week 5</t>
        </is>
      </c>
      <c r="K19" s="8" t="inlineStr">
        <is>
          <t>Year 7: W5, W8</t>
        </is>
      </c>
      <c r="L19" s="8" t="inlineStr">
        <is>
          <t>Both plans</t>
        </is>
      </c>
      <c r="M19" s="8" t="inlineStr">
        <is>
          <t>Plan A: gloves for ice. Plan B: never eat; allergic students do not handle. Notes: Y7 W5: 3 tested on the Week 8 rig (aim: snap at 150 to 500 ml) + 2 kept; Week 5 or 6 (Plan B made in Week 5 so it can dry) | Y7 W8: 2 spare plain strips held up in the Hook</t>
        </is>
      </c>
    </row>
    <row r="20">
      <c r="A20" s="8" t="inlineStr">
        <is>
          <t>Pour cups marked at 25 ml</t>
        </is>
      </c>
      <c r="B20" s="8" t="inlineStr">
        <is>
          <t>标有25毫升刻线的倒水杯</t>
        </is>
      </c>
      <c r="C20" s="8" t="inlineStr">
        <is>
          <t>Plastic cup with a 25 ml line marked using a measuring cylinder.</t>
        </is>
      </c>
      <c r="D20" s="8" t="inlineStr">
        <is>
          <t>Reusable</t>
        </is>
      </c>
      <c r="E20" s="9">
        <f>ROUND(MAX(N('Data by week'!$I$186)*'Data by week'!$H$186,N('Data by week'!$J$186)*'Data by week'!$H$186,N('Data by week'!$K$186)*'Data by week'!$H$186,N('Data by week'!$L$186)*'Data by week'!$H$186,N('Data by week'!$M$186)*'Data by week'!$H$186,N('Data by week'!$N$186)*'Data by week'!$H$186,N('Data by week'!$O$186)*'Data by week'!$H$186,N('Data by week'!$P$186)*'Data by week'!$H$186,N('Data by week'!$Q$186)*'Data by week'!$H$186,N('Data by week'!$R$186)*'Data by week'!$H$186),2)</f>
        <v/>
      </c>
      <c r="F20" s="9">
        <f>ROUND(MAX(N('Data by week'!$S$186)*'Data by week'!$H$186,N('Data by week'!$T$186)*'Data by week'!$H$186,N('Data by week'!$U$186)*'Data by week'!$H$186,N('Data by week'!$V$186)*'Data by week'!$H$186,N('Data by week'!$W$186)*'Data by week'!$H$186,N('Data by week'!$X$186)*'Data by week'!$H$186,N('Data by week'!$Y$186)*'Data by week'!$H$186,N('Data by week'!$Z$186)*'Data by week'!$H$186,N('Data by week'!$AA$186)*'Data by week'!$H$186,N('Data by week'!$AB$186)*'Data by week'!$H$186),2)</f>
        <v/>
      </c>
      <c r="G20" s="9">
        <f>ROUND(MAX(N('Data by week'!$AC$186)*'Data by week'!$H$186,N('Data by week'!$AD$186)*'Data by week'!$H$186,N('Data by week'!$AE$186)*'Data by week'!$H$186,N('Data by week'!$AF$186)*'Data by week'!$H$186,N('Data by week'!$AG$186)*'Data by week'!$H$186,N('Data by week'!$AH$186)*'Data by week'!$H$186,N('Data by week'!$AI$186)*'Data by week'!$H$186,N('Data by week'!$AJ$186)*'Data by week'!$H$186,N('Data by week'!$AK$186)*'Data by week'!$H$186,N('Data by week'!$AL$186)*'Data by week'!$H$186),2)</f>
        <v/>
      </c>
      <c r="H20" s="10">
        <f>MAX(E20:G20)</f>
        <v/>
      </c>
      <c r="I20" s="8" t="inlineStr">
        <is>
          <t>cups</t>
        </is>
      </c>
      <c r="J20" s="8" t="inlineStr">
        <is>
          <t>Week 5</t>
        </is>
      </c>
      <c r="K20" s="8" t="inlineStr">
        <is>
          <t>Year 7: W5, W8</t>
        </is>
      </c>
      <c r="L20" s="8" t="inlineStr">
        <is>
          <t>Both plans</t>
        </is>
      </c>
      <c r="M20" s="8" t="inlineStr">
        <is>
          <t>Notes: Y7 W5: Trial rig | Y7 W8: 2 per group</t>
        </is>
      </c>
    </row>
    <row r="21">
      <c r="A21" s="8" t="inlineStr">
        <is>
          <t>Red cabbage indicator</t>
        </is>
      </c>
      <c r="B21" s="8" t="inlineStr">
        <is>
          <t>紫甘蓝指示剂</t>
        </is>
      </c>
      <c r="C21" s="8" t="inlineStr">
        <is>
          <t>Quarter red cabbage chopped, about 500 ml hot water from the kettle, left 15 minutes until deep purple, strained, cooled; labelled 'do not drink'.</t>
        </is>
      </c>
      <c r="D21" s="8" t="inlineStr">
        <is>
          <t>Used up</t>
        </is>
      </c>
      <c r="E21" s="9">
        <f>ROUND('Data by week'!$AW$187*'Data by week'!$H$187,2)</f>
        <v/>
      </c>
      <c r="F21" s="9">
        <f>ROUND('Data by week'!$AX$187*'Data by week'!$H$187,2)</f>
        <v/>
      </c>
      <c r="G21" s="9">
        <f>ROUND('Data by week'!$AY$187*'Data by week'!$H$187,2)</f>
        <v/>
      </c>
      <c r="H21" s="10">
        <f>ROUNDUP(E21*'Read me'!$C$5+F21*'Read me'!$C$6+G21*'Read me'!$C$7,0)</f>
        <v/>
      </c>
      <c r="I21" s="8" t="inlineStr">
        <is>
          <t>ml</t>
        </is>
      </c>
      <c r="J21" s="8" t="inlineStr">
        <is>
          <t>Week 5</t>
        </is>
      </c>
      <c r="K21" s="8" t="inlineStr">
        <is>
          <t>Year 8: W5</t>
        </is>
      </c>
      <c r="L21" s="8" t="inlineStr">
        <is>
          <t>Both plans</t>
        </is>
      </c>
      <c r="M21" s="8" t="inlineStr">
        <is>
          <t>Teacher only (hot water). Label 'Red cabbage indicator: do not drink'; keep in the fridge, use within 3 days. Check it stays purple in bottled water. Notes: Y8 W5: Made the day before (25 minutes), refrigerated. Enough for 6 cups of 10 ml per group plus spare and the Hook demo. Ingredients: red cabbage, bottled water, kettle, heatproof jug, sieve, clean bottle, label, fridge</t>
        </is>
      </c>
    </row>
    <row r="22">
      <c r="A22" s="8" t="inlineStr">
        <is>
          <t>Salt dough balls, 18 g, bagged</t>
        </is>
      </c>
      <c r="B22" s="8" t="inlineStr">
        <is>
          <t>盐面团球（18克，袋装）</t>
        </is>
      </c>
      <c r="C22" s="8" t="inlineStr">
        <is>
          <t>Plain salt dough (2 cups flour, 1 cup salt, about 1 cup water per batch), each ball weighed to 18 g and sealed in a small zip-lock bag; never eaten.</t>
        </is>
      </c>
      <c r="D22" s="8" t="inlineStr">
        <is>
          <t>Used up</t>
        </is>
      </c>
      <c r="E22" s="9">
        <f>ROUND('Data by week'!$AW$188*'Data by week'!$H$188,2)</f>
        <v/>
      </c>
      <c r="F22" s="9">
        <f>ROUND('Data by week'!$AX$188*'Data by week'!$H$188,2)</f>
        <v/>
      </c>
      <c r="G22" s="9">
        <f>ROUND('Data by week'!$AY$188*'Data by week'!$H$188,2)</f>
        <v/>
      </c>
      <c r="H22" s="10">
        <f>ROUNDUP(E22*'Read me'!$C$5+F22*'Read me'!$C$6+G22*'Read me'!$C$7,0)</f>
        <v/>
      </c>
      <c r="I22" s="8" t="inlineStr">
        <is>
          <t>balls</t>
        </is>
      </c>
      <c r="J22" s="8" t="inlineStr">
        <is>
          <t>Week 5</t>
        </is>
      </c>
      <c r="K22" s="8" t="inlineStr">
        <is>
          <t>Year 7: W5, W7</t>
        </is>
      </c>
      <c r="L22" s="8" t="inlineStr">
        <is>
          <t>Plan B (no freezer)</t>
        </is>
      </c>
      <c r="M22" s="8" t="inlineStr">
        <is>
          <t>Flour allergy check; never eat the dough; knead in the closed bag; wash hands after. Notes: Y7 W5: Trial strips (3 to test + 2 spare for the Week 8 Hook) | Y7 W7: 9 per group, made the morning of the lesson (2 batches give spares)</t>
        </is>
      </c>
    </row>
    <row r="23">
      <c r="A23" s="8" t="inlineStr">
        <is>
          <t>Soap solution</t>
        </is>
      </c>
      <c r="B23" s="8" t="inlineStr">
        <is>
          <t>肥皂水</t>
        </is>
      </c>
      <c r="C23" s="8" t="inlineStr">
        <is>
          <t>About 1 teaspoon grated plain bar soap in 200 ml warm water, stirred until cloudy.</t>
        </is>
      </c>
      <c r="D23" s="8" t="inlineStr">
        <is>
          <t>Used up</t>
        </is>
      </c>
      <c r="E23" s="9">
        <f>ROUND('Data by week'!$AW$189*'Data by week'!$H$189,2)</f>
        <v/>
      </c>
      <c r="F23" s="9">
        <f>ROUND('Data by week'!$AX$189*'Data by week'!$H$189,2)</f>
        <v/>
      </c>
      <c r="G23" s="9">
        <f>ROUND('Data by week'!$AY$189*'Data by week'!$H$189,2)</f>
        <v/>
      </c>
      <c r="H23" s="10">
        <f>ROUNDUP(E23*'Read me'!$C$5+F23*'Read me'!$C$6+G23*'Read me'!$C$7,0)</f>
        <v/>
      </c>
      <c r="I23" s="8" t="inlineStr">
        <is>
          <t>ml</t>
        </is>
      </c>
      <c r="J23" s="8" t="inlineStr">
        <is>
          <t>Week 5</t>
        </is>
      </c>
      <c r="K23" s="8" t="inlineStr">
        <is>
          <t>Year 8: W5</t>
        </is>
      </c>
      <c r="L23" s="8" t="inlineStr">
        <is>
          <t>Both plans</t>
        </is>
      </c>
      <c r="M23" s="8" t="inlineStr">
        <is>
          <t>Stings eyes: goggles. Notes: Y8 W5: Reference cups (10 ml per group) and half of the scene liquid; must turn the indicator blue-green or green, add a pinch of baking soda if it only goes blue-purple. Ingredients: plain bar soap, warm water</t>
        </is>
      </c>
    </row>
    <row r="24">
      <c r="A24" s="8" t="inlineStr">
        <is>
          <t>Bagged ice cubes</t>
        </is>
      </c>
      <c r="B24" s="8" t="inlineStr">
        <is>
          <t>袋装冰块</t>
        </is>
      </c>
      <c r="C24" s="8" t="inlineStr">
        <is>
          <t>Each cube in its own zip-lock bag, air squeezed out, sealed.</t>
        </is>
      </c>
      <c r="D24" s="8" t="inlineStr">
        <is>
          <t>Used up</t>
        </is>
      </c>
      <c r="E24" s="9">
        <f>ROUND('Data by week'!$AW$190*'Data by week'!$H$190,2)</f>
        <v/>
      </c>
      <c r="F24" s="9">
        <f>ROUND('Data by week'!$AX$190*'Data by week'!$H$190,2)</f>
        <v/>
      </c>
      <c r="G24" s="9">
        <f>ROUND('Data by week'!$AY$190*'Data by week'!$H$190,2)</f>
        <v/>
      </c>
      <c r="H24" s="10">
        <f>ROUNDUP(E24*'Read me'!$C$5+F24*'Read me'!$C$6+G24*'Read me'!$C$7,0)</f>
        <v/>
      </c>
      <c r="I24" s="8" t="inlineStr">
        <is>
          <t>bagged cubes</t>
        </is>
      </c>
      <c r="J24" s="8" t="inlineStr">
        <is>
          <t>Week 6</t>
        </is>
      </c>
      <c r="K24" s="8" t="inlineStr">
        <is>
          <t>Year 7: W6</t>
        </is>
      </c>
      <c r="L24" s="8" t="inlineStr">
        <is>
          <t>Plan A (freezer)</t>
        </is>
      </c>
      <c r="M24" s="8" t="inlineStr">
        <is>
          <t>Gloves if holding ice for more than a minute; keep bags sealed until measuring. Notes: Y7 W6: 24 + 4 spare; made on the day, kept in the cool box or freezer</t>
        </is>
      </c>
    </row>
    <row r="25">
      <c r="A25" s="8" t="inlineStr">
        <is>
          <t>Cups marked with a 150 ml line</t>
        </is>
      </c>
      <c r="B25" s="8" t="inlineStr">
        <is>
          <t>标有150毫升刻线的杯子</t>
        </is>
      </c>
      <c r="C25" s="8" t="inlineStr">
        <is>
          <t>Identical plastic cups about 250 ml, line marked with a measuring cylinder and marker, labelled A to D.</t>
        </is>
      </c>
      <c r="D25" s="8" t="inlineStr">
        <is>
          <t>Reusable</t>
        </is>
      </c>
      <c r="E25" s="9">
        <f>ROUND(MAX(N('Data by week'!$I$191)*'Data by week'!$H$191,N('Data by week'!$J$191)*'Data by week'!$H$191,N('Data by week'!$K$191)*'Data by week'!$H$191,N('Data by week'!$L$191)*'Data by week'!$H$191,N('Data by week'!$M$191)*'Data by week'!$H$191,N('Data by week'!$N$191)*'Data by week'!$H$191,N('Data by week'!$O$191)*'Data by week'!$H$191,N('Data by week'!$P$191)*'Data by week'!$H$191,N('Data by week'!$Q$191)*'Data by week'!$H$191,N('Data by week'!$R$191)*'Data by week'!$H$191),2)</f>
        <v/>
      </c>
      <c r="F25" s="9">
        <f>ROUND(MAX(N('Data by week'!$S$191)*'Data by week'!$H$191,N('Data by week'!$T$191)*'Data by week'!$H$191,N('Data by week'!$U$191)*'Data by week'!$H$191,N('Data by week'!$V$191)*'Data by week'!$H$191,N('Data by week'!$W$191)*'Data by week'!$H$191,N('Data by week'!$X$191)*'Data by week'!$H$191,N('Data by week'!$Y$191)*'Data by week'!$H$191,N('Data by week'!$Z$191)*'Data by week'!$H$191,N('Data by week'!$AA$191)*'Data by week'!$H$191,N('Data by week'!$AB$191)*'Data by week'!$H$191),2)</f>
        <v/>
      </c>
      <c r="G25" s="9">
        <f>ROUND(MAX(N('Data by week'!$AC$191)*'Data by week'!$H$191,N('Data by week'!$AD$191)*'Data by week'!$H$191,N('Data by week'!$AE$191)*'Data by week'!$H$191,N('Data by week'!$AF$191)*'Data by week'!$H$191,N('Data by week'!$AG$191)*'Data by week'!$H$191,N('Data by week'!$AH$191)*'Data by week'!$H$191,N('Data by week'!$AI$191)*'Data by week'!$H$191,N('Data by week'!$AJ$191)*'Data by week'!$H$191,N('Data by week'!$AK$191)*'Data by week'!$H$191,N('Data by week'!$AL$191)*'Data by week'!$H$191),2)</f>
        <v/>
      </c>
      <c r="H25" s="10">
        <f>MAX(E25:G25)</f>
        <v/>
      </c>
      <c r="I25" s="8" t="inlineStr">
        <is>
          <t>cups</t>
        </is>
      </c>
      <c r="J25" s="8" t="inlineStr">
        <is>
          <t>Week 6</t>
        </is>
      </c>
      <c r="K25" s="8" t="inlineStr">
        <is>
          <t>Year 7: W6</t>
        </is>
      </c>
      <c r="L25" s="8" t="inlineStr">
        <is>
          <t>Plan B (no freezer)</t>
        </is>
      </c>
      <c r="M25" s="8" t="inlineStr">
        <is>
          <t>Notes: Y7 W6: 4 per group</t>
        </is>
      </c>
    </row>
    <row r="26">
      <c r="A26" s="8" t="inlineStr">
        <is>
          <t>Freezing mixture (ice and salt)</t>
        </is>
      </c>
      <c r="B26" s="8" t="inlineStr">
        <is>
          <t>冰盐冷冻混合物（教师配制）</t>
        </is>
      </c>
      <c r="C26" s="8" t="inlineStr">
        <is>
          <t>About 300 g crushed ice and 100 g salt per cup (3:1 by mass) with a splash of cold water; check it is below about -10 °C; gloves and goggles.</t>
        </is>
      </c>
      <c r="D26" s="8" t="inlineStr">
        <is>
          <t>Used up</t>
        </is>
      </c>
      <c r="E26" s="9">
        <f>ROUND('Data by week'!$AW$192*'Data by week'!$H$192,2)</f>
        <v/>
      </c>
      <c r="F26" s="9">
        <f>ROUND('Data by week'!$AX$192*'Data by week'!$H$192,2)</f>
        <v/>
      </c>
      <c r="G26" s="9">
        <f>ROUND('Data by week'!$AY$192*'Data by week'!$H$192,2)</f>
        <v/>
      </c>
      <c r="H26" s="10">
        <f>ROUNDUP(E26*'Read me'!$C$5+F26*'Read me'!$C$6+G26*'Read me'!$C$7,0)</f>
        <v/>
      </c>
      <c r="I26" s="8" t="inlineStr">
        <is>
          <t>cups</t>
        </is>
      </c>
      <c r="J26" s="8" t="inlineStr">
        <is>
          <t>Week 6</t>
        </is>
      </c>
      <c r="K26" s="8" t="inlineStr">
        <is>
          <t>Year 9: W6, W8</t>
        </is>
      </c>
      <c r="L26" s="8" t="inlineStr">
        <is>
          <t>Plan A (freezer)</t>
        </is>
      </c>
      <c r="M26" s="8" t="inlineStr">
        <is>
          <t>Reaches about -10 to -18 °C and can cause cold burns. Gloves on; handle tubes by the top and never touch the mixture; goggles on; never taste it. At the end, tip it into the bucket; the teacher pours it down the sink with plenty of running water Notes: Y9 W6: Teacher makes one per group 10 minutes before the lesson. Top up with ice and a spoonful of salt halfway if it warms up | Y9 W8: Claim 1 group, made 10 minutes before the lesson</t>
        </is>
      </c>
    </row>
    <row r="27">
      <c r="A27" s="8" t="inlineStr">
        <is>
          <t>Height measuring stations</t>
        </is>
      </c>
      <c r="B27" s="8" t="inlineStr">
        <is>
          <t>身高测量站</t>
        </is>
      </c>
      <c r="C27" s="8" t="inlineStr">
        <is>
          <t>Paper height chart (130 to 190 cm) taped to the wall, or an upright metre stick with masking tape marked every cm from 100 to 200 cm; station sign beside it.</t>
        </is>
      </c>
      <c r="D27" s="8" t="inlineStr">
        <is>
          <t>Reusable</t>
        </is>
      </c>
      <c r="E27" s="9">
        <f>ROUND(MAX(N('Data by week'!$I$193)*'Data by week'!$H$193,N('Data by week'!$J$193)*'Data by week'!$H$193,N('Data by week'!$K$193)*'Data by week'!$H$193,N('Data by week'!$L$193)*'Data by week'!$H$193,N('Data by week'!$M$193)*'Data by week'!$H$193,N('Data by week'!$N$193)*'Data by week'!$H$193,N('Data by week'!$O$193)*'Data by week'!$H$193,N('Data by week'!$P$193)*'Data by week'!$H$193,N('Data by week'!$Q$193)*'Data by week'!$H$193,N('Data by week'!$R$193)*'Data by week'!$H$193),2)</f>
        <v/>
      </c>
      <c r="F27" s="9">
        <f>ROUND(MAX(N('Data by week'!$S$193)*'Data by week'!$H$193,N('Data by week'!$T$193)*'Data by week'!$H$193,N('Data by week'!$U$193)*'Data by week'!$H$193,N('Data by week'!$V$193)*'Data by week'!$H$193,N('Data by week'!$W$193)*'Data by week'!$H$193,N('Data by week'!$X$193)*'Data by week'!$H$193,N('Data by week'!$Y$193)*'Data by week'!$H$193,N('Data by week'!$Z$193)*'Data by week'!$H$193,N('Data by week'!$AA$193)*'Data by week'!$H$193,N('Data by week'!$AB$193)*'Data by week'!$H$193),2)</f>
        <v/>
      </c>
      <c r="G27" s="9">
        <f>ROUND(MAX(N('Data by week'!$AC$193)*'Data by week'!$H$193,N('Data by week'!$AD$193)*'Data by week'!$H$193,N('Data by week'!$AE$193)*'Data by week'!$H$193,N('Data by week'!$AF$193)*'Data by week'!$H$193,N('Data by week'!$AG$193)*'Data by week'!$H$193,N('Data by week'!$AH$193)*'Data by week'!$H$193,N('Data by week'!$AI$193)*'Data by week'!$H$193,N('Data by week'!$AJ$193)*'Data by week'!$H$193,N('Data by week'!$AK$193)*'Data by week'!$H$193,N('Data by week'!$AL$193)*'Data by week'!$H$193),2)</f>
        <v/>
      </c>
      <c r="H27" s="10">
        <f>MAX(E27:G27)</f>
        <v/>
      </c>
      <c r="I27" s="8" t="inlineStr">
        <is>
          <t>stations</t>
        </is>
      </c>
      <c r="J27" s="8" t="inlineStr">
        <is>
          <t>Week 6</t>
        </is>
      </c>
      <c r="K27" s="8" t="inlineStr">
        <is>
          <t>Year 8: W6</t>
        </is>
      </c>
      <c r="L27" s="8" t="inlineStr">
        <is>
          <t>Both plans</t>
        </is>
      </c>
      <c r="M27" s="8" t="inlineStr">
        <is>
          <t>Shoes off and under desks; no standing on chairs; be kind: numbers, not names; sample data for anyone who prefers not to be measured. Notes: Y8 W6: 2 or 3 on clear wall space away from doors. Ingredients: paper height charts or metre sticks, masking tape, height station signs (ordinary print)</t>
        </is>
      </c>
    </row>
    <row r="28">
      <c r="A28" s="8" t="inlineStr">
        <is>
          <t>Pre-cut insulation material sets</t>
        </is>
      </c>
      <c r="B28" s="8" t="inlineStr">
        <is>
          <t>预裁隔热材料套装</t>
        </is>
      </c>
      <c r="C28" s="8" t="inlineStr">
        <is>
          <t>Set A: foil, newspaper, cotton wool sheet; Set B: fabric, bubble wrap, newspaper. Plan A 15 x 15 cm squares; Plan B 25 x 10 cm jacket strip + 10 x 10 cm lid square with a 1 cm slit.</t>
        </is>
      </c>
      <c r="D28" s="8" t="inlineStr">
        <is>
          <t>Used up</t>
        </is>
      </c>
      <c r="E28" s="9">
        <f>ROUND('Data by week'!$AW$194*'Data by week'!$H$194,2)</f>
        <v/>
      </c>
      <c r="F28" s="9">
        <f>ROUND('Data by week'!$AX$194*'Data by week'!$H$194,2)</f>
        <v/>
      </c>
      <c r="G28" s="9">
        <f>ROUND('Data by week'!$AY$194*'Data by week'!$H$194,2)</f>
        <v/>
      </c>
      <c r="H28" s="10">
        <f>ROUNDUP(E28*'Read me'!$C$5+F28*'Read me'!$C$6+G28*'Read me'!$C$7,0)</f>
        <v/>
      </c>
      <c r="I28" s="8" t="inlineStr">
        <is>
          <t>sets</t>
        </is>
      </c>
      <c r="J28" s="8" t="inlineStr">
        <is>
          <t>Week 6</t>
        </is>
      </c>
      <c r="K28" s="8" t="inlineStr">
        <is>
          <t>Year 7: W6</t>
        </is>
      </c>
      <c r="L28" s="8" t="inlineStr">
        <is>
          <t>Both plans</t>
        </is>
      </c>
      <c r="M28" s="8" t="inlineStr">
        <is>
          <t>Notes: Y7 W6: One set of three materials per group, set out on trays by Set A and Set B</t>
        </is>
      </c>
    </row>
    <row r="29">
      <c r="A29" s="8" t="inlineStr">
        <is>
          <t>Warm water, about 50 to 60 °C (teacher-prepared)</t>
        </is>
      </c>
      <c r="B29" s="8" t="inlineStr">
        <is>
          <t>温水（约50至60°C，教师配制）</t>
        </is>
      </c>
      <c r="C29" s="8" t="inlineStr">
        <is>
          <t>Kettle water mixed with cold tap water and checked with a thermometer: about 50 °C, never above 55 °C for Y7; Y9 up to about 60 °C, never hotter. Only the teacher prepares and pours it.</t>
        </is>
      </c>
      <c r="D29" s="8" t="inlineStr">
        <is>
          <t>Used up</t>
        </is>
      </c>
      <c r="E29" s="9">
        <f>ROUND('Data by week'!$AW$195*'Data by week'!$H$195,2)</f>
        <v/>
      </c>
      <c r="F29" s="9">
        <f>ROUND('Data by week'!$AX$195*'Data by week'!$H$195,2)</f>
        <v/>
      </c>
      <c r="G29" s="9">
        <f>ROUND('Data by week'!$AY$195*'Data by week'!$H$195,2)</f>
        <v/>
      </c>
      <c r="H29" s="10">
        <f>ROUNDUP(E29*'Read me'!$C$5+F29*'Read me'!$C$6+G29*'Read me'!$C$7,0)</f>
        <v/>
      </c>
      <c r="I29" s="8" t="inlineStr">
        <is>
          <t>litres</t>
        </is>
      </c>
      <c r="J29" s="8" t="inlineStr">
        <is>
          <t>Week 6</t>
        </is>
      </c>
      <c r="K29" s="8" t="inlineStr">
        <is>
          <t>Year 7: W6</t>
        </is>
      </c>
      <c r="L29" s="8" t="inlineStr">
        <is>
          <t>Plan B (no freezer)</t>
        </is>
      </c>
      <c r="M29" s="8" t="inlineStr">
        <is>
          <t>Only the teacher pours the warm water; about 50 °C, never hotter than 55 °C; do not move the cups once full. Warm water can scald. Only the teacher prepares and pours it. Cups and bottles of warm water stay on the tray Notes: Y7 W6: 150 ml into each of 24 cups, poured by the teacher during the Hook</t>
        </is>
      </c>
    </row>
    <row r="30">
      <c r="A30" s="8" t="inlineStr">
        <is>
          <t>Warm water, about 50 to 60 °C (teacher-prepared)</t>
        </is>
      </c>
      <c r="B30" s="8" t="inlineStr">
        <is>
          <t>温水（约50至60°C，教师配制）</t>
        </is>
      </c>
      <c r="C30" s="8" t="inlineStr">
        <is>
          <t>Kettle water mixed with cold tap water and checked with a thermometer: about 50 °C, never above 55 °C for Y7; Y9 up to about 60 °C, never hotter. Only the teacher prepares and pours it.</t>
        </is>
      </c>
      <c r="D30" s="8" t="inlineStr">
        <is>
          <t>Used up</t>
        </is>
      </c>
      <c r="E30" s="9">
        <f>ROUND('Data by week'!$AW$196*'Data by week'!$H$196,2)</f>
        <v/>
      </c>
      <c r="F30" s="9">
        <f>ROUND('Data by week'!$AX$196*'Data by week'!$H$196,2)</f>
        <v/>
      </c>
      <c r="G30" s="9">
        <f>ROUND('Data by week'!$AY$196*'Data by week'!$H$196,2)</f>
        <v/>
      </c>
      <c r="H30" s="10">
        <f>ROUNDUP(E30*'Read me'!$C$5+F30*'Read me'!$C$6+G30*'Read me'!$C$7,0)</f>
        <v/>
      </c>
      <c r="I30" s="8" t="inlineStr">
        <is>
          <t>jug or flask</t>
        </is>
      </c>
      <c r="J30" s="8" t="inlineStr">
        <is>
          <t>Week 6</t>
        </is>
      </c>
      <c r="K30" s="8" t="inlineStr">
        <is>
          <t>Year 9: W6</t>
        </is>
      </c>
      <c r="L30" s="8" t="inlineStr">
        <is>
          <t>Both plans</t>
        </is>
      </c>
      <c r="M30" s="8" t="inlineStr">
        <is>
          <t>Warm water can scald. Only the teacher prepares and pours it. Cups and bottles of warm water stay on the tray Notes: Y9 W6: About 60 °C. Plan A: fills the H tubes (3 ml each). Plan B: 100 ml into each H cup (about 600 ml in all)</t>
        </is>
      </c>
    </row>
    <row r="31">
      <c r="A31" s="8" t="inlineStr">
        <is>
          <t>Water at about 35 °C (teacher-prepared)</t>
        </is>
      </c>
      <c r="B31" s="8" t="inlineStr">
        <is>
          <t>约35°C温水（教师配制）</t>
        </is>
      </c>
      <c r="C31" s="8" t="inlineStr">
        <is>
          <t>Mixed just before the lesson and checked with a thermometer.</t>
        </is>
      </c>
      <c r="D31" s="8" t="inlineStr">
        <is>
          <t>Used up</t>
        </is>
      </c>
      <c r="E31" s="9">
        <f>ROUND('Data by week'!$AW$197*'Data by week'!$H$197,2)</f>
        <v/>
      </c>
      <c r="F31" s="9">
        <f>ROUND('Data by week'!$AX$197*'Data by week'!$H$197,2)</f>
        <v/>
      </c>
      <c r="G31" s="9">
        <f>ROUND('Data by week'!$AY$197*'Data by week'!$H$197,2)</f>
        <v/>
      </c>
      <c r="H31" s="10">
        <f>ROUNDUP(E31*'Read me'!$C$5+F31*'Read me'!$C$6+G31*'Read me'!$C$7,0)</f>
        <v/>
      </c>
      <c r="I31" s="8" t="inlineStr">
        <is>
          <t>jugs</t>
        </is>
      </c>
      <c r="J31" s="8" t="inlineStr">
        <is>
          <t>Week 6</t>
        </is>
      </c>
      <c r="K31" s="8" t="inlineStr">
        <is>
          <t>Year 9: W6</t>
        </is>
      </c>
      <c r="L31" s="8" t="inlineStr">
        <is>
          <t>Plan B (no freezer)</t>
        </is>
      </c>
      <c r="M31" s="8" t="inlineStr">
        <is>
          <t>Only the teacher pours Notes: Y9 W6: Plan B: 100 ml into each W cup (about 600 ml in all)</t>
        </is>
      </c>
    </row>
    <row r="32">
      <c r="A32" s="8" t="inlineStr">
        <is>
          <t>Evidence 6: scene soil</t>
        </is>
      </c>
      <c r="B32" s="8" t="inlineStr">
        <is>
          <t>证据6：现场土壤</t>
        </is>
      </c>
      <c r="C32" s="8" t="inlineStr">
        <is>
          <t>Soil from the flowerbed by the science block entrance (same flowerbed as reference A, taken at the same time).</t>
        </is>
      </c>
      <c r="D32" s="8" t="inlineStr">
        <is>
          <t>Used up</t>
        </is>
      </c>
      <c r="E32" s="9">
        <f>ROUND('Data by week'!$AW$198*'Data by week'!$H$198,2)</f>
        <v/>
      </c>
      <c r="F32" s="9">
        <f>ROUND('Data by week'!$AX$198*'Data by week'!$H$198,2)</f>
        <v/>
      </c>
      <c r="G32" s="9">
        <f>ROUND('Data by week'!$AY$198*'Data by week'!$H$198,2)</f>
        <v/>
      </c>
      <c r="H32" s="10">
        <f>ROUNDUP(E32*'Read me'!$C$5+F32*'Read me'!$C$6+G32*'Read me'!$C$7,0)</f>
        <v/>
      </c>
      <c r="I32" s="8" t="inlineStr">
        <is>
          <t>sealed bags</t>
        </is>
      </c>
      <c r="J32" s="8" t="inlineStr">
        <is>
          <t>Week 7</t>
        </is>
      </c>
      <c r="K32" s="8" t="inlineStr">
        <is>
          <t>Year 8: W7</t>
        </is>
      </c>
      <c r="L32" s="8" t="inlineStr">
        <is>
          <t>Both plans</t>
        </is>
      </c>
      <c r="M32" s="8" t="inlineStr">
        <is>
          <t>Wash hands after touching soil; do not touch face or mouth. Notes: Y8 W7: 1 labelled 'Evidence 6' bag per Soil group to look at (Week 7 kit card); the Case Bible and the prep calendar say a labelled jar instead; 2 groups maximum</t>
        </is>
      </c>
    </row>
    <row r="33">
      <c r="A33" s="8" t="inlineStr">
        <is>
          <t>Evidence 7: scene paper towel</t>
        </is>
      </c>
      <c r="B33" s="8" t="inlineStr">
        <is>
          <t>证据7：现场纸巾</t>
        </is>
      </c>
      <c r="C33" s="8" t="inlineStr">
        <is>
          <t>A sheet from the lab's own paper towel roll (same roll as P1), small pencil arrow along the roll direction, crumpled, then smoothed flat for Week 8.</t>
        </is>
      </c>
      <c r="D33" s="8" t="inlineStr">
        <is>
          <t>Used up</t>
        </is>
      </c>
      <c r="E33" s="9">
        <f>ROUND('Data by week'!$AW$199*'Data by week'!$H$199,2)</f>
        <v/>
      </c>
      <c r="F33" s="9">
        <f>ROUND('Data by week'!$AX$199*'Data by week'!$H$199,2)</f>
        <v/>
      </c>
      <c r="G33" s="9">
        <f>ROUND('Data by week'!$AY$199*'Data by week'!$H$199,2)</f>
        <v/>
      </c>
      <c r="H33" s="10">
        <f>ROUNDUP(E33*'Read me'!$C$5+F33*'Read me'!$C$6+G33*'Read me'!$C$7,0)</f>
        <v/>
      </c>
      <c r="I33" s="8" t="inlineStr">
        <is>
          <t>sealed bags</t>
        </is>
      </c>
      <c r="J33" s="8" t="inlineStr">
        <is>
          <t>Week 7</t>
        </is>
      </c>
      <c r="K33" s="8" t="inlineStr">
        <is>
          <t>Year 8: W7</t>
        </is>
      </c>
      <c r="L33" s="8" t="inlineStr">
        <is>
          <t>Both plans</t>
        </is>
      </c>
      <c r="M33" s="8" t="inlineStr">
        <is>
          <t>Notes: Y8 W7: 1 labelled 'Evidence 7' bag per Paper group; 2 groups maximum</t>
        </is>
      </c>
    </row>
    <row r="34">
      <c r="A34" s="8" t="inlineStr">
        <is>
          <t>Pre-portioned fibre packets</t>
        </is>
      </c>
      <c r="B34" s="8" t="inlineStr">
        <is>
          <t>预分装纤维包</t>
        </is>
      </c>
      <c r="C34" s="8" t="inlineStr">
        <is>
          <t>Labelled to match each group's plan, e.g. 'Sawdust 0.6 g'; fibre type 0.6 g per strip; sawdust 0.3, 0.6 or 0.9 g per strip.</t>
        </is>
      </c>
      <c r="D34" s="8" t="inlineStr">
        <is>
          <t>Used up</t>
        </is>
      </c>
      <c r="E34" s="9">
        <f>ROUND('Data by week'!$AW$200*'Data by week'!$H$200,2)</f>
        <v/>
      </c>
      <c r="F34" s="9">
        <f>ROUND('Data by week'!$AX$200*'Data by week'!$H$200,2)</f>
        <v/>
      </c>
      <c r="G34" s="9">
        <f>ROUND('Data by week'!$AY$200*'Data by week'!$H$200,2)</f>
        <v/>
      </c>
      <c r="H34" s="10">
        <f>ROUNDUP(E34*'Read me'!$C$5+F34*'Read me'!$C$6+G34*'Read me'!$C$7,0)</f>
        <v/>
      </c>
      <c r="I34" s="8" t="inlineStr">
        <is>
          <t>portions</t>
        </is>
      </c>
      <c r="J34" s="8" t="inlineStr">
        <is>
          <t>Week 7</t>
        </is>
      </c>
      <c r="K34" s="8" t="inlineStr">
        <is>
          <t>Year 7: W7</t>
        </is>
      </c>
      <c r="L34" s="8" t="inlineStr">
        <is>
          <t>Both plans</t>
        </is>
      </c>
      <c r="M34" s="8" t="inlineStr">
        <is>
          <t>Sawdust kept damp; untreated sawdust only, never MDF. Notes: Y7 W7: At most 36 (every group's 9 strips include 3 controls with no fibre); made from sawdust, tissue, shredded paper, cotton wool in small paper cups or paper twists</t>
        </is>
      </c>
    </row>
    <row r="35">
      <c r="A35" s="8" t="inlineStr">
        <is>
          <t>Coloured water (Paper option)</t>
        </is>
      </c>
      <c r="B35" s="8" t="inlineStr">
        <is>
          <t>有色水（纸巾检测用）</t>
        </is>
      </c>
      <c r="C35" s="8" t="inlineStr">
        <is>
          <t>Water with 1 drop of food colouring per 100 ml.</t>
        </is>
      </c>
      <c r="D35" s="8" t="inlineStr">
        <is>
          <t>Used up</t>
        </is>
      </c>
      <c r="E35" s="9">
        <f>ROUND('Data by week'!$AW$201*'Data by week'!$H$201,2)</f>
        <v/>
      </c>
      <c r="F35" s="9">
        <f>ROUND('Data by week'!$AX$201*'Data by week'!$H$201,2)</f>
        <v/>
      </c>
      <c r="G35" s="9">
        <f>ROUND('Data by week'!$AY$201*'Data by week'!$H$201,2)</f>
        <v/>
      </c>
      <c r="H35" s="10">
        <f>ROUNDUP(E35*'Read me'!$C$5+F35*'Read me'!$C$6+G35*'Read me'!$C$7,0)</f>
        <v/>
      </c>
      <c r="I35" s="8" t="inlineStr">
        <is>
          <t>ml</t>
        </is>
      </c>
      <c r="J35" s="8" t="inlineStr">
        <is>
          <t>Week 8</t>
        </is>
      </c>
      <c r="K35" s="8" t="inlineStr">
        <is>
          <t>Year 8: W8</t>
        </is>
      </c>
      <c r="L35" s="8" t="inlineStr">
        <is>
          <t>Both plans</t>
        </is>
      </c>
      <c r="M35" s="8" t="inlineStr">
        <is>
          <t>Stains skin and clothes. Do not drink the water. Notes: Y8 W8: About 300 ml in a jug per Paper group; 2 groups maximum. Ingredients: water, food colouring, jugs</t>
        </is>
      </c>
    </row>
    <row r="36">
      <c r="A36" s="8" t="inlineStr">
        <is>
          <t>Evidence 3: scene powder</t>
        </is>
      </c>
      <c r="B36" s="8" t="inlineStr">
        <is>
          <t>证据3：现场白色粉末</t>
        </is>
      </c>
      <c r="C36" s="8" t="inlineStr">
        <is>
          <t>Baking soda, labelled 'Evidence 3: white powder, floor by desk (F4)'.</t>
        </is>
      </c>
      <c r="D36" s="8" t="inlineStr">
        <is>
          <t>Used up</t>
        </is>
      </c>
      <c r="E36" s="9">
        <f>ROUND('Data by week'!$AW$202*'Data by week'!$H$202,2)</f>
        <v/>
      </c>
      <c r="F36" s="9">
        <f>ROUND('Data by week'!$AX$202*'Data by week'!$H$202,2)</f>
        <v/>
      </c>
      <c r="G36" s="9">
        <f>ROUND('Data by week'!$AY$202*'Data by week'!$H$202,2)</f>
        <v/>
      </c>
      <c r="H36" s="10">
        <f>ROUNDUP(E36*'Read me'!$C$5+F36*'Read me'!$C$6+G36*'Read me'!$C$7,0)</f>
        <v/>
      </c>
      <c r="I36" s="8" t="inlineStr">
        <is>
          <t>pots</t>
        </is>
      </c>
      <c r="J36" s="8" t="inlineStr">
        <is>
          <t>Week 8</t>
        </is>
      </c>
      <c r="K36" s="8" t="inlineStr">
        <is>
          <t>Year 8: W8</t>
        </is>
      </c>
      <c r="L36" s="8" t="inlineStr">
        <is>
          <t>Both plans</t>
        </is>
      </c>
      <c r="M36" s="8" t="inlineStr">
        <is>
          <t>Never taste. Notes: Y8 W8: Powder 2: about 2 teaspoons in a labelled pot per group; check under the magnifier that it shows no salt cubes</t>
        </is>
      </c>
    </row>
    <row r="37">
      <c r="A37" s="8" t="inlineStr">
        <is>
          <t>Evidence 6: scene soil</t>
        </is>
      </c>
      <c r="B37" s="8" t="inlineStr">
        <is>
          <t>证据6：现场土壤</t>
        </is>
      </c>
      <c r="C37" s="8" t="inlineStr">
        <is>
          <t>Soil from the flowerbed by the science block entrance (same flowerbed as reference A, taken at the same time).</t>
        </is>
      </c>
      <c r="D37" s="8" t="inlineStr">
        <is>
          <t>Used up</t>
        </is>
      </c>
      <c r="E37" s="9">
        <f>ROUND('Data by week'!$AW$203*'Data by week'!$H$203,2)</f>
        <v/>
      </c>
      <c r="F37" s="9">
        <f>ROUND('Data by week'!$AX$203*'Data by week'!$H$203,2)</f>
        <v/>
      </c>
      <c r="G37" s="9">
        <f>ROUND('Data by week'!$AY$203*'Data by week'!$H$203,2)</f>
        <v/>
      </c>
      <c r="H37" s="10">
        <f>ROUNDUP(E37*'Read me'!$C$5+F37*'Read me'!$C$6+G37*'Read me'!$C$7,0)</f>
        <v/>
      </c>
      <c r="I37" s="8" t="inlineStr">
        <is>
          <t>pots</t>
        </is>
      </c>
      <c r="J37" s="8" t="inlineStr">
        <is>
          <t>Week 8</t>
        </is>
      </c>
      <c r="K37" s="8" t="inlineStr">
        <is>
          <t>Year 8: W8</t>
        </is>
      </c>
      <c r="L37" s="8" t="inlineStr">
        <is>
          <t>Both plans</t>
        </is>
      </c>
      <c r="M37" s="8" t="inlineStr">
        <is>
          <t>Wash hands after touching soil; do not touch face or mouth. Notes: Y8 W8: About 4 level tablespoons in a labelled pot per Soil group. Ingredients: campus soil (location A), bags or jar, pots, labels</t>
        </is>
      </c>
    </row>
    <row r="38">
      <c r="A38" s="8" t="inlineStr">
        <is>
          <t>Evidence 7: scene paper towel</t>
        </is>
      </c>
      <c r="B38" s="8" t="inlineStr">
        <is>
          <t>证据7：现场纸巾</t>
        </is>
      </c>
      <c r="C38" s="8" t="inlineStr">
        <is>
          <t>A sheet from the lab's own paper towel roll (same roll as P1), small pencil arrow along the roll direction, crumpled, then smoothed flat for Week 8.</t>
        </is>
      </c>
      <c r="D38" s="8" t="inlineStr">
        <is>
          <t>Used up</t>
        </is>
      </c>
      <c r="E38" s="9">
        <f>ROUND('Data by week'!$AW$204*'Data by week'!$H$204,2)</f>
        <v/>
      </c>
      <c r="F38" s="9">
        <f>ROUND('Data by week'!$AX$204*'Data by week'!$H$204,2)</f>
        <v/>
      </c>
      <c r="G38" s="9">
        <f>ROUND('Data by week'!$AY$204*'Data by week'!$H$204,2)</f>
        <v/>
      </c>
      <c r="H38" s="10">
        <f>ROUNDUP(E38*'Read me'!$C$5+F38*'Read me'!$C$6+G38*'Read me'!$C$7,0)</f>
        <v/>
      </c>
      <c r="I38" s="8" t="inlineStr">
        <is>
          <t>sheets</t>
        </is>
      </c>
      <c r="J38" s="8" t="inlineStr">
        <is>
          <t>Week 8</t>
        </is>
      </c>
      <c r="K38" s="8" t="inlineStr">
        <is>
          <t>Year 8: W8</t>
        </is>
      </c>
      <c r="L38" s="8" t="inlineStr">
        <is>
          <t>Both plans</t>
        </is>
      </c>
      <c r="M38" s="8" t="inlineStr">
        <is>
          <t>Notes: Y8 W8: Same sheets smoothed flat, enough for 3 strips 2 cm by 12 cm each. Ingredients: lab paper towels, pencil, bags, labels</t>
        </is>
      </c>
    </row>
    <row r="39">
      <c r="A39" s="8" t="inlineStr">
        <is>
          <t>Paper reference sample sets (P1 to P4)</t>
        </is>
      </c>
      <c r="B39" s="8" t="inlineStr">
        <is>
          <t>纸巾参照样本套装（P1至P4）</t>
        </is>
      </c>
      <c r="C39" s="8" t="inlineStr">
        <is>
          <t>P1 lab paper towel, P2 canteen napkin, P3 tissue, P4 shop kitchen roll; each enough for 3 strips 2 cm x 12 cm, pencil arrow for the cutting direction.</t>
        </is>
      </c>
      <c r="D39" s="8" t="inlineStr">
        <is>
          <t>Used up</t>
        </is>
      </c>
      <c r="E39" s="9">
        <f>ROUND('Data by week'!$AW$205*'Data by week'!$H$205,2)</f>
        <v/>
      </c>
      <c r="F39" s="9">
        <f>ROUND('Data by week'!$AX$205*'Data by week'!$H$205,2)</f>
        <v/>
      </c>
      <c r="G39" s="9">
        <f>ROUND('Data by week'!$AY$205*'Data by week'!$H$205,2)</f>
        <v/>
      </c>
      <c r="H39" s="10">
        <f>ROUNDUP(E39*'Read me'!$C$5+F39*'Read me'!$C$6+G39*'Read me'!$C$7,0)</f>
        <v/>
      </c>
      <c r="I39" s="8" t="inlineStr">
        <is>
          <t>sets</t>
        </is>
      </c>
      <c r="J39" s="8" t="inlineStr">
        <is>
          <t>Week 8</t>
        </is>
      </c>
      <c r="K39" s="8" t="inlineStr">
        <is>
          <t>Year 8: W8</t>
        </is>
      </c>
      <c r="L39" s="8" t="inlineStr">
        <is>
          <t>Both plans</t>
        </is>
      </c>
      <c r="M39" s="8" t="inlineStr">
        <is>
          <t>Notes: Y8 W8: 1 set per Paper group, 2 groups maximum (about 15 minutes). Ingredients: lab paper towels, canteen napkins, tissues, kitchen roll, pencil, labels</t>
        </is>
      </c>
    </row>
    <row r="40">
      <c r="A40" s="8" t="inlineStr">
        <is>
          <t>Powder 2 mixtures K1, K2 and X</t>
        </is>
      </c>
      <c r="B40" s="8" t="inlineStr">
        <is>
          <t>粉末2混合物（已知混合物K1、K2和神秘混合物X）</t>
        </is>
      </c>
      <c r="C40" s="8" t="inlineStr">
        <is>
          <t>Equal level teaspoons shaken in a lidded pot: K1 baking soda + cornflour; K2 salt + flour; X baking soda + salt (label only 'Mystery mixture X').</t>
        </is>
      </c>
      <c r="D40" s="8" t="inlineStr">
        <is>
          <t>Used up</t>
        </is>
      </c>
      <c r="E40" s="9">
        <f>ROUND('Data by week'!$AW$206*'Data by week'!$H$206,2)</f>
        <v/>
      </c>
      <c r="F40" s="9">
        <f>ROUND('Data by week'!$AX$206*'Data by week'!$H$206,2)</f>
        <v/>
      </c>
      <c r="G40" s="9">
        <f>ROUND('Data by week'!$AY$206*'Data by week'!$H$206,2)</f>
        <v/>
      </c>
      <c r="H40" s="10">
        <f>ROUNDUP(E40*'Read me'!$C$5+F40*'Read me'!$C$6+G40*'Read me'!$C$7,0)</f>
        <v/>
      </c>
      <c r="I40" s="8" t="inlineStr">
        <is>
          <t>sets of 3 pots</t>
        </is>
      </c>
      <c r="J40" s="8" t="inlineStr">
        <is>
          <t>Week 8</t>
        </is>
      </c>
      <c r="K40" s="8" t="inlineStr">
        <is>
          <t>Year 8: W8</t>
        </is>
      </c>
      <c r="L40" s="8" t="inlineStr">
        <is>
          <t>Both plans</t>
        </is>
      </c>
      <c r="M40" s="8" t="inlineStr">
        <is>
          <t>Check the allergy list (wheat flour, corn). Never taste; do not blow or shake powders. Notes: Y8 W8: Made the day before (20 minutes); about 2 teaspoons per pot per Powder 2 group, 2 groups maximum. Check salt cubes are visible in X under the magnifier. Ingredients: baking soda, cornflour, salt, plain flour, lidded pots, labels</t>
        </is>
      </c>
    </row>
    <row r="41">
      <c r="A41" s="8" t="inlineStr">
        <is>
          <t>Warm water, about 50 to 60 °C (teacher-prepared)</t>
        </is>
      </c>
      <c r="B41" s="8" t="inlineStr">
        <is>
          <t>温水（约50至60°C，教师配制）</t>
        </is>
      </c>
      <c r="C41" s="8" t="inlineStr">
        <is>
          <t>Kettle water mixed with cold tap water and checked with a thermometer: about 50 °C, never above 55 °C for Y7; Y9 up to about 60 °C, never hotter. Only the teacher prepares and pours it.</t>
        </is>
      </c>
      <c r="D41" s="8" t="inlineStr">
        <is>
          <t>Used up</t>
        </is>
      </c>
      <c r="E41" s="9">
        <f>ROUND('Data by week'!$AW$207*'Data by week'!$H$207,2)</f>
        <v/>
      </c>
      <c r="F41" s="9">
        <f>ROUND('Data by week'!$AX$207*'Data by week'!$H$207,2)</f>
        <v/>
      </c>
      <c r="G41" s="9">
        <f>ROUND('Data by week'!$AY$207*'Data by week'!$H$207,2)</f>
        <v/>
      </c>
      <c r="H41" s="10">
        <f>ROUNDUP(E41*'Read me'!$C$5+F41*'Read me'!$C$6+G41*'Read me'!$C$7,0)</f>
        <v/>
      </c>
      <c r="I41" s="8" t="inlineStr">
        <is>
          <t>flasks</t>
        </is>
      </c>
      <c r="J41" s="8" t="inlineStr">
        <is>
          <t>Week 8</t>
        </is>
      </c>
      <c r="K41" s="8" t="inlineStr">
        <is>
          <t>Year 9: W8</t>
        </is>
      </c>
      <c r="L41" s="8" t="inlineStr">
        <is>
          <t>Both plans</t>
        </is>
      </c>
      <c r="M41" s="8" t="inlineStr">
        <is>
          <t>Warm water can scald. Only the teacher prepares and pours it. Cups and bottles of warm water stay on the tray Notes: Y9 W8: About 50 °C for claims 3 and 4 (bottles and cups) and about 60 °C for claim 1. Claim 3 (up to 6 bottles) and claim 4 (6 cups of 200 ml) may need more than two flasks hold</t>
        </is>
      </c>
    </row>
    <row r="42">
      <c r="A42" s="8" t="inlineStr">
        <is>
          <t>Frozen notebook prop (optional)</t>
        </is>
      </c>
      <c r="B42" s="8" t="inlineStr">
        <is>
          <t>冷冻笔记本道具（可选）</t>
        </is>
      </c>
      <c r="C42" s="8" t="inlineStr">
        <is>
          <t>Old notebook sealed in a freezer bag, frozen overnight.</t>
        </is>
      </c>
      <c r="D42" s="8" t="inlineStr">
        <is>
          <t>Reusable</t>
        </is>
      </c>
      <c r="E42" s="9">
        <f>ROUND(MAX(N('Data by week'!$I$208)*'Data by week'!$H$208,N('Data by week'!$J$208)*'Data by week'!$H$208,N('Data by week'!$K$208)*'Data by week'!$H$208,N('Data by week'!$L$208)*'Data by week'!$H$208,N('Data by week'!$M$208)*'Data by week'!$H$208,N('Data by week'!$N$208)*'Data by week'!$H$208,N('Data by week'!$O$208)*'Data by week'!$H$208,N('Data by week'!$P$208)*'Data by week'!$H$208,N('Data by week'!$Q$208)*'Data by week'!$H$208,N('Data by week'!$R$208)*'Data by week'!$H$208),2)</f>
        <v/>
      </c>
      <c r="F42" s="9">
        <f>ROUND(MAX(N('Data by week'!$S$208)*'Data by week'!$H$208,N('Data by week'!$T$208)*'Data by week'!$H$208,N('Data by week'!$U$208)*'Data by week'!$H$208,N('Data by week'!$V$208)*'Data by week'!$H$208,N('Data by week'!$W$208)*'Data by week'!$H$208,N('Data by week'!$X$208)*'Data by week'!$H$208,N('Data by week'!$Y$208)*'Data by week'!$H$208,N('Data by week'!$Z$208)*'Data by week'!$H$208,N('Data by week'!$AA$208)*'Data by week'!$H$208,N('Data by week'!$AB$208)*'Data by week'!$H$208),2)</f>
        <v/>
      </c>
      <c r="G42" s="9">
        <f>ROUND(MAX(N('Data by week'!$AC$208)*'Data by week'!$H$208,N('Data by week'!$AD$208)*'Data by week'!$H$208,N('Data by week'!$AE$208)*'Data by week'!$H$208,N('Data by week'!$AF$208)*'Data by week'!$H$208,N('Data by week'!$AG$208)*'Data by week'!$H$208,N('Data by week'!$AH$208)*'Data by week'!$H$208,N('Data by week'!$AI$208)*'Data by week'!$H$208,N('Data by week'!$AJ$208)*'Data by week'!$H$208,N('Data by week'!$AK$208)*'Data by week'!$H$208,N('Data by week'!$AL$208)*'Data by week'!$H$208),2)</f>
        <v/>
      </c>
      <c r="H42" s="10">
        <f>MAX(E42:G42)</f>
        <v/>
      </c>
      <c r="I42" s="8" t="inlineStr">
        <is>
          <t>prop</t>
        </is>
      </c>
      <c r="J42" s="8" t="inlineStr">
        <is>
          <t>Week 10</t>
        </is>
      </c>
      <c r="K42" s="8" t="inlineStr">
        <is>
          <t>Year 8: W10</t>
        </is>
      </c>
      <c r="L42" s="8" t="inlineStr">
        <is>
          <t>Both plans</t>
        </is>
      </c>
      <c r="M42" s="8" t="inlineStr">
        <is>
          <t>Cold and wet: keep it in its bag. Notes: Y8 W10: Put in the staff freezer the day before; bring out frosty after the reveal. Ingredients: notebook prop, freezer bag, staff freezer space</t>
        </is>
      </c>
    </row>
  </sheetData>
  <autoFilter ref="A1:M42"/>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I5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30" customWidth="1" min="3" max="3"/>
    <col width="18" customWidth="1" min="4" max="4"/>
    <col width="10" customWidth="1" min="5" max="5"/>
    <col width="12" customWidth="1" min="6" max="6"/>
    <col width="18" customWidth="1" min="7" max="7"/>
    <col width="16" customWidth="1" min="8" max="8"/>
    <col width="70" customWidth="1" min="9" max="9"/>
  </cols>
  <sheetData>
    <row r="1" ht="32" customHeight="1">
      <c r="A1" s="7" t="inlineStr">
        <is>
          <t>Week</t>
        </is>
      </c>
      <c r="B1" s="7" t="inlineStr">
        <is>
          <t>Year</t>
        </is>
      </c>
      <c r="C1" s="7" t="inlineStr">
        <is>
          <t>Item</t>
        </is>
      </c>
      <c r="D1" s="7" t="inlineStr">
        <is>
          <t>中文名称（草稿）</t>
        </is>
      </c>
      <c r="E1" s="7" t="inlineStr">
        <is>
          <t>Quantity per class</t>
        </is>
      </c>
      <c r="F1" s="7" t="inlineStr">
        <is>
          <t>Unit</t>
        </is>
      </c>
      <c r="G1" s="7" t="inlineStr">
        <is>
          <t>Category</t>
        </is>
      </c>
      <c r="H1" s="7" t="inlineStr">
        <is>
          <t>Plan</t>
        </is>
      </c>
      <c r="I1" s="7" t="inlineStr">
        <is>
          <t>What it is for</t>
        </is>
      </c>
    </row>
    <row r="2">
      <c r="A2" s="8" t="inlineStr">
        <is>
          <t>Week 1</t>
        </is>
      </c>
      <c r="B2" s="8" t="inlineStr">
        <is>
          <t>Year 7</t>
        </is>
      </c>
      <c r="C2" s="8" t="inlineStr">
        <is>
          <t>Storage boxes, plastic with lid</t>
        </is>
      </c>
      <c r="D2" s="8" t="inlineStr">
        <is>
          <t>带盖塑料收纳箱</t>
        </is>
      </c>
      <c r="E2" s="9" t="n">
        <v>1</v>
      </c>
      <c r="F2" s="8" t="inlineStr">
        <is>
          <t>boxes</t>
        </is>
      </c>
      <c r="G2" s="8" t="inlineStr">
        <is>
          <t>Buy: reusable</t>
        </is>
      </c>
      <c r="H2" s="8" t="inlineStr">
        <is>
          <t>Both plans</t>
        </is>
      </c>
      <c r="I2" s="8" t="inlineStr">
        <is>
          <t>Class box for logbooks</t>
        </is>
      </c>
    </row>
    <row r="3">
      <c r="A3" s="8" t="inlineStr">
        <is>
          <t>Week 1</t>
        </is>
      </c>
      <c r="B3" s="8" t="inlineStr">
        <is>
          <t>Year 7</t>
        </is>
      </c>
      <c r="C3" s="8" t="inlineStr">
        <is>
          <t>A3 paper, white, 80 gsm</t>
        </is>
      </c>
      <c r="D3" s="8" t="inlineStr">
        <is>
          <t>A3复印纸（白色，80克）</t>
        </is>
      </c>
      <c r="E3" s="9" t="n">
        <v>3</v>
      </c>
      <c r="F3" s="8" t="inlineStr">
        <is>
          <t>sheets</t>
        </is>
      </c>
      <c r="G3" s="8" t="inlineStr">
        <is>
          <t>Stationery and card</t>
        </is>
      </c>
      <c r="H3" s="8" t="inlineStr">
        <is>
          <t>Both plans</t>
        </is>
      </c>
      <c r="I3" s="8" t="inlineStr">
        <is>
          <t>Language support posters, 1 per room: Instruction words key, Classroom language (side B), Think in any language</t>
        </is>
      </c>
    </row>
    <row r="4">
      <c r="A4" s="8" t="inlineStr">
        <is>
          <t>Week 1</t>
        </is>
      </c>
      <c r="B4" s="8" t="inlineStr">
        <is>
          <t>Year 7</t>
        </is>
      </c>
      <c r="C4" s="8" t="inlineStr">
        <is>
          <t>Envelopes, C4 (for A4)</t>
        </is>
      </c>
      <c r="D4" s="8" t="inlineStr">
        <is>
          <t>C4信封（可平放A4纸）</t>
        </is>
      </c>
      <c r="E4" s="9" t="n">
        <v>18</v>
      </c>
      <c r="F4" s="8" t="inlineStr">
        <is>
          <t>envelopes</t>
        </is>
      </c>
      <c r="G4" s="8" t="inlineStr">
        <is>
          <t>Stationery and card</t>
        </is>
      </c>
      <c r="H4" s="8" t="inlineStr">
        <is>
          <t>Both plans</t>
        </is>
      </c>
      <c r="I4" s="8" t="inlineStr">
        <is>
          <t>3 per group, labelled Stage 1, Stage 2, Stage 3; Stage 2 and 3 envelopes kept on the teacher desk</t>
        </is>
      </c>
    </row>
    <row r="5">
      <c r="A5" s="8" t="inlineStr">
        <is>
          <t>Week 1</t>
        </is>
      </c>
      <c r="B5" s="8" t="inlineStr">
        <is>
          <t>Year 7</t>
        </is>
      </c>
      <c r="C5" s="8" t="inlineStr">
        <is>
          <t>Laminating pouches, A4</t>
        </is>
      </c>
      <c r="D5" s="8" t="inlineStr">
        <is>
          <t>塑封膜 A4</t>
        </is>
      </c>
      <c r="E5" s="9" t="n">
        <v>6</v>
      </c>
      <c r="F5" s="8" t="inlineStr">
        <is>
          <t>pouches</t>
        </is>
      </c>
      <c r="G5" s="8" t="inlineStr">
        <is>
          <t>Stationery and card</t>
        </is>
      </c>
      <c r="H5" s="8" t="inlineStr">
        <is>
          <t>Both plans</t>
        </is>
      </c>
      <c r="I5" s="8" t="inlineStr">
        <is>
          <t>Group role cards with duties (language support pack): 6 sets of 6 business-card-size cards, 6 per A4 sheet, laminated then cut (replaces the kit card's 'set of 5')</t>
        </is>
      </c>
    </row>
    <row r="6">
      <c r="A6" s="8" t="inlineStr">
        <is>
          <t>Week 1</t>
        </is>
      </c>
      <c r="B6" s="8" t="inlineStr">
        <is>
          <t>Year 7</t>
        </is>
      </c>
      <c r="C6" s="8" t="inlineStr">
        <is>
          <t>Laminating pouches, A5</t>
        </is>
      </c>
      <c r="D6" s="8" t="inlineStr">
        <is>
          <t>塑封膜 A5</t>
        </is>
      </c>
      <c r="E6" s="9" t="n">
        <v>30</v>
      </c>
      <c r="F6" s="8" t="inlineStr">
        <is>
          <t>pouches</t>
        </is>
      </c>
      <c r="G6" s="8" t="inlineStr">
        <is>
          <t>Stationery and card</t>
        </is>
      </c>
      <c r="H6" s="8" t="inlineStr">
        <is>
          <t>Both plans</t>
        </is>
      </c>
      <c r="I6" s="8" t="inlineStr">
        <is>
          <t>Classroom language cards (language support pack): 1 per student + 6 spares, two-sided, laminated</t>
        </is>
      </c>
    </row>
    <row r="7">
      <c r="A7" s="8" t="inlineStr">
        <is>
          <t>Week 1</t>
        </is>
      </c>
      <c r="B7" s="8" t="inlineStr">
        <is>
          <t>Year 7</t>
        </is>
      </c>
      <c r="C7" s="8" t="inlineStr">
        <is>
          <t>Name cards, one per student</t>
        </is>
      </c>
      <c r="D7" s="8" t="inlineStr">
        <is>
          <t>姓名卡（每人一张）</t>
        </is>
      </c>
      <c r="E7" s="9" t="n">
        <v>24</v>
      </c>
      <c r="F7" s="8" t="inlineStr">
        <is>
          <t>cards</t>
        </is>
      </c>
      <c r="G7" s="8" t="inlineStr">
        <is>
          <t>Stationery and card</t>
        </is>
      </c>
      <c r="H7" s="8" t="inlineStr">
        <is>
          <t>Both plans</t>
        </is>
      </c>
      <c r="I7" s="8" t="inlineStr">
        <is>
          <t>1 per student, set out by the group seating plan</t>
        </is>
      </c>
    </row>
    <row r="8">
      <c r="A8" s="8" t="inlineStr">
        <is>
          <t>Week 1</t>
        </is>
      </c>
      <c r="B8" s="8" t="inlineStr">
        <is>
          <t>Year 7</t>
        </is>
      </c>
      <c r="C8" s="8" t="inlineStr">
        <is>
          <t>Pencils, HB</t>
        </is>
      </c>
      <c r="D8" s="8" t="inlineStr">
        <is>
          <t>铅笔（HB）</t>
        </is>
      </c>
      <c r="E8" s="9" t="n">
        <v>24</v>
      </c>
      <c r="F8" s="8" t="inlineStr">
        <is>
          <t>pencils</t>
        </is>
      </c>
      <c r="G8" s="8" t="inlineStr">
        <is>
          <t>Stationery and card</t>
        </is>
      </c>
      <c r="H8" s="8" t="inlineStr">
        <is>
          <t>Both plans</t>
        </is>
      </c>
      <c r="I8" s="8" t="inlineStr">
        <is>
          <t>1 per student, plus spares on the teacher desk (number not given)</t>
        </is>
      </c>
    </row>
    <row r="9">
      <c r="A9" s="8" t="inlineStr">
        <is>
          <t>Week 1</t>
        </is>
      </c>
      <c r="B9" s="8" t="inlineStr">
        <is>
          <t>Year 7</t>
        </is>
      </c>
      <c r="C9" s="8" t="inlineStr">
        <is>
          <t>White card, A4, 160 gsm</t>
        </is>
      </c>
      <c r="D9" s="8" t="inlineStr">
        <is>
          <t>160克白卡纸 A4</t>
        </is>
      </c>
      <c r="E9" s="9" t="n">
        <v>18</v>
      </c>
      <c r="F9" s="8" t="inlineStr">
        <is>
          <t>sheets</t>
        </is>
      </c>
      <c r="G9" s="8" t="inlineStr">
        <is>
          <t>Stationery and card</t>
        </is>
      </c>
      <c r="H9" s="8" t="inlineStr">
        <is>
          <t>Both plans</t>
        </is>
      </c>
      <c r="I9" s="8" t="inlineStr">
        <is>
          <t>Footprint puzzle stage cards: 6 sets x 3 A4 landscape cards, single-sided, on card or laminated (if laminating instead, use 18 A4 pouches)</t>
        </is>
      </c>
    </row>
    <row r="10">
      <c r="A10" s="8" t="inlineStr">
        <is>
          <t>Week 1</t>
        </is>
      </c>
      <c r="B10" s="8" t="inlineStr">
        <is>
          <t>Year 7</t>
        </is>
      </c>
      <c r="C10" s="8" t="inlineStr">
        <is>
          <t>My Science Dictionary (Year 7), A5 booklet</t>
        </is>
      </c>
      <c r="D10" s="8" t="inlineStr">
        <is>
          <t>我的科学词典（七年级，A5小册子）</t>
        </is>
      </c>
      <c r="E10" s="9" t="n">
        <v>28</v>
      </c>
      <c r="F10" s="8" t="inlineStr">
        <is>
          <t>booklets</t>
        </is>
      </c>
      <c r="G10" s="8" t="inlineStr">
        <is>
          <t>Print job (reprographics)</t>
        </is>
      </c>
      <c r="H10" s="8" t="inlineStr">
        <is>
          <t>Both plans</t>
        </is>
      </c>
      <c r="I10" s="8" t="inlineStr">
        <is>
          <t>1 per student + 4 spares</t>
        </is>
      </c>
    </row>
    <row r="11">
      <c r="A11" s="8" t="inlineStr">
        <is>
          <t>Week 1</t>
        </is>
      </c>
      <c r="B11" s="8" t="inlineStr">
        <is>
          <t>Year 7</t>
        </is>
      </c>
      <c r="C11" s="8" t="inlineStr">
        <is>
          <t>Scientist's Logbook, A5 booklet (Year 7)</t>
        </is>
      </c>
      <c r="D11" s="8" t="inlineStr">
        <is>
          <t>科学日志（A5小册子，七年级）</t>
        </is>
      </c>
      <c r="E11" s="9" t="n">
        <v>24</v>
      </c>
      <c r="F11" s="8" t="inlineStr">
        <is>
          <t>booklets</t>
        </is>
      </c>
      <c r="G11" s="8" t="inlineStr">
        <is>
          <t>Print job (reprographics)</t>
        </is>
      </c>
      <c r="H11" s="8" t="inlineStr">
        <is>
          <t>Both plans</t>
        </is>
      </c>
      <c r="I11" s="8" t="inlineStr">
        <is>
          <t>1 per student; started in Week 1 and kept in the class box</t>
        </is>
      </c>
    </row>
    <row r="12">
      <c r="A12" s="8" t="inlineStr">
        <is>
          <t>Week 1</t>
        </is>
      </c>
      <c r="B12" s="8" t="inlineStr">
        <is>
          <t>Year 8</t>
        </is>
      </c>
      <c r="C12" s="8" t="inlineStr">
        <is>
          <t>Plain bar soap</t>
        </is>
      </c>
      <c r="D12" s="8" t="inlineStr">
        <is>
          <t>普通块状肥皂</t>
        </is>
      </c>
      <c r="E12" s="9" t="n">
        <v>1</v>
      </c>
      <c r="F12" s="8" t="inlineStr">
        <is>
          <t>teaspoon, grated</t>
        </is>
      </c>
      <c r="G12" s="8" t="inlineStr">
        <is>
          <t>Buy: used up</t>
        </is>
      </c>
      <c r="H12" s="8" t="inlineStr">
        <is>
          <t>Both plans</t>
        </is>
      </c>
      <c r="I12" s="8" t="inlineStr">
        <is>
          <t>Optional: soap solution for the scene table's saucer of scene liquid</t>
        </is>
      </c>
    </row>
    <row r="13">
      <c r="A13" s="8" t="inlineStr">
        <is>
          <t>Week 1</t>
        </is>
      </c>
      <c r="B13" s="8" t="inlineStr">
        <is>
          <t>Year 8</t>
        </is>
      </c>
      <c r="C13" s="8" t="inlineStr">
        <is>
          <t>White coffee filters (for chromatography strips)</t>
        </is>
      </c>
      <c r="D13" s="8" t="inlineStr">
        <is>
          <t>白色咖啡滤纸（用于色谱滤纸条）</t>
        </is>
      </c>
      <c r="E13" s="9" t="n">
        <v>4</v>
      </c>
      <c r="F13" s="8" t="inlineStr">
        <is>
          <t>strips (2 cm x 10 cm)</t>
        </is>
      </c>
      <c r="G13" s="8" t="inlineStr">
        <is>
          <t>Buy: used up</t>
        </is>
      </c>
      <c r="H13" s="8" t="inlineStr">
        <is>
          <t>Both plans</t>
        </is>
      </c>
      <c r="I13" s="8" t="inlineStr">
        <is>
          <t>Pen pre-test: one strip per pen; keep the dried strips as the answer key</t>
        </is>
      </c>
    </row>
    <row r="14">
      <c r="A14" s="8" t="inlineStr">
        <is>
          <t>Week 1</t>
        </is>
      </c>
      <c r="B14" s="8" t="inlineStr">
        <is>
          <t>Year 8</t>
        </is>
      </c>
      <c r="C14" s="8" t="inlineStr">
        <is>
          <t>Black washable felt-tip pens, four different brands</t>
        </is>
      </c>
      <c r="D14" s="8" t="inlineStr">
        <is>
          <t>黑色可水洗水彩笔（水性墨水，4个不同品牌）</t>
        </is>
      </c>
      <c r="E14" s="9" t="n">
        <v>8</v>
      </c>
      <c r="F14" s="8" t="inlineStr">
        <is>
          <t>pens</t>
        </is>
      </c>
      <c r="G14" s="8" t="inlineStr">
        <is>
          <t>Buy: reusable</t>
        </is>
      </c>
      <c r="H14" s="8" t="inlineStr">
        <is>
          <t>Both plans</t>
        </is>
      </c>
      <c r="I14" s="8" t="inlineStr">
        <is>
          <t>Buy before Week 1: two of each brand (one spare) for the pen pre-test and for writing the note with pen B</t>
        </is>
      </c>
    </row>
    <row r="15">
      <c r="A15" s="8" t="inlineStr">
        <is>
          <t>Week 1</t>
        </is>
      </c>
      <c r="B15" s="8" t="inlineStr">
        <is>
          <t>Year 8</t>
        </is>
      </c>
      <c r="C15" s="8" t="inlineStr">
        <is>
          <t>Storage boxes, plastic with lid</t>
        </is>
      </c>
      <c r="D15" s="8" t="inlineStr">
        <is>
          <t>带盖塑料收纳箱</t>
        </is>
      </c>
      <c r="E15" s="9" t="n">
        <v>1</v>
      </c>
      <c r="F15" s="8" t="inlineStr">
        <is>
          <t>box</t>
        </is>
      </c>
      <c r="G15" s="8" t="inlineStr">
        <is>
          <t>Buy: reusable</t>
        </is>
      </c>
      <c r="H15" s="8" t="inlineStr">
        <is>
          <t>Both plans</t>
        </is>
      </c>
      <c r="I15" s="8" t="inlineStr">
        <is>
          <t>Case files (and logbooks) go into the class box after every lesson; badges and question cards return to it in Week 10</t>
        </is>
      </c>
    </row>
    <row r="16">
      <c r="A16" s="8" t="inlineStr">
        <is>
          <t>Week 1</t>
        </is>
      </c>
      <c r="B16" s="8" t="inlineStr">
        <is>
          <t>Year 8</t>
        </is>
      </c>
      <c r="C16" s="8" t="inlineStr">
        <is>
          <t>A3 paper, white, 80 gsm</t>
        </is>
      </c>
      <c r="D16" s="8" t="inlineStr">
        <is>
          <t>A3复印纸（白色，80克）</t>
        </is>
      </c>
      <c r="E16" s="9" t="n">
        <v>4</v>
      </c>
      <c r="F16" s="8" t="inlineStr">
        <is>
          <t>A3 sheets</t>
        </is>
      </c>
      <c r="G16" s="8" t="inlineStr">
        <is>
          <t>Stationery and card</t>
        </is>
      </c>
      <c r="H16" s="8" t="inlineStr">
        <is>
          <t>Both plans</t>
        </is>
      </c>
      <c r="I16" s="8" t="inlineStr">
        <is>
          <t>Scene map enlarged for the wall (1); language support pack posters, 1 per room: Instruction words key, Classroom language side B, Think in any language (3)</t>
        </is>
      </c>
    </row>
    <row r="17">
      <c r="A17" s="8" t="inlineStr">
        <is>
          <t>Week 1</t>
        </is>
      </c>
      <c r="B17" s="8" t="inlineStr">
        <is>
          <t>Year 8</t>
        </is>
      </c>
      <c r="C17" s="8" t="inlineStr">
        <is>
          <t>A4 folders for case files</t>
        </is>
      </c>
      <c r="D17" s="8" t="inlineStr">
        <is>
          <t>A4文件夹（案件档案用）</t>
        </is>
      </c>
      <c r="E17" s="9" t="n">
        <v>24</v>
      </c>
      <c r="F17" s="8" t="inlineStr">
        <is>
          <t>folders</t>
        </is>
      </c>
      <c r="G17" s="8" t="inlineStr">
        <is>
          <t>Stationery and card</t>
        </is>
      </c>
      <c r="H17" s="8" t="inlineStr">
        <is>
          <t>Both plans</t>
        </is>
      </c>
      <c r="I17" s="8" t="inlineStr">
        <is>
          <t>1 per student; holds cover, briefing and sign-in sheet, scene map, suspect cards and evidence log; used all ten weeks and assessed in Week 10</t>
        </is>
      </c>
    </row>
    <row r="18">
      <c r="A18" s="8" t="inlineStr">
        <is>
          <t>Week 1</t>
        </is>
      </c>
      <c r="B18" s="8" t="inlineStr">
        <is>
          <t>Year 8</t>
        </is>
      </c>
      <c r="C18" s="8" t="inlineStr">
        <is>
          <t>Laminating pouches, A4</t>
        </is>
      </c>
      <c r="D18" s="8" t="inlineStr">
        <is>
          <t>塑封膜 A4</t>
        </is>
      </c>
      <c r="E18" s="9" t="n">
        <v>6</v>
      </c>
      <c r="F18" s="8" t="inlineStr">
        <is>
          <t>pouches</t>
        </is>
      </c>
      <c r="G18" s="8" t="inlineStr">
        <is>
          <t>Stationery and card</t>
        </is>
      </c>
      <c r="H18" s="8" t="inlineStr">
        <is>
          <t>Both plans</t>
        </is>
      </c>
      <c r="I18" s="8" t="inlineStr">
        <is>
          <t>Group role cards with duties (language support pack): 6 sets per class, 6 business-card size cards per A4 sheet, laminated</t>
        </is>
      </c>
    </row>
    <row r="19">
      <c r="A19" s="8" t="inlineStr">
        <is>
          <t>Week 1</t>
        </is>
      </c>
      <c r="B19" s="8" t="inlineStr">
        <is>
          <t>Year 8</t>
        </is>
      </c>
      <c r="C19" s="8" t="inlineStr">
        <is>
          <t>Laminating pouches, A5</t>
        </is>
      </c>
      <c r="D19" s="8" t="inlineStr">
        <is>
          <t>塑封膜 A5</t>
        </is>
      </c>
      <c r="E19" s="9" t="n">
        <v>30</v>
      </c>
      <c r="F19" s="8" t="inlineStr">
        <is>
          <t>pouches</t>
        </is>
      </c>
      <c r="G19" s="8" t="inlineStr">
        <is>
          <t>Stationery and card</t>
        </is>
      </c>
      <c r="H19" s="8" t="inlineStr">
        <is>
          <t>Both plans</t>
        </is>
      </c>
      <c r="I19" s="8" t="inlineStr">
        <is>
          <t>Classroom language cards (language support pack), two-sided, 1 per student plus 6 spares</t>
        </is>
      </c>
    </row>
    <row r="20">
      <c r="A20" s="8" t="inlineStr">
        <is>
          <t>Week 1</t>
        </is>
      </c>
      <c r="B20" s="8" t="inlineStr">
        <is>
          <t>Year 8</t>
        </is>
      </c>
      <c r="C20" s="8" t="inlineStr">
        <is>
          <t>Masking tape</t>
        </is>
      </c>
      <c r="D20" s="8" t="inlineStr">
        <is>
          <t>美纹纸胶带</t>
        </is>
      </c>
      <c r="E20" s="9" t="n">
        <v>1</v>
      </c>
      <c r="F20" s="8" t="inlineStr">
        <is>
          <t>roll</t>
        </is>
      </c>
      <c r="G20" s="8" t="inlineStr">
        <is>
          <t>Stationery and card</t>
        </is>
      </c>
      <c r="H20" s="8" t="inlineStr">
        <is>
          <t>Both plans</t>
        </is>
      </c>
      <c r="I20" s="8" t="inlineStr">
        <is>
          <t>Cover the brand name on every pen and write the letter A to D on the tape</t>
        </is>
      </c>
    </row>
    <row r="21">
      <c r="A21" s="8" t="inlineStr">
        <is>
          <t>Week 1</t>
        </is>
      </c>
      <c r="B21" s="8" t="inlineStr">
        <is>
          <t>Year 8</t>
        </is>
      </c>
      <c r="C21" s="8" t="inlineStr">
        <is>
          <t>Name cards, one per student</t>
        </is>
      </c>
      <c r="D21" s="8" t="inlineStr">
        <is>
          <t>姓名卡（每人一张）</t>
        </is>
      </c>
      <c r="E21" s="9" t="n">
        <v>24</v>
      </c>
      <c r="F21" s="8" t="inlineStr">
        <is>
          <t>cards</t>
        </is>
      </c>
      <c r="G21" s="8" t="inlineStr">
        <is>
          <t>Stationery and card</t>
        </is>
      </c>
      <c r="H21" s="8" t="inlineStr">
        <is>
          <t>Both plans</t>
        </is>
      </c>
      <c r="I21" s="8" t="inlineStr">
        <is>
          <t>Groups of 4 set out with name cards (1 per student assumed)</t>
        </is>
      </c>
    </row>
    <row r="22">
      <c r="A22" s="8" t="inlineStr">
        <is>
          <t>Week 1</t>
        </is>
      </c>
      <c r="B22" s="8" t="inlineStr">
        <is>
          <t>Year 8</t>
        </is>
      </c>
      <c r="C22" s="8" t="inlineStr">
        <is>
          <t>Pencils, HB</t>
        </is>
      </c>
      <c r="D22" s="8" t="inlineStr">
        <is>
          <t>铅笔（HB）</t>
        </is>
      </c>
      <c r="E22" s="9" t="n">
        <v>24</v>
      </c>
      <c r="F22" s="8" t="inlineStr">
        <is>
          <t>pencils</t>
        </is>
      </c>
      <c r="G22" s="8" t="inlineStr">
        <is>
          <t>Stationery and card</t>
        </is>
      </c>
      <c r="H22" s="8" t="inlineStr">
        <is>
          <t>Both plans</t>
        </is>
      </c>
      <c r="I22" s="8" t="inlineStr">
        <is>
          <t>1 per student</t>
        </is>
      </c>
    </row>
    <row r="23">
      <c r="A23" s="8" t="inlineStr">
        <is>
          <t>Week 1</t>
        </is>
      </c>
      <c r="B23" s="8" t="inlineStr">
        <is>
          <t>Year 8</t>
        </is>
      </c>
      <c r="C23" s="8" t="inlineStr">
        <is>
          <t>Scene footprint print, true size (24 cm), A4</t>
        </is>
      </c>
      <c r="D23" s="8" t="inlineStr">
        <is>
          <t>现场脚印打印图（实际尺寸，24厘米）A4</t>
        </is>
      </c>
      <c r="E23" s="9" t="n">
        <v>1</v>
      </c>
      <c r="F23" s="8" t="inlineStr">
        <is>
          <t>prints</t>
        </is>
      </c>
      <c r="G23" s="8" t="inlineStr">
        <is>
          <t>Stationery and card</t>
        </is>
      </c>
      <c r="H23" s="8" t="inlineStr">
        <is>
          <t>Both plans</t>
        </is>
      </c>
      <c r="I23" s="8" t="inlineStr">
        <is>
          <t>Optional scene table: a paper footprint 24 cm long (this copy can serve as the Week 6 scene-table copy)</t>
        </is>
      </c>
    </row>
    <row r="24">
      <c r="A24" s="8" t="inlineStr">
        <is>
          <t>Week 1</t>
        </is>
      </c>
      <c r="B24" s="8" t="inlineStr">
        <is>
          <t>Year 8</t>
        </is>
      </c>
      <c r="C24" s="8" t="inlineStr">
        <is>
          <t>White card, A4, 160 gsm</t>
        </is>
      </c>
      <c r="D24" s="8" t="inlineStr">
        <is>
          <t>160克白卡纸 A4</t>
        </is>
      </c>
      <c r="E24" s="9" t="n">
        <v>49</v>
      </c>
      <c r="F24" s="8" t="inlineStr">
        <is>
          <t>A4 sheets</t>
        </is>
      </c>
      <c r="G24" s="8" t="inlineStr">
        <is>
          <t>Stationery and card</t>
        </is>
      </c>
      <c r="H24" s="8" t="inlineStr">
        <is>
          <t>Both plans</t>
        </is>
      </c>
      <c r="I24" s="8" t="inlineStr">
        <is>
          <t>Case file covers, 1 per student, on card if possible (24); evidence logs, A4 landscape, 1 per student, on card if possible, kept all ten weeks (24); plain white card for the handwritten note (1)</t>
        </is>
      </c>
    </row>
    <row r="25">
      <c r="A25" s="8" t="inlineStr">
        <is>
          <t>Week 1</t>
        </is>
      </c>
      <c r="B25" s="8" t="inlineStr">
        <is>
          <t>Year 8</t>
        </is>
      </c>
      <c r="C25" s="8" t="inlineStr">
        <is>
          <t>Plastic cups, small, clear</t>
        </is>
      </c>
      <c r="D25" s="8" t="inlineStr">
        <is>
          <t>透明小塑料杯</t>
        </is>
      </c>
      <c r="E25" s="9" t="n">
        <v>4</v>
      </c>
      <c r="F25" s="8" t="inlineStr">
        <is>
          <t>cups</t>
        </is>
      </c>
      <c r="G25" s="8" t="inlineStr">
        <is>
          <t>Prep room equipment</t>
        </is>
      </c>
      <c r="H25" s="8" t="inlineStr">
        <is>
          <t>Both plans</t>
        </is>
      </c>
      <c r="I25" s="8" t="inlineStr">
        <is>
          <t>Pen pre-test, water 1 cm deep</t>
        </is>
      </c>
    </row>
    <row r="26">
      <c r="A26" s="8" t="inlineStr">
        <is>
          <t>Week 1</t>
        </is>
      </c>
      <c r="B26" s="8" t="inlineStr">
        <is>
          <t>Year 8</t>
        </is>
      </c>
      <c r="C26" s="8" t="inlineStr">
        <is>
          <t>Trays, flat (kit trays)</t>
        </is>
      </c>
      <c r="D26" s="8" t="inlineStr">
        <is>
          <t>托盘（平底）</t>
        </is>
      </c>
      <c r="E26" s="9" t="n">
        <v>1</v>
      </c>
      <c r="F26" s="8" t="inlineStr">
        <is>
          <t>tray</t>
        </is>
      </c>
      <c r="G26" s="8" t="inlineStr">
        <is>
          <t>Prep room equipment</t>
        </is>
      </c>
      <c r="H26" s="8" t="inlineStr">
        <is>
          <t>Both plans</t>
        </is>
      </c>
      <c r="I26" s="8" t="inlineStr">
        <is>
          <t>Optional scene table: dark tray for the teaspoon of baking soda</t>
        </is>
      </c>
    </row>
    <row r="27">
      <c r="A27" s="8" t="inlineStr">
        <is>
          <t>Week 1</t>
        </is>
      </c>
      <c r="B27" s="8" t="inlineStr">
        <is>
          <t>Year 8</t>
        </is>
      </c>
      <c r="C27" s="8" t="inlineStr">
        <is>
          <t>Baking soda (bicarbonate of soda)</t>
        </is>
      </c>
      <c r="D27" s="8" t="inlineStr">
        <is>
          <t>小苏打</t>
        </is>
      </c>
      <c r="E27" s="9" t="n">
        <v>1</v>
      </c>
      <c r="F27" s="8" t="inlineStr">
        <is>
          <t>teaspoons</t>
        </is>
      </c>
      <c r="G27" s="8" t="inlineStr">
        <is>
          <t>Canteen and kitchen</t>
        </is>
      </c>
      <c r="H27" s="8" t="inlineStr">
        <is>
          <t>Both plans</t>
        </is>
      </c>
      <c r="I27" s="8" t="inlineStr">
        <is>
          <t>Optional scene table: a teaspoon on a dark tray (plus a pinch for the optional scene liquid)</t>
        </is>
      </c>
    </row>
    <row r="28">
      <c r="A28" s="8" t="inlineStr">
        <is>
          <t>Week 1</t>
        </is>
      </c>
      <c r="B28" s="8" t="inlineStr">
        <is>
          <t>Year 8</t>
        </is>
      </c>
      <c r="C28" s="8" t="inlineStr">
        <is>
          <t>Drinking glass, clear</t>
        </is>
      </c>
      <c r="D28" s="8" t="inlineStr">
        <is>
          <t>玻璃杯（透明）</t>
        </is>
      </c>
      <c r="E28" s="9" t="n">
        <v>1</v>
      </c>
      <c r="F28" s="8" t="inlineStr">
        <is>
          <t>glass</t>
        </is>
      </c>
      <c r="G28" s="8" t="inlineStr">
        <is>
          <t>Canteen and kitchen</t>
        </is>
      </c>
      <c r="H28" s="8" t="inlineStr">
        <is>
          <t>Both plans</t>
        </is>
      </c>
      <c r="I28" s="8" t="inlineStr">
        <is>
          <t>Optional scene table</t>
        </is>
      </c>
    </row>
    <row r="29">
      <c r="A29" s="8" t="inlineStr">
        <is>
          <t>Week 1</t>
        </is>
      </c>
      <c r="B29" s="8" t="inlineStr">
        <is>
          <t>Year 8</t>
        </is>
      </c>
      <c r="C29" s="8" t="inlineStr">
        <is>
          <t>Saucers, small, identical</t>
        </is>
      </c>
      <c r="D29" s="8" t="inlineStr">
        <is>
          <t>小碟子（同款）</t>
        </is>
      </c>
      <c r="E29" s="9" t="n">
        <v>1</v>
      </c>
      <c r="F29" s="8" t="inlineStr">
        <is>
          <t>saucer</t>
        </is>
      </c>
      <c r="G29" s="8" t="inlineStr">
        <is>
          <t>Canteen and kitchen</t>
        </is>
      </c>
      <c r="H29" s="8" t="inlineStr">
        <is>
          <t>Both plans</t>
        </is>
      </c>
      <c r="I29" s="8" t="inlineStr">
        <is>
          <t>Optional scene table: a saucer of the scene liquid</t>
        </is>
      </c>
    </row>
    <row r="30">
      <c r="A30" s="8" t="inlineStr">
        <is>
          <t>Week 1</t>
        </is>
      </c>
      <c r="B30" s="8" t="inlineStr">
        <is>
          <t>Year 8</t>
        </is>
      </c>
      <c r="C30" s="8" t="inlineStr">
        <is>
          <t>Baking soda solution</t>
        </is>
      </c>
      <c r="D30" s="8" t="inlineStr">
        <is>
          <t>小苏打溶液</t>
        </is>
      </c>
      <c r="E30" s="9" t="n">
        <v>1</v>
      </c>
      <c r="F30" s="8" t="inlineStr">
        <is>
          <t>small batch</t>
        </is>
      </c>
      <c r="G30" s="8" t="inlineStr">
        <is>
          <t>Teacher made</t>
        </is>
      </c>
      <c r="H30" s="8" t="inlineStr">
        <is>
          <t>Both plans</t>
        </is>
      </c>
      <c r="I30" s="8" t="inlineStr">
        <is>
          <t>Optional, for the scene table liquid only (a pinch of baking soda in a little water). Ingredients: baking soda, water</t>
        </is>
      </c>
    </row>
    <row r="31">
      <c r="A31" s="8" t="inlineStr">
        <is>
          <t>Week 1</t>
        </is>
      </c>
      <c r="B31" s="8" t="inlineStr">
        <is>
          <t>Year 8</t>
        </is>
      </c>
      <c r="C31" s="8" t="inlineStr">
        <is>
          <t>Display note (the note prop)</t>
        </is>
      </c>
      <c r="D31" s="8" t="inlineStr">
        <is>
          <t>展示纸条（纸条道具）</t>
        </is>
      </c>
      <c r="E31" s="9" t="n">
        <v>1</v>
      </c>
      <c r="F31" s="8" t="inlineStr">
        <is>
          <t>note</t>
        </is>
      </c>
      <c r="G31" s="8" t="inlineStr">
        <is>
          <t>Teacher made</t>
        </is>
      </c>
      <c r="H31" s="8" t="inlineStr">
        <is>
          <t>Both plans</t>
        </is>
      </c>
      <c r="I31" s="8" t="inlineStr">
        <is>
          <t>Made after the pen pre-test; photographed for the Week 1 slides; held up again in the Week 3 Hook. Ingredients: white card, pen B</t>
        </is>
      </c>
    </row>
    <row r="32">
      <c r="A32" s="8" t="inlineStr">
        <is>
          <t>Week 1</t>
        </is>
      </c>
      <c r="B32" s="8" t="inlineStr">
        <is>
          <t>Year 8</t>
        </is>
      </c>
      <c r="C32" s="8" t="inlineStr">
        <is>
          <t>Evidence 4: scene liquid</t>
        </is>
      </c>
      <c r="D32" s="8" t="inlineStr">
        <is>
          <t>证据4：现场液体</t>
        </is>
      </c>
      <c r="E32" s="9" t="n">
        <v>1</v>
      </c>
      <c r="F32" s="8" t="inlineStr">
        <is>
          <t>saucer</t>
        </is>
      </c>
      <c r="G32" s="8" t="inlineStr">
        <is>
          <t>Teacher made</t>
        </is>
      </c>
      <c r="H32" s="8" t="inlineStr">
        <is>
          <t>Both plans</t>
        </is>
      </c>
      <c r="I32" s="8" t="inlineStr">
        <is>
          <t>Optional scene table only</t>
        </is>
      </c>
    </row>
    <row r="33">
      <c r="A33" s="8" t="inlineStr">
        <is>
          <t>Week 1</t>
        </is>
      </c>
      <c r="B33" s="8" t="inlineStr">
        <is>
          <t>Year 8</t>
        </is>
      </c>
      <c r="C33" s="8" t="inlineStr">
        <is>
          <t>Pen pre-test strips (answer key)</t>
        </is>
      </c>
      <c r="D33" s="8" t="inlineStr">
        <is>
          <t>A号笔到D号笔预测试滤纸条（答案）</t>
        </is>
      </c>
      <c r="E33" s="9" t="n">
        <v>4</v>
      </c>
      <c r="F33" s="8" t="inlineStr">
        <is>
          <t>strips</t>
        </is>
      </c>
      <c r="G33" s="8" t="inlineStr">
        <is>
          <t>Teacher made</t>
        </is>
      </c>
      <c r="H33" s="8" t="inlineStr">
        <is>
          <t>Both plans</t>
        </is>
      </c>
      <c r="I33" s="8" t="inlineStr">
        <is>
          <t>One per pen A to D in water (about 20 minutes, two weeks before Week 3); kept as answer key and backup lab results; one is shown in the Week 3 Hook. Ingredients: coffee-filter strips, pens, pencil, cups, water</t>
        </is>
      </c>
    </row>
    <row r="34">
      <c r="A34" s="8" t="inlineStr">
        <is>
          <t>Week 1</t>
        </is>
      </c>
      <c r="B34" s="8" t="inlineStr">
        <is>
          <t>Year 8</t>
        </is>
      </c>
      <c r="C34" s="8" t="inlineStr">
        <is>
          <t>Scene table (optional Week 1 display)</t>
        </is>
      </c>
      <c r="D34" s="8" t="inlineStr">
        <is>
          <t>案发现场展示桌（第1周，可选）</t>
        </is>
      </c>
      <c r="E34" s="9" t="n">
        <v>1</v>
      </c>
      <c r="F34" s="8" t="inlineStr">
        <is>
          <t>display</t>
        </is>
      </c>
      <c r="G34" s="8" t="inlineStr">
        <is>
          <t>Teacher made</t>
        </is>
      </c>
      <c r="H34" s="8" t="inlineStr">
        <is>
          <t>Both plans</t>
        </is>
      </c>
      <c r="I34" s="8" t="inlineStr">
        <is>
          <t>Optional, 5 minutes to set up at the front of the room</t>
        </is>
      </c>
    </row>
    <row r="35">
      <c r="A35" s="8" t="inlineStr">
        <is>
          <t>Week 1</t>
        </is>
      </c>
      <c r="B35" s="8" t="inlineStr">
        <is>
          <t>Year 8</t>
        </is>
      </c>
      <c r="C35" s="8" t="inlineStr">
        <is>
          <t>Soap solution</t>
        </is>
      </c>
      <c r="D35" s="8" t="inlineStr">
        <is>
          <t>肥皂水</t>
        </is>
      </c>
      <c r="E35" s="9" t="n">
        <v>1</v>
      </c>
      <c r="F35" s="8" t="inlineStr">
        <is>
          <t>small batch</t>
        </is>
      </c>
      <c r="G35" s="8" t="inlineStr">
        <is>
          <t>Teacher made</t>
        </is>
      </c>
      <c r="H35" s="8" t="inlineStr">
        <is>
          <t>Both plans</t>
        </is>
      </c>
      <c r="I35" s="8" t="inlineStr">
        <is>
          <t>Optional, for the scene table liquid only</t>
        </is>
      </c>
    </row>
    <row r="36">
      <c r="A36" s="8" t="inlineStr">
        <is>
          <t>Week 1</t>
        </is>
      </c>
      <c r="B36" s="8" t="inlineStr">
        <is>
          <t>Year 9</t>
        </is>
      </c>
      <c r="C36" s="8" t="inlineStr">
        <is>
          <t>A3 paper, white, 80 gsm</t>
        </is>
      </c>
      <c r="D36" s="8" t="inlineStr">
        <is>
          <t>A3复印纸（白色，80克）</t>
        </is>
      </c>
      <c r="E36" s="9" t="n">
        <v>6</v>
      </c>
      <c r="F36" s="8" t="inlineStr">
        <is>
          <t>sheets</t>
        </is>
      </c>
      <c r="G36" s="8" t="inlineStr">
        <is>
          <t>Stationery and card</t>
        </is>
      </c>
      <c r="H36" s="8" t="inlineStr">
        <is>
          <t>Both plans</t>
        </is>
      </c>
      <c r="I36" s="8" t="inlineStr">
        <is>
          <t>Claim sort mats, one per group</t>
        </is>
      </c>
    </row>
    <row r="37">
      <c r="A37" s="8" t="inlineStr">
        <is>
          <t>Week 1</t>
        </is>
      </c>
      <c r="B37" s="8" t="inlineStr">
        <is>
          <t>Year 9</t>
        </is>
      </c>
      <c r="C37" s="8" t="inlineStr">
        <is>
          <t>Envelopes, C6 (for small card sets)</t>
        </is>
      </c>
      <c r="D37" s="8" t="inlineStr">
        <is>
          <t>C6信封（可装A6及名片大小卡片）</t>
        </is>
      </c>
      <c r="E37" s="9" t="n">
        <v>6</v>
      </c>
      <c r="F37" s="8" t="inlineStr">
        <is>
          <t>envelopes</t>
        </is>
      </c>
      <c r="G37" s="8" t="inlineStr">
        <is>
          <t>Stationery and card</t>
        </is>
      </c>
      <c r="H37" s="8" t="inlineStr">
        <is>
          <t>Both plans</t>
        </is>
      </c>
      <c r="I37" s="8" t="inlineStr">
        <is>
          <t>One per claim card set, labelled with the group number</t>
        </is>
      </c>
    </row>
    <row r="38">
      <c r="A38" s="8" t="inlineStr">
        <is>
          <t>Week 1</t>
        </is>
      </c>
      <c r="B38" s="8" t="inlineStr">
        <is>
          <t>Year 9</t>
        </is>
      </c>
      <c r="C38" s="8" t="inlineStr">
        <is>
          <t>Group role cards (Year 9)</t>
        </is>
      </c>
      <c r="D38" s="8" t="inlineStr">
        <is>
          <t>小组角色卡（九年级）</t>
        </is>
      </c>
      <c r="E38" s="9" t="n">
        <v>6</v>
      </c>
      <c r="F38" s="8" t="inlineStr">
        <is>
          <t>sets of 5</t>
        </is>
      </c>
      <c r="G38" s="8" t="inlineStr">
        <is>
          <t>Stationery and card</t>
        </is>
      </c>
      <c r="H38" s="8" t="inlineStr">
        <is>
          <t>Both plans</t>
        </is>
      </c>
      <c r="I38" s="8" t="inlineStr">
        <is>
          <t>1 set per group (30 cards). The cards stay on the tables and roles rotate every week for the whole series</t>
        </is>
      </c>
    </row>
    <row r="39">
      <c r="A39" s="8" t="inlineStr">
        <is>
          <t>Week 1</t>
        </is>
      </c>
      <c r="B39" s="8" t="inlineStr">
        <is>
          <t>Year 9</t>
        </is>
      </c>
      <c r="C39" s="8" t="inlineStr">
        <is>
          <t>Laminating pouches, A3</t>
        </is>
      </c>
      <c r="D39" s="8" t="inlineStr">
        <is>
          <t>塑封膜 A3</t>
        </is>
      </c>
      <c r="E39" s="9" t="n">
        <v>6</v>
      </c>
      <c r="F39" s="8" t="inlineStr">
        <is>
          <t>pouches</t>
        </is>
      </c>
      <c r="G39" s="8" t="inlineStr">
        <is>
          <t>Stationery and card</t>
        </is>
      </c>
      <c r="H39" s="8" t="inlineStr">
        <is>
          <t>Both plans</t>
        </is>
      </c>
      <c r="I39" s="8" t="inlineStr">
        <is>
          <t>Claim sort mats (laminate if possible)</t>
        </is>
      </c>
    </row>
    <row r="40">
      <c r="A40" s="8" t="inlineStr">
        <is>
          <t>Week 1</t>
        </is>
      </c>
      <c r="B40" s="8" t="inlineStr">
        <is>
          <t>Year 9</t>
        </is>
      </c>
      <c r="C40" s="8" t="inlineStr">
        <is>
          <t>Pencils, HB</t>
        </is>
      </c>
      <c r="D40" s="8" t="inlineStr">
        <is>
          <t>铅笔（HB）</t>
        </is>
      </c>
      <c r="E40" s="9" t="n">
        <v>24</v>
      </c>
      <c r="F40" s="8" t="inlineStr">
        <is>
          <t>pencils</t>
        </is>
      </c>
      <c r="G40" s="8" t="inlineStr">
        <is>
          <t>Stationery and card</t>
        </is>
      </c>
      <c r="H40" s="8" t="inlineStr">
        <is>
          <t>Both plans</t>
        </is>
      </c>
      <c r="I40" s="8" t="inlineStr">
        <is>
          <t>4 per group</t>
        </is>
      </c>
    </row>
    <row r="41">
      <c r="A41" s="8" t="inlineStr">
        <is>
          <t>Week 1</t>
        </is>
      </c>
      <c r="B41" s="8" t="inlineStr">
        <is>
          <t>Year 9</t>
        </is>
      </c>
      <c r="C41" s="8" t="inlineStr">
        <is>
          <t>White card, A4, 160 gsm</t>
        </is>
      </c>
      <c r="D41" s="8" t="inlineStr">
        <is>
          <t>160克白卡纸 A4</t>
        </is>
      </c>
      <c r="E41" s="9" t="n">
        <v>12</v>
      </c>
      <c r="F41" s="8" t="inlineStr">
        <is>
          <t>sheets</t>
        </is>
      </c>
      <c r="G41" s="8" t="inlineStr">
        <is>
          <t>Stationery and card</t>
        </is>
      </c>
      <c r="H41" s="8" t="inlineStr">
        <is>
          <t>Both plans</t>
        </is>
      </c>
      <c r="I41" s="8" t="inlineStr">
        <is>
          <t>Claim cards: 6 sets x 2 sheets (8 cards per sheet, about 9 x 6 cm). Cut them out and keep each set in an envelope</t>
        </is>
      </c>
    </row>
    <row r="42">
      <c r="A42" s="8" t="inlineStr">
        <is>
          <t>Week 2</t>
        </is>
      </c>
      <c r="B42" s="8" t="inlineStr">
        <is>
          <t>Year 7</t>
        </is>
      </c>
      <c r="C42" s="8" t="inlineStr">
        <is>
          <t>Cotton wool</t>
        </is>
      </c>
      <c r="D42" s="8" t="inlineStr">
        <is>
          <t>棉花（脱脂棉）</t>
        </is>
      </c>
      <c r="E42" s="9" t="n">
        <v>1</v>
      </c>
      <c r="F42" s="8" t="inlineStr">
        <is>
          <t>cotton ball</t>
        </is>
      </c>
      <c r="G42" s="8" t="inlineStr">
        <is>
          <t>Buy: used up</t>
        </is>
      </c>
      <c r="H42" s="8" t="inlineStr">
        <is>
          <t>Both plans</t>
        </is>
      </c>
      <c r="I42" s="8" t="inlineStr">
        <is>
          <t>Mystery cup B contents</t>
        </is>
      </c>
    </row>
    <row r="43">
      <c r="A43" s="8" t="inlineStr">
        <is>
          <t>Week 2</t>
        </is>
      </c>
      <c r="B43" s="8" t="inlineStr">
        <is>
          <t>Year 7</t>
        </is>
      </c>
      <c r="C43" s="8" t="inlineStr">
        <is>
          <t>Paper cups, opaque</t>
        </is>
      </c>
      <c r="D43" s="8" t="inlineStr">
        <is>
          <t>纸杯（不透明）</t>
        </is>
      </c>
      <c r="E43" s="9" t="n">
        <v>24</v>
      </c>
      <c r="F43" s="8" t="inlineStr">
        <is>
          <t>cups</t>
        </is>
      </c>
      <c r="G43" s="8" t="inlineStr">
        <is>
          <t>Buy: used up</t>
        </is>
      </c>
      <c r="H43" s="8" t="inlineStr">
        <is>
          <t>Both plans</t>
        </is>
      </c>
      <c r="I43" s="8" t="inlineStr">
        <is>
          <t>2 per mystery cup x 12 (one cup upside down on another, rim to rim)</t>
        </is>
      </c>
    </row>
    <row r="44">
      <c r="A44" s="8" t="inlineStr">
        <is>
          <t>Week 2</t>
        </is>
      </c>
      <c r="B44" s="8" t="inlineStr">
        <is>
          <t>Year 7</t>
        </is>
      </c>
      <c r="C44" s="8" t="inlineStr">
        <is>
          <t>Storage boxes, plastic with lid</t>
        </is>
      </c>
      <c r="D44" s="8" t="inlineStr">
        <is>
          <t>带盖塑料收纳箱</t>
        </is>
      </c>
      <c r="E44" s="9" t="n">
        <v>1</v>
      </c>
      <c r="F44" s="8" t="inlineStr">
        <is>
          <t>boxes</t>
        </is>
      </c>
      <c r="G44" s="8" t="inlineStr">
        <is>
          <t>Buy: reusable</t>
        </is>
      </c>
      <c r="H44" s="8" t="inlineStr">
        <is>
          <t>Both plans</t>
        </is>
      </c>
      <c r="I44" s="8" t="inlineStr">
        <is>
          <t>Teacher box for the mystery cups (kept for future years)</t>
        </is>
      </c>
    </row>
    <row r="45">
      <c r="A45" s="8" t="inlineStr">
        <is>
          <t>Week 2</t>
        </is>
      </c>
      <c r="B45" s="8" t="inlineStr">
        <is>
          <t>Year 7</t>
        </is>
      </c>
      <c r="C45" s="8" t="inlineStr">
        <is>
          <t>A3 paper, white, 80 gsm</t>
        </is>
      </c>
      <c r="D45" s="8" t="inlineStr">
        <is>
          <t>A3复印纸（白色，80克）</t>
        </is>
      </c>
      <c r="E45" s="9" t="n">
        <v>1</v>
      </c>
      <c r="F45" s="8" t="inlineStr">
        <is>
          <t>sheets</t>
        </is>
      </c>
      <c r="G45" s="8" t="inlineStr">
        <is>
          <t>Stationery and card</t>
        </is>
      </c>
      <c r="H45" s="8" t="inlineStr">
        <is>
          <t>Both plans</t>
        </is>
      </c>
      <c r="I45" s="8" t="inlineStr">
        <is>
          <t>Galileo thought-experiment storyboard poster (A3 landscape, 1 per class)</t>
        </is>
      </c>
    </row>
    <row r="46">
      <c r="A46" s="8" t="inlineStr">
        <is>
          <t>Week 2</t>
        </is>
      </c>
      <c r="B46" s="8" t="inlineStr">
        <is>
          <t>Year 7</t>
        </is>
      </c>
      <c r="C46" s="8" t="inlineStr">
        <is>
          <t>A4 paper, plain white, 80 gsm</t>
        </is>
      </c>
      <c r="D46" s="8" t="inlineStr">
        <is>
          <t>A4复印纸（白色，80克）</t>
        </is>
      </c>
      <c r="E46" s="9" t="n">
        <v>3</v>
      </c>
      <c r="F46" s="8" t="inlineStr">
        <is>
          <t>sheets</t>
        </is>
      </c>
      <c r="G46" s="8" t="inlineStr">
        <is>
          <t>Stationery and card</t>
        </is>
      </c>
      <c r="H46" s="8" t="inlineStr">
        <is>
          <t>Both plans</t>
        </is>
      </c>
      <c r="I46" s="8" t="inlineStr">
        <is>
          <t>Teacher demo: one to crumple, one flat, one spare</t>
        </is>
      </c>
    </row>
    <row r="47">
      <c r="A47" s="8" t="inlineStr">
        <is>
          <t>Week 2</t>
        </is>
      </c>
      <c r="B47" s="8" t="inlineStr">
        <is>
          <t>Year 7</t>
        </is>
      </c>
      <c r="C47" s="8" t="inlineStr">
        <is>
          <t>Envelopes, C6 (for small card sets)</t>
        </is>
      </c>
      <c r="D47" s="8" t="inlineStr">
        <is>
          <t>C6信封（可装A6及名片大小卡片）</t>
        </is>
      </c>
      <c r="E47" s="9" t="n">
        <v>6</v>
      </c>
      <c r="F47" s="8" t="inlineStr">
        <is>
          <t>envelopes</t>
        </is>
      </c>
      <c r="G47" s="8" t="inlineStr">
        <is>
          <t>Stationery and card</t>
        </is>
      </c>
      <c r="H47" s="8" t="inlineStr">
        <is>
          <t>Both plans</t>
        </is>
      </c>
      <c r="I47" s="8" t="inlineStr">
        <is>
          <t>1 per group for the question sort card set (12 cards + 2 header cards)</t>
        </is>
      </c>
    </row>
    <row r="48">
      <c r="A48" s="8" t="inlineStr">
        <is>
          <t>Week 2</t>
        </is>
      </c>
      <c r="B48" s="8" t="inlineStr">
        <is>
          <t>Year 7</t>
        </is>
      </c>
      <c r="C48" s="8" t="inlineStr">
        <is>
          <t>Masking tape</t>
        </is>
      </c>
      <c r="D48" s="8" t="inlineStr">
        <is>
          <t>美纹纸胶带</t>
        </is>
      </c>
      <c r="E48" s="9" t="n">
        <v>1</v>
      </c>
      <c r="F48" s="8" t="inlineStr">
        <is>
          <t>rolls</t>
        </is>
      </c>
      <c r="G48" s="8" t="inlineStr">
        <is>
          <t>Stationery and card</t>
        </is>
      </c>
      <c r="H48" s="8" t="inlineStr">
        <is>
          <t>Both plans</t>
        </is>
      </c>
      <c r="I48" s="8" t="inlineStr">
        <is>
          <t>Tape all round each of the 12 mystery cups (rim to rim); cups made in Week 1</t>
        </is>
      </c>
    </row>
    <row r="49">
      <c r="A49" s="8" t="inlineStr">
        <is>
          <t>Week 2</t>
        </is>
      </c>
      <c r="B49" s="8" t="inlineStr">
        <is>
          <t>Year 7</t>
        </is>
      </c>
      <c r="C49" s="8" t="inlineStr">
        <is>
          <t>Paper clips, standard 28 mm</t>
        </is>
      </c>
      <c r="D49" s="8" t="inlineStr">
        <is>
          <t>回形针（标准28毫米）</t>
        </is>
      </c>
      <c r="E49" s="9" t="n">
        <v>1</v>
      </c>
      <c r="F49" s="8" t="inlineStr">
        <is>
          <t>clips</t>
        </is>
      </c>
      <c r="G49" s="8" t="inlineStr">
        <is>
          <t>Stationery and card</t>
        </is>
      </c>
      <c r="H49" s="8" t="inlineStr">
        <is>
          <t>Both plans</t>
        </is>
      </c>
      <c r="I49" s="8" t="inlineStr">
        <is>
          <t>Mystery cup D contents</t>
        </is>
      </c>
    </row>
    <row r="50">
      <c r="A50" s="8" t="inlineStr">
        <is>
          <t>Week 2</t>
        </is>
      </c>
      <c r="B50" s="8" t="inlineStr">
        <is>
          <t>Year 7</t>
        </is>
      </c>
      <c r="C50" s="8" t="inlineStr">
        <is>
          <t>Pencils, HB</t>
        </is>
      </c>
      <c r="D50" s="8" t="inlineStr">
        <is>
          <t>铅笔（HB）</t>
        </is>
      </c>
      <c r="E50" s="9" t="n">
        <v>24</v>
      </c>
      <c r="F50" s="8" t="inlineStr">
        <is>
          <t>pencils</t>
        </is>
      </c>
      <c r="G50" s="8" t="inlineStr">
        <is>
          <t>Stationery and card</t>
        </is>
      </c>
      <c r="H50" s="8" t="inlineStr">
        <is>
          <t>Both plans</t>
        </is>
      </c>
      <c r="I50" s="8" t="inlineStr">
        <is>
          <t>1 per student</t>
        </is>
      </c>
    </row>
    <row r="51">
      <c r="A51" s="8" t="inlineStr">
        <is>
          <t>Week 2</t>
        </is>
      </c>
      <c r="B51" s="8" t="inlineStr">
        <is>
          <t>Year 7</t>
        </is>
      </c>
      <c r="C51" s="8" t="inlineStr">
        <is>
          <t>Permanent marker pens, black</t>
        </is>
      </c>
      <c r="D51" s="8" t="inlineStr">
        <is>
          <t>黑色油性记号笔</t>
        </is>
      </c>
      <c r="E51" s="9" t="n">
        <v>1</v>
      </c>
      <c r="F51" s="8" t="inlineStr">
        <is>
          <t>pens</t>
        </is>
      </c>
      <c r="G51" s="8" t="inlineStr">
        <is>
          <t>Stationery and card</t>
        </is>
      </c>
      <c r="H51" s="8" t="inlineStr">
        <is>
          <t>Both plans</t>
        </is>
      </c>
      <c r="I51" s="8" t="inlineStr">
        <is>
          <t>Label the 12 mystery cups A to L underneath (the card says 'label', pen not named)</t>
        </is>
      </c>
    </row>
    <row r="52">
      <c r="A52" s="8" t="inlineStr">
        <is>
          <t>Week 2</t>
        </is>
      </c>
      <c r="B52" s="8" t="inlineStr">
        <is>
          <t>Year 7</t>
        </is>
      </c>
      <c r="C52" s="8" t="inlineStr">
        <is>
          <t>White card, A4, 160 gsm</t>
        </is>
      </c>
      <c r="D52" s="8" t="inlineStr">
        <is>
          <t>160克白卡纸 A4</t>
        </is>
      </c>
      <c r="E52" s="9" t="n">
        <v>12</v>
      </c>
      <c r="F52" s="8" t="inlineStr">
        <is>
          <t>sheets</t>
        </is>
      </c>
      <c r="G52" s="8" t="inlineStr">
        <is>
          <t>Stationery and card</t>
        </is>
      </c>
      <c r="H52" s="8" t="inlineStr">
        <is>
          <t>Both plans</t>
        </is>
      </c>
      <c r="I52" s="8" t="inlineStr">
        <is>
          <t>Question sort cards: 6 sets of 12 cards + 2 header cards, 10 business-card-size cards per sheet = 2 sheets per set, 'on card if possible'</t>
        </is>
      </c>
    </row>
    <row r="53">
      <c r="A53" s="8" t="inlineStr">
        <is>
          <t>Week 2</t>
        </is>
      </c>
      <c r="B53" s="8" t="inlineStr">
        <is>
          <t>Year 7</t>
        </is>
      </c>
      <c r="C53" s="8" t="inlineStr">
        <is>
          <t>Dry rice, uncooked</t>
        </is>
      </c>
      <c r="D53" s="8" t="inlineStr">
        <is>
          <t>生大米</t>
        </is>
      </c>
      <c r="E53" s="9" t="n">
        <v>1</v>
      </c>
      <c r="F53" s="8" t="inlineStr">
        <is>
          <t>teaspoon</t>
        </is>
      </c>
      <c r="G53" s="8" t="inlineStr">
        <is>
          <t>Canteen and kitchen</t>
        </is>
      </c>
      <c r="H53" s="8" t="inlineStr">
        <is>
          <t>Both plans</t>
        </is>
      </c>
      <c r="I53" s="8" t="inlineStr">
        <is>
          <t>Mystery cup E (sealed in the cup, kept for future years)</t>
        </is>
      </c>
    </row>
    <row r="54">
      <c r="A54" s="8" t="inlineStr">
        <is>
          <t>Week 2</t>
        </is>
      </c>
      <c r="B54" s="8" t="inlineStr">
        <is>
          <t>Year 7</t>
        </is>
      </c>
      <c r="C54" s="8" t="inlineStr">
        <is>
          <t>Bottle cap</t>
        </is>
      </c>
      <c r="D54" s="8" t="inlineStr">
        <is>
          <t>瓶盖</t>
        </is>
      </c>
      <c r="E54" s="9" t="n">
        <v>1</v>
      </c>
      <c r="F54" s="8" t="inlineStr">
        <is>
          <t>caps</t>
        </is>
      </c>
      <c r="G54" s="8" t="inlineStr">
        <is>
          <t>Collect or borrow</t>
        </is>
      </c>
      <c r="H54" s="8" t="inlineStr">
        <is>
          <t>Both plans</t>
        </is>
      </c>
      <c r="I54" s="8" t="inlineStr">
        <is>
          <t>Mystery cup I</t>
        </is>
      </c>
    </row>
    <row r="55">
      <c r="A55" s="8" t="inlineStr">
        <is>
          <t>Week 2</t>
        </is>
      </c>
      <c r="B55" s="8" t="inlineStr">
        <is>
          <t>Year 7</t>
        </is>
      </c>
      <c r="C55" s="8" t="inlineStr">
        <is>
          <t>Coin</t>
        </is>
      </c>
      <c r="D55" s="8" t="inlineStr">
        <is>
          <t>硬币</t>
        </is>
      </c>
      <c r="E55" s="9" t="n">
        <v>1</v>
      </c>
      <c r="F55" s="8" t="inlineStr">
        <is>
          <t>coins</t>
        </is>
      </c>
      <c r="G55" s="8" t="inlineStr">
        <is>
          <t>Collect or borrow</t>
        </is>
      </c>
      <c r="H55" s="8" t="inlineStr">
        <is>
          <t>Both plans</t>
        </is>
      </c>
      <c r="I55" s="8" t="inlineStr">
        <is>
          <t>Mystery cup C</t>
        </is>
      </c>
    </row>
    <row r="56">
      <c r="A56" s="8" t="inlineStr">
        <is>
          <t>Week 2</t>
        </is>
      </c>
      <c r="B56" s="8" t="inlineStr">
        <is>
          <t>Year 7</t>
        </is>
      </c>
      <c r="C56" s="8" t="inlineStr">
        <is>
          <t>Dice</t>
        </is>
      </c>
      <c r="D56" s="8" t="inlineStr">
        <is>
          <t>骰子</t>
        </is>
      </c>
      <c r="E56" s="9" t="n">
        <v>1</v>
      </c>
      <c r="F56" s="8" t="inlineStr">
        <is>
          <t>dice</t>
        </is>
      </c>
      <c r="G56" s="8" t="inlineStr">
        <is>
          <t>Collect or borrow</t>
        </is>
      </c>
      <c r="H56" s="8" t="inlineStr">
        <is>
          <t>Both plans</t>
        </is>
      </c>
      <c r="I56" s="8" t="inlineStr">
        <is>
          <t>Mystery cup G</t>
        </is>
      </c>
    </row>
    <row r="57">
      <c r="A57" s="8" t="inlineStr">
        <is>
          <t>Week 2</t>
        </is>
      </c>
      <c r="B57" s="8" t="inlineStr">
        <is>
          <t>Year 7</t>
        </is>
      </c>
      <c r="C57" s="8" t="inlineStr">
        <is>
          <t>Eraser</t>
        </is>
      </c>
      <c r="D57" s="8" t="inlineStr">
        <is>
          <t>橡皮</t>
        </is>
      </c>
      <c r="E57" s="9" t="n">
        <v>1</v>
      </c>
      <c r="F57" s="8" t="inlineStr">
        <is>
          <t>erasers</t>
        </is>
      </c>
      <c r="G57" s="8" t="inlineStr">
        <is>
          <t>Collect or borrow</t>
        </is>
      </c>
      <c r="H57" s="8" t="inlineStr">
        <is>
          <t>Both plans</t>
        </is>
      </c>
      <c r="I57" s="8" t="inlineStr">
        <is>
          <t>Mystery cup F</t>
        </is>
      </c>
    </row>
    <row r="58">
      <c r="A58" s="8" t="inlineStr">
        <is>
          <t>Week 2</t>
        </is>
      </c>
      <c r="B58" s="8" t="inlineStr">
        <is>
          <t>Year 7</t>
        </is>
      </c>
      <c r="C58" s="8" t="inlineStr">
        <is>
          <t>Hardback books, flat cover, about A4</t>
        </is>
      </c>
      <c r="D58" s="8" t="inlineStr">
        <is>
          <t>精装书（硬封面，约A4）</t>
        </is>
      </c>
      <c r="E58" s="9" t="n">
        <v>1</v>
      </c>
      <c r="F58" s="8" t="inlineStr">
        <is>
          <t>books</t>
        </is>
      </c>
      <c r="G58" s="8" t="inlineStr">
        <is>
          <t>Collect or borrow</t>
        </is>
      </c>
      <c r="H58" s="8" t="inlineStr">
        <is>
          <t>Both plans</t>
        </is>
      </c>
      <c r="I58" s="8" t="inlineStr">
        <is>
          <t>Teacher drop demo; practise the paper-on-top drop first</t>
        </is>
      </c>
    </row>
    <row r="59">
      <c r="A59" s="8" t="inlineStr">
        <is>
          <t>Week 2</t>
        </is>
      </c>
      <c r="B59" s="8" t="inlineStr">
        <is>
          <t>Year 7</t>
        </is>
      </c>
      <c r="C59" s="8" t="inlineStr">
        <is>
          <t>Marbles</t>
        </is>
      </c>
      <c r="D59" s="8" t="inlineStr">
        <is>
          <t>玻璃弹珠</t>
        </is>
      </c>
      <c r="E59" s="9" t="n">
        <v>3</v>
      </c>
      <c r="F59" s="8" t="inlineStr">
        <is>
          <t>marbles</t>
        </is>
      </c>
      <c r="G59" s="8" t="inlineStr">
        <is>
          <t>Collect or borrow</t>
        </is>
      </c>
      <c r="H59" s="8" t="inlineStr">
        <is>
          <t>Both plans</t>
        </is>
      </c>
      <c r="I59" s="8" t="inlineStr">
        <is>
          <t>Mystery cup A (1) and K (2)</t>
        </is>
      </c>
    </row>
    <row r="60">
      <c r="A60" s="8" t="inlineStr">
        <is>
          <t>Week 2</t>
        </is>
      </c>
      <c r="B60" s="8" t="inlineStr">
        <is>
          <t>Year 7</t>
        </is>
      </c>
      <c r="C60" s="8" t="inlineStr">
        <is>
          <t>Small bell (mystery cup object)</t>
        </is>
      </c>
      <c r="D60" s="8" t="inlineStr">
        <is>
          <t>小铃铛</t>
        </is>
      </c>
      <c r="E60" s="9" t="n">
        <v>1</v>
      </c>
      <c r="F60" s="8" t="inlineStr">
        <is>
          <t>bells</t>
        </is>
      </c>
      <c r="G60" s="8" t="inlineStr">
        <is>
          <t>Collect or borrow</t>
        </is>
      </c>
      <c r="H60" s="8" t="inlineStr">
        <is>
          <t>Both plans</t>
        </is>
      </c>
      <c r="I60" s="8" t="inlineStr">
        <is>
          <t>Mystery cup H</t>
        </is>
      </c>
    </row>
    <row r="61">
      <c r="A61" s="8" t="inlineStr">
        <is>
          <t>Week 2</t>
        </is>
      </c>
      <c r="B61" s="8" t="inlineStr">
        <is>
          <t>Year 7</t>
        </is>
      </c>
      <c r="C61" s="8" t="inlineStr">
        <is>
          <t>Small wooden block (mystery cup object)</t>
        </is>
      </c>
      <c r="D61" s="8" t="inlineStr">
        <is>
          <t>小木块</t>
        </is>
      </c>
      <c r="E61" s="9" t="n">
        <v>1</v>
      </c>
      <c r="F61" s="8" t="inlineStr">
        <is>
          <t>blocks</t>
        </is>
      </c>
      <c r="G61" s="8" t="inlineStr">
        <is>
          <t>Collect or borrow</t>
        </is>
      </c>
      <c r="H61" s="8" t="inlineStr">
        <is>
          <t>Both plans</t>
        </is>
      </c>
      <c r="I61" s="8" t="inlineStr">
        <is>
          <t>Mystery cup J</t>
        </is>
      </c>
    </row>
    <row r="62">
      <c r="A62" s="8" t="inlineStr">
        <is>
          <t>Week 2</t>
        </is>
      </c>
      <c r="B62" s="8" t="inlineStr">
        <is>
          <t>Year 7</t>
        </is>
      </c>
      <c r="C62" s="8" t="inlineStr">
        <is>
          <t>Mystery cups (12, labelled A to L)</t>
        </is>
      </c>
      <c r="D62" s="8" t="inlineStr">
        <is>
          <t>神秘杯子（12个，A至L）</t>
        </is>
      </c>
      <c r="E62" s="9" t="n">
        <v>12</v>
      </c>
      <c r="F62" s="8" t="inlineStr">
        <is>
          <t>cups</t>
        </is>
      </c>
      <c r="G62" s="8" t="inlineStr">
        <is>
          <t>Teacher made</t>
        </is>
      </c>
      <c r="H62" s="8" t="inlineStr">
        <is>
          <t>Both plans</t>
        </is>
      </c>
      <c r="I62" s="8" t="inlineStr">
        <is>
          <t>2 per group, different contents for neighbouring groups. Made in Week 1 (15 min) from paper cups, masking tape, marbles, cotton ball, coin, paper clip, rice, eraser, dice, bell, bottle cap, wooden block (L empty)</t>
        </is>
      </c>
    </row>
    <row r="63">
      <c r="A63" s="8" t="inlineStr">
        <is>
          <t>Week 2</t>
        </is>
      </c>
      <c r="B63" s="8" t="inlineStr">
        <is>
          <t>Year 7</t>
        </is>
      </c>
      <c r="C63" s="8" t="inlineStr">
        <is>
          <t>Scientist's Logbook, A5 booklet (Year 7)</t>
        </is>
      </c>
      <c r="D63" s="8" t="inlineStr">
        <is>
          <t>科学日志（A5小册子，七年级）</t>
        </is>
      </c>
      <c r="E63" s="9" t="n">
        <v>24</v>
      </c>
      <c r="F63" s="8" t="inlineStr">
        <is>
          <t>booklets</t>
        </is>
      </c>
      <c r="G63" s="8" t="inlineStr">
        <is>
          <t>Print job (reprographics)</t>
        </is>
      </c>
      <c r="H63" s="8" t="inlineStr">
        <is>
          <t>Both plans</t>
        </is>
      </c>
      <c r="I63" s="8" t="inlineStr">
        <is>
          <t>Same booklets</t>
        </is>
      </c>
    </row>
    <row r="64">
      <c r="A64" s="8" t="inlineStr">
        <is>
          <t>Week 2</t>
        </is>
      </c>
      <c r="B64" s="8" t="inlineStr">
        <is>
          <t>Year 8</t>
        </is>
      </c>
      <c r="C64" s="8" t="inlineStr">
        <is>
          <t>Clear sticky tape</t>
        </is>
      </c>
      <c r="D64" s="8" t="inlineStr">
        <is>
          <t>透明胶带</t>
        </is>
      </c>
      <c r="E64" s="9" t="n">
        <v>6</v>
      </c>
      <c r="F64" s="8" t="inlineStr">
        <is>
          <t>rolls</t>
        </is>
      </c>
      <c r="G64" s="8" t="inlineStr">
        <is>
          <t>Stationery and card</t>
        </is>
      </c>
      <c r="H64" s="8" t="inlineStr">
        <is>
          <t>Both plans</t>
        </is>
      </c>
      <c r="I64" s="8" t="inlineStr">
        <is>
          <t>1 roll per group for lifting fingerprints; optional: tape a printed scene print to a real glass for display</t>
        </is>
      </c>
    </row>
    <row r="65">
      <c r="A65" s="8" t="inlineStr">
        <is>
          <t>Week 2</t>
        </is>
      </c>
      <c r="B65" s="8" t="inlineStr">
        <is>
          <t>Year 8</t>
        </is>
      </c>
      <c r="C65" s="8" t="inlineStr">
        <is>
          <t>Soft pencils, 2B to 4B</t>
        </is>
      </c>
      <c r="D65" s="8" t="inlineStr">
        <is>
          <t>2B至4B铅笔（软芯）</t>
        </is>
      </c>
      <c r="E65" s="9" t="n">
        <v>24</v>
      </c>
      <c r="F65" s="8" t="inlineStr">
        <is>
          <t>pencils</t>
        </is>
      </c>
      <c r="G65" s="8" t="inlineStr">
        <is>
          <t>Stationery and card</t>
        </is>
      </c>
      <c r="H65" s="8" t="inlineStr">
        <is>
          <t>Both plans</t>
        </is>
      </c>
      <c r="I65" s="8" t="inlineStr">
        <is>
          <t>4 per group, for shading graphite patches to take fingerprints</t>
        </is>
      </c>
    </row>
    <row r="66">
      <c r="A66" s="8" t="inlineStr">
        <is>
          <t>Week 2</t>
        </is>
      </c>
      <c r="B66" s="8" t="inlineStr">
        <is>
          <t>Year 8</t>
        </is>
      </c>
      <c r="C66" s="8" t="inlineStr">
        <is>
          <t>White card, A4, 160 gsm</t>
        </is>
      </c>
      <c r="D66" s="8" t="inlineStr">
        <is>
          <t>160克白卡纸 A4</t>
        </is>
      </c>
      <c r="E66" s="9" t="n">
        <v>12</v>
      </c>
      <c r="F66" s="8" t="inlineStr">
        <is>
          <t>A4 sheets</t>
        </is>
      </c>
      <c r="G66" s="8" t="inlineStr">
        <is>
          <t>Stationery and card</t>
        </is>
      </c>
      <c r="H66" s="8" t="inlineStr">
        <is>
          <t>Both plans</t>
        </is>
      </c>
      <c r="I66" s="8" t="inlineStr">
        <is>
          <t>Fingerprint record cards, half-A4, 1 per student, must be printed on white card (24 cards = 12 sheets)</t>
        </is>
      </c>
    </row>
    <row r="67">
      <c r="A67" s="8" t="inlineStr">
        <is>
          <t>Week 2</t>
        </is>
      </c>
      <c r="B67" s="8" t="inlineStr">
        <is>
          <t>Year 8</t>
        </is>
      </c>
      <c r="C67" s="8" t="inlineStr">
        <is>
          <t>Cloths for wiping tables</t>
        </is>
      </c>
      <c r="D67" s="8" t="inlineStr">
        <is>
          <t>抹布</t>
        </is>
      </c>
      <c r="E67" s="9" t="n">
        <v>6</v>
      </c>
      <c r="F67" s="8" t="inlineStr">
        <is>
          <t>cloths</t>
        </is>
      </c>
      <c r="G67" s="8" t="inlineStr">
        <is>
          <t>Prep room equipment</t>
        </is>
      </c>
      <c r="H67" s="8" t="inlineStr">
        <is>
          <t>Both plans</t>
        </is>
      </c>
      <c r="I67" s="8" t="inlineStr">
        <is>
          <t>Wipe tables after fingerprinting (1 per group assumed)</t>
        </is>
      </c>
    </row>
    <row r="68">
      <c r="A68" s="8" t="inlineStr">
        <is>
          <t>Week 2</t>
        </is>
      </c>
      <c r="B68" s="8" t="inlineStr">
        <is>
          <t>Year 8</t>
        </is>
      </c>
      <c r="C68" s="8" t="inlineStr">
        <is>
          <t>Magnifying glasses, hand-held</t>
        </is>
      </c>
      <c r="D68" s="8" t="inlineStr">
        <is>
          <t>放大镜（手持）</t>
        </is>
      </c>
      <c r="E68" s="9" t="n">
        <v>12</v>
      </c>
      <c r="F68" s="8" t="inlineStr">
        <is>
          <t>magnifiers</t>
        </is>
      </c>
      <c r="G68" s="8" t="inlineStr">
        <is>
          <t>Prep room equipment</t>
        </is>
      </c>
      <c r="H68" s="8" t="inlineStr">
        <is>
          <t>Both plans</t>
        </is>
      </c>
      <c r="I68" s="8" t="inlineStr">
        <is>
          <t>2 per group (also handed out in the Hook to look at fingertips)</t>
        </is>
      </c>
    </row>
    <row r="69">
      <c r="A69" s="8" t="inlineStr">
        <is>
          <t>Week 2</t>
        </is>
      </c>
      <c r="B69" s="8" t="inlineStr">
        <is>
          <t>Year 8</t>
        </is>
      </c>
      <c r="C69" s="8" t="inlineStr">
        <is>
          <t>Paper towels, the lab's own dispenser roll</t>
        </is>
      </c>
      <c r="D69" s="8" t="inlineStr">
        <is>
          <t>实验室纸巾（水槽抽取式擦手纸）</t>
        </is>
      </c>
      <c r="E69" s="9" t="n">
        <v>18</v>
      </c>
      <c r="F69" s="8" t="inlineStr">
        <is>
          <t>sheets</t>
        </is>
      </c>
      <c r="G69" s="8" t="inlineStr">
        <is>
          <t>Prep room equipment</t>
        </is>
      </c>
      <c r="H69" s="8" t="inlineStr">
        <is>
          <t>Both plans</t>
        </is>
      </c>
      <c r="I69" s="8" t="inlineStr">
        <is>
          <t>'A few' per group (3 assumed); wet wipes are an alternative</t>
        </is>
      </c>
    </row>
    <row r="70">
      <c r="A70" s="8" t="inlineStr">
        <is>
          <t>Week 2</t>
        </is>
      </c>
      <c r="B70" s="8" t="inlineStr">
        <is>
          <t>Year 8</t>
        </is>
      </c>
      <c r="C70" s="8" t="inlineStr">
        <is>
          <t>Trays, flat (kit trays)</t>
        </is>
      </c>
      <c r="D70" s="8" t="inlineStr">
        <is>
          <t>托盘（平底）</t>
        </is>
      </c>
      <c r="E70" s="9" t="n">
        <v>6</v>
      </c>
      <c r="F70" s="8" t="inlineStr">
        <is>
          <t>trays</t>
        </is>
      </c>
      <c r="G70" s="8" t="inlineStr">
        <is>
          <t>Prep room equipment</t>
        </is>
      </c>
      <c r="H70" s="8" t="inlineStr">
        <is>
          <t>Both plans</t>
        </is>
      </c>
      <c r="I70" s="8" t="inlineStr">
        <is>
          <t>1 per group</t>
        </is>
      </c>
    </row>
    <row r="71">
      <c r="A71" s="8" t="inlineStr">
        <is>
          <t>Week 2</t>
        </is>
      </c>
      <c r="B71" s="8" t="inlineStr">
        <is>
          <t>Year 8</t>
        </is>
      </c>
      <c r="C71" s="8" t="inlineStr">
        <is>
          <t>Drinking glass, clear</t>
        </is>
      </c>
      <c r="D71" s="8" t="inlineStr">
        <is>
          <t>玻璃杯（透明）</t>
        </is>
      </c>
      <c r="E71" s="9" t="n">
        <v>1</v>
      </c>
      <c r="F71" s="8" t="inlineStr">
        <is>
          <t>glass</t>
        </is>
      </c>
      <c r="G71" s="8" t="inlineStr">
        <is>
          <t>Canteen and kitchen</t>
        </is>
      </c>
      <c r="H71" s="8" t="inlineStr">
        <is>
          <t>Both plans</t>
        </is>
      </c>
      <c r="I71" s="8" t="inlineStr">
        <is>
          <t>Optional: tape a printed copy of the scene print to a real glass for display (same glass)</t>
        </is>
      </c>
    </row>
    <row r="72">
      <c r="A72" s="8" t="inlineStr">
        <is>
          <t>Week 2</t>
        </is>
      </c>
      <c r="B72" s="8" t="inlineStr">
        <is>
          <t>Year 8</t>
        </is>
      </c>
      <c r="C72" s="8" t="inlineStr">
        <is>
          <t>Scrap paper, A4 (used or spare)</t>
        </is>
      </c>
      <c r="D72" s="8" t="inlineStr">
        <is>
          <t>废纸（A4，旧纸即可）</t>
        </is>
      </c>
      <c r="E72" s="9" t="n">
        <v>24</v>
      </c>
      <c r="F72" s="8" t="inlineStr">
        <is>
          <t>sheets</t>
        </is>
      </c>
      <c r="G72" s="8" t="inlineStr">
        <is>
          <t>Collect or borrow</t>
        </is>
      </c>
      <c r="H72" s="8" t="inlineStr">
        <is>
          <t>Both plans</t>
        </is>
      </c>
      <c r="I72" s="8" t="inlineStr">
        <is>
          <t>4 sheets per group</t>
        </is>
      </c>
    </row>
    <row r="73">
      <c r="A73" s="8" t="inlineStr">
        <is>
          <t>Week 2</t>
        </is>
      </c>
      <c r="B73" s="8" t="inlineStr">
        <is>
          <t>Year 9</t>
        </is>
      </c>
      <c r="C73" s="8" t="inlineStr">
        <is>
          <t>Envelopes, C6 (for small card sets)</t>
        </is>
      </c>
      <c r="D73" s="8" t="inlineStr">
        <is>
          <t>C6信封（可装A6及名片大小卡片）</t>
        </is>
      </c>
      <c r="E73" s="9" t="n">
        <v>6</v>
      </c>
      <c r="F73" s="8" t="inlineStr">
        <is>
          <t>envelopes</t>
        </is>
      </c>
      <c r="G73" s="8" t="inlineStr">
        <is>
          <t>Stationery and card</t>
        </is>
      </c>
      <c r="H73" s="8" t="inlineStr">
        <is>
          <t>Both plans</t>
        </is>
      </c>
      <c r="I73" s="8" t="inlineStr">
        <is>
          <t>One per group for the anchoring slips, labelled with the group number</t>
        </is>
      </c>
    </row>
    <row r="74">
      <c r="A74" s="8" t="inlineStr">
        <is>
          <t>Week 2</t>
        </is>
      </c>
      <c r="B74" s="8" t="inlineStr">
        <is>
          <t>Year 9</t>
        </is>
      </c>
      <c r="C74" s="8" t="inlineStr">
        <is>
          <t>Whiteboard marker (board pen)</t>
        </is>
      </c>
      <c r="D74" s="8" t="inlineStr">
        <is>
          <t>白板笔（教师用）</t>
        </is>
      </c>
      <c r="E74" s="9" t="n">
        <v>1</v>
      </c>
      <c r="F74" s="8" t="inlineStr">
        <is>
          <t>pen</t>
        </is>
      </c>
      <c r="G74" s="8" t="inlineStr">
        <is>
          <t>Stationery and card</t>
        </is>
      </c>
      <c r="H74" s="8" t="inlineStr">
        <is>
          <t>Both plans</t>
        </is>
      </c>
      <c r="I74" s="8" t="inlineStr">
        <is>
          <t>For the YES and NO columns in the 2-4-6 game</t>
        </is>
      </c>
    </row>
    <row r="75">
      <c r="A75" s="8" t="inlineStr">
        <is>
          <t>Week 2</t>
        </is>
      </c>
      <c r="B75" s="8" t="inlineStr">
        <is>
          <t>Year 9</t>
        </is>
      </c>
      <c r="C75" s="8" t="inlineStr">
        <is>
          <t>Calculator, basic</t>
        </is>
      </c>
      <c r="D75" s="8" t="inlineStr">
        <is>
          <t>计算器（简易型）</t>
        </is>
      </c>
      <c r="E75" s="9" t="n">
        <v>1</v>
      </c>
      <c r="F75" s="8" t="inlineStr">
        <is>
          <t>calculator</t>
        </is>
      </c>
      <c r="G75" s="8" t="inlineStr">
        <is>
          <t>Prep room equipment</t>
        </is>
      </c>
      <c r="H75" s="8" t="inlineStr">
        <is>
          <t>Both plans</t>
        </is>
      </c>
      <c r="I75" s="8" t="inlineStr">
        <is>
          <t>Teacher's, passed to the two student analysts who use the tally sheet</t>
        </is>
      </c>
    </row>
    <row r="76">
      <c r="A76" s="8" t="inlineStr">
        <is>
          <t>Week 2</t>
        </is>
      </c>
      <c r="B76" s="8" t="inlineStr">
        <is>
          <t>Year 9</t>
        </is>
      </c>
      <c r="C76" s="8" t="inlineStr">
        <is>
          <t>Ruler, 30 cm</t>
        </is>
      </c>
      <c r="D76" s="8" t="inlineStr">
        <is>
          <t>直尺 30厘米</t>
        </is>
      </c>
      <c r="E76" s="9" t="n">
        <v>24</v>
      </c>
      <c r="F76" s="8" t="inlineStr">
        <is>
          <t>rulers</t>
        </is>
      </c>
      <c r="G76" s="8" t="inlineStr">
        <is>
          <t>Prep room equipment</t>
        </is>
      </c>
      <c r="H76" s="8" t="inlineStr">
        <is>
          <t>Both plans</t>
        </is>
      </c>
      <c r="I76" s="8" t="inlineStr">
        <is>
          <t>One per student, for measuring the illusions</t>
        </is>
      </c>
    </row>
    <row r="77">
      <c r="A77" s="8" t="inlineStr">
        <is>
          <t>Week 3</t>
        </is>
      </c>
      <c r="B77" s="8" t="inlineStr">
        <is>
          <t>Year 7</t>
        </is>
      </c>
      <c r="C77" s="8" t="inlineStr">
        <is>
          <t>Envelopes, C5 (for A5)</t>
        </is>
      </c>
      <c r="D77" s="8" t="inlineStr">
        <is>
          <t>C5信封（可放A5纸）</t>
        </is>
      </c>
      <c r="E77" s="9" t="n">
        <v>6</v>
      </c>
      <c r="F77" s="8" t="inlineStr">
        <is>
          <t>envelopes</t>
        </is>
      </c>
      <c r="G77" s="8" t="inlineStr">
        <is>
          <t>Stationery and card</t>
        </is>
      </c>
      <c r="H77" s="8" t="inlineStr">
        <is>
          <t>Both plans</t>
        </is>
      </c>
      <c r="I77" s="8" t="inlineStr">
        <is>
          <t>1 per group for spinner storage</t>
        </is>
      </c>
    </row>
    <row r="78">
      <c r="A78" s="8" t="inlineStr">
        <is>
          <t>Week 3</t>
        </is>
      </c>
      <c r="B78" s="8" t="inlineStr">
        <is>
          <t>Year 7</t>
        </is>
      </c>
      <c r="C78" s="8" t="inlineStr">
        <is>
          <t>Masking tape</t>
        </is>
      </c>
      <c r="D78" s="8" t="inlineStr">
        <is>
          <t>美纹纸胶带</t>
        </is>
      </c>
      <c r="E78" s="9" t="n">
        <v>1</v>
      </c>
      <c r="F78" s="8" t="inlineStr">
        <is>
          <t>rolls</t>
        </is>
      </c>
      <c r="G78" s="8" t="inlineStr">
        <is>
          <t>Stationery and card</t>
        </is>
      </c>
      <c r="H78" s="8" t="inlineStr">
        <is>
          <t>Both plans</t>
        </is>
      </c>
      <c r="I78" s="8" t="inlineStr">
        <is>
          <t>Wall marks: 6 strips at exactly 2.0 m plus 6 at 1.8 m (one pair per group station)</t>
        </is>
      </c>
    </row>
    <row r="79">
      <c r="A79" s="8" t="inlineStr">
        <is>
          <t>Week 3</t>
        </is>
      </c>
      <c r="B79" s="8" t="inlineStr">
        <is>
          <t>Year 7</t>
        </is>
      </c>
      <c r="C79" s="8" t="inlineStr">
        <is>
          <t>Paper clips, standard 28 mm</t>
        </is>
      </c>
      <c r="D79" s="8" t="inlineStr">
        <is>
          <t>回形针（标准28毫米）</t>
        </is>
      </c>
      <c r="E79" s="9" t="n">
        <v>26</v>
      </c>
      <c r="F79" s="8" t="inlineStr">
        <is>
          <t>clips</t>
        </is>
      </c>
      <c r="G79" s="8" t="inlineStr">
        <is>
          <t>Stationery and card</t>
        </is>
      </c>
      <c r="H79" s="8" t="inlineStr">
        <is>
          <t>Both plans</t>
        </is>
      </c>
      <c r="I79" s="8" t="inlineStr">
        <is>
          <t>4 per group (3 + 1 spare) = 24, + 2 for the teacher demo S and L spinners</t>
        </is>
      </c>
    </row>
    <row r="80">
      <c r="A80" s="8" t="inlineStr">
        <is>
          <t>Week 3</t>
        </is>
      </c>
      <c r="B80" s="8" t="inlineStr">
        <is>
          <t>Year 7</t>
        </is>
      </c>
      <c r="C80" s="8" t="inlineStr">
        <is>
          <t>White card, A4, 160 gsm</t>
        </is>
      </c>
      <c r="D80" s="8" t="inlineStr">
        <is>
          <t>160克白卡纸 A4</t>
        </is>
      </c>
      <c r="E80" s="9" t="n">
        <v>9</v>
      </c>
      <c r="F80" s="8" t="inlineStr">
        <is>
          <t>sheets</t>
        </is>
      </c>
      <c r="G80" s="8" t="inlineStr">
        <is>
          <t>Stationery and card</t>
        </is>
      </c>
      <c r="H80" s="8" t="inlineStr">
        <is>
          <t>Both plans</t>
        </is>
      </c>
      <c r="I80" s="8" t="inlineStr">
        <is>
          <t>Spinner templates on 160 gsm card, printed at 100%: 1 per group + 3 spares (the demo S and L spinners come from a spare)</t>
        </is>
      </c>
    </row>
    <row r="81">
      <c r="A81" s="8" t="inlineStr">
        <is>
          <t>Week 3</t>
        </is>
      </c>
      <c r="B81" s="8" t="inlineStr">
        <is>
          <t>Year 7</t>
        </is>
      </c>
      <c r="C81" s="8" t="inlineStr">
        <is>
          <t>Metre stick</t>
        </is>
      </c>
      <c r="D81" s="8" t="inlineStr">
        <is>
          <t>米尺（1米）</t>
        </is>
      </c>
      <c r="E81" s="9" t="n">
        <v>6</v>
      </c>
      <c r="F81" s="8" t="inlineStr">
        <is>
          <t>metre sticks</t>
        </is>
      </c>
      <c r="G81" s="8" t="inlineStr">
        <is>
          <t>Prep room equipment</t>
        </is>
      </c>
      <c r="H81" s="8" t="inlineStr">
        <is>
          <t>Both plans</t>
        </is>
      </c>
      <c r="I81" s="8" t="inlineStr">
        <is>
          <t>1 per group to check the 2 m mark; teacher uses one to mark the walls</t>
        </is>
      </c>
    </row>
    <row r="82">
      <c r="A82" s="8" t="inlineStr">
        <is>
          <t>Week 3</t>
        </is>
      </c>
      <c r="B82" s="8" t="inlineStr">
        <is>
          <t>Year 7</t>
        </is>
      </c>
      <c r="C82" s="8" t="inlineStr">
        <is>
          <t>Scissors</t>
        </is>
      </c>
      <c r="D82" s="8" t="inlineStr">
        <is>
          <t>剪刀</t>
        </is>
      </c>
      <c r="E82" s="9" t="n">
        <v>12</v>
      </c>
      <c r="F82" s="8" t="inlineStr">
        <is>
          <t>pairs</t>
        </is>
      </c>
      <c r="G82" s="8" t="inlineStr">
        <is>
          <t>Prep room equipment</t>
        </is>
      </c>
      <c r="H82" s="8" t="inlineStr">
        <is>
          <t>Both plans</t>
        </is>
      </c>
      <c r="I82" s="8" t="inlineStr">
        <is>
          <t>2 per group</t>
        </is>
      </c>
    </row>
    <row r="83">
      <c r="A83" s="8" t="inlineStr">
        <is>
          <t>Week 3</t>
        </is>
      </c>
      <c r="B83" s="8" t="inlineStr">
        <is>
          <t>Year 7</t>
        </is>
      </c>
      <c r="C83" s="8" t="inlineStr">
        <is>
          <t>Stopwatch</t>
        </is>
      </c>
      <c r="D83" s="8" t="inlineStr">
        <is>
          <t>秒表</t>
        </is>
      </c>
      <c r="E83" s="9" t="n">
        <v>6</v>
      </c>
      <c r="F83" s="8" t="inlineStr">
        <is>
          <t>stopwatches</t>
        </is>
      </c>
      <c r="G83" s="8" t="inlineStr">
        <is>
          <t>Prep room equipment</t>
        </is>
      </c>
      <c r="H83" s="8" t="inlineStr">
        <is>
          <t>Both plans</t>
        </is>
      </c>
      <c r="I83" s="8" t="inlineStr">
        <is>
          <t>1 per group</t>
        </is>
      </c>
    </row>
    <row r="84">
      <c r="A84" s="8" t="inlineStr">
        <is>
          <t>Week 3</t>
        </is>
      </c>
      <c r="B84" s="8" t="inlineStr">
        <is>
          <t>Year 7</t>
        </is>
      </c>
      <c r="C84" s="8" t="inlineStr">
        <is>
          <t>Trays, flat (kit trays)</t>
        </is>
      </c>
      <c r="D84" s="8" t="inlineStr">
        <is>
          <t>托盘（平底）</t>
        </is>
      </c>
      <c r="E84" s="9" t="n">
        <v>1</v>
      </c>
      <c r="F84" s="8" t="inlineStr">
        <is>
          <t>trays</t>
        </is>
      </c>
      <c r="G84" s="8" t="inlineStr">
        <is>
          <t>Prep room equipment</t>
        </is>
      </c>
      <c r="H84" s="8" t="inlineStr">
        <is>
          <t>Both plans</t>
        </is>
      </c>
      <c r="I84" s="8" t="inlineStr">
        <is>
          <t>Tray that scissors and stopwatches are counted back into</t>
        </is>
      </c>
    </row>
    <row r="85">
      <c r="A85" s="8" t="inlineStr">
        <is>
          <t>Week 3</t>
        </is>
      </c>
      <c r="B85" s="8" t="inlineStr">
        <is>
          <t>Year 7</t>
        </is>
      </c>
      <c r="C85" s="8" t="inlineStr">
        <is>
          <t>Demo paper spinners (S and L)</t>
        </is>
      </c>
      <c r="D85" s="8" t="inlineStr">
        <is>
          <t>演示用纸直升机（S号和L号）</t>
        </is>
      </c>
      <c r="E85" s="9" t="n">
        <v>2</v>
      </c>
      <c r="F85" s="8" t="inlineStr">
        <is>
          <t>spinners</t>
        </is>
      </c>
      <c r="G85" s="8" t="inlineStr">
        <is>
          <t>Teacher made</t>
        </is>
      </c>
      <c r="H85" s="8" t="inlineStr">
        <is>
          <t>Both plans</t>
        </is>
      </c>
      <c r="I85" s="8" t="inlineStr">
        <is>
          <t>S and L for the Hook demo, tested once</t>
        </is>
      </c>
    </row>
    <row r="86">
      <c r="A86" s="8" t="inlineStr">
        <is>
          <t>Week 3</t>
        </is>
      </c>
      <c r="B86" s="8" t="inlineStr">
        <is>
          <t>Year 7</t>
        </is>
      </c>
      <c r="C86" s="8" t="inlineStr">
        <is>
          <t>Wall drop marks (2.0 m and 1.8 m)</t>
        </is>
      </c>
      <c r="D86" s="8" t="inlineStr">
        <is>
          <t>墙面下落标记（2.0米和1.8米）</t>
        </is>
      </c>
      <c r="E86" s="9" t="n">
        <v>6</v>
      </c>
      <c r="F86" s="8" t="inlineStr">
        <is>
          <t>stations</t>
        </is>
      </c>
      <c r="G86" s="8" t="inlineStr">
        <is>
          <t>Teacher made</t>
        </is>
      </c>
      <c r="H86" s="8" t="inlineStr">
        <is>
          <t>Both plans</t>
        </is>
      </c>
      <c r="I86" s="8" t="inlineStr">
        <is>
          <t>Measured with a metre stick (10 min)</t>
        </is>
      </c>
    </row>
    <row r="87">
      <c r="A87" s="8" t="inlineStr">
        <is>
          <t>Week 3</t>
        </is>
      </c>
      <c r="B87" s="8" t="inlineStr">
        <is>
          <t>Year 8</t>
        </is>
      </c>
      <c r="C87" s="8" t="inlineStr">
        <is>
          <t>White coffee filters (for chromatography strips)</t>
        </is>
      </c>
      <c r="D87" s="8" t="inlineStr">
        <is>
          <t>白色咖啡滤纸（用于色谱滤纸条）</t>
        </is>
      </c>
      <c r="E87" s="9" t="n">
        <v>44</v>
      </c>
      <c r="F87" s="8" t="inlineStr">
        <is>
          <t>strips (2 cm x 10 cm)</t>
        </is>
      </c>
      <c r="G87" s="8" t="inlineStr">
        <is>
          <t>Buy: used up</t>
        </is>
      </c>
      <c r="H87" s="8" t="inlineStr">
        <is>
          <t>Both plans</t>
        </is>
      </c>
      <c r="I87" s="8" t="inlineStr">
        <is>
          <t>36 for groups (4 per group plus 2 spare per group) and 8 for the note ink strips N (1 per group plus 2 spare)</t>
        </is>
      </c>
    </row>
    <row r="88">
      <c r="A88" s="8" t="inlineStr">
        <is>
          <t>Week 3</t>
        </is>
      </c>
      <c r="B88" s="8" t="inlineStr">
        <is>
          <t>Year 8</t>
        </is>
      </c>
      <c r="C88" s="8" t="inlineStr">
        <is>
          <t>Black washable felt-tip pens, four different brands</t>
        </is>
      </c>
      <c r="D88" s="8" t="inlineStr">
        <is>
          <t>黑色可水洗水彩笔（水性墨水，4个不同品牌）</t>
        </is>
      </c>
      <c r="E88" s="9" t="n">
        <v>24</v>
      </c>
      <c r="F88" s="8" t="inlineStr">
        <is>
          <t>pens</t>
        </is>
      </c>
      <c r="G88" s="8" t="inlineStr">
        <is>
          <t>Buy: reusable</t>
        </is>
      </c>
      <c r="H88" s="8" t="inlineStr">
        <is>
          <t>Both plans</t>
        </is>
      </c>
      <c r="I88" s="8" t="inlineStr">
        <is>
          <t>1 set of A to D per group (6 sets). If only one set is bought, the teacher pre-dots strips A to D for every group (adds 10 minutes)</t>
        </is>
      </c>
    </row>
    <row r="89">
      <c r="A89" s="8" t="inlineStr">
        <is>
          <t>Week 3</t>
        </is>
      </c>
      <c r="B89" s="8" t="inlineStr">
        <is>
          <t>Year 8</t>
        </is>
      </c>
      <c r="C89" s="8" t="inlineStr">
        <is>
          <t>Clear sticky tape</t>
        </is>
      </c>
      <c r="D89" s="8" t="inlineStr">
        <is>
          <t>透明胶带</t>
        </is>
      </c>
      <c r="E89" s="9" t="n">
        <v>6</v>
      </c>
      <c r="F89" s="8" t="inlineStr">
        <is>
          <t>rolls</t>
        </is>
      </c>
      <c r="G89" s="8" t="inlineStr">
        <is>
          <t>Stationery and card</t>
        </is>
      </c>
      <c r="H89" s="8" t="inlineStr">
        <is>
          <t>Both plans</t>
        </is>
      </c>
      <c r="I89" s="8" t="inlineStr">
        <is>
          <t>A few pieces per group to fix strips to pencils (or use paper clips); reuse the Week 2 rolls</t>
        </is>
      </c>
    </row>
    <row r="90">
      <c r="A90" s="8" t="inlineStr">
        <is>
          <t>Week 3</t>
        </is>
      </c>
      <c r="B90" s="8" t="inlineStr">
        <is>
          <t>Year 8</t>
        </is>
      </c>
      <c r="C90" s="8" t="inlineStr">
        <is>
          <t>Laminating pouches, A5</t>
        </is>
      </c>
      <c r="D90" s="8" t="inlineStr">
        <is>
          <t>塑封膜 A5</t>
        </is>
      </c>
      <c r="E90" s="9" t="n">
        <v>6</v>
      </c>
      <c r="F90" s="8" t="inlineStr">
        <is>
          <t>pouches</t>
        </is>
      </c>
      <c r="G90" s="8" t="inlineStr">
        <is>
          <t>Stationery and card</t>
        </is>
      </c>
      <c r="H90" s="8" t="inlineStr">
        <is>
          <t>Both plans</t>
        </is>
      </c>
      <c r="I90" s="8" t="inlineStr">
        <is>
          <t>Chromatography lab cards, 1 per group</t>
        </is>
      </c>
    </row>
    <row r="91">
      <c r="A91" s="8" t="inlineStr">
        <is>
          <t>Week 3</t>
        </is>
      </c>
      <c r="B91" s="8" t="inlineStr">
        <is>
          <t>Year 8</t>
        </is>
      </c>
      <c r="C91" s="8" t="inlineStr">
        <is>
          <t>Paper clips, standard 28 mm</t>
        </is>
      </c>
      <c r="D91" s="8" t="inlineStr">
        <is>
          <t>回形针（标准28毫米）</t>
        </is>
      </c>
      <c r="E91" s="9" t="n">
        <v>30</v>
      </c>
      <c r="F91" s="8" t="inlineStr">
        <is>
          <t>clips</t>
        </is>
      </c>
      <c r="G91" s="8" t="inlineStr">
        <is>
          <t>Stationery and card</t>
        </is>
      </c>
      <c r="H91" s="8" t="inlineStr">
        <is>
          <t>Both plans</t>
        </is>
      </c>
      <c r="I91" s="8" t="inlineStr">
        <is>
          <t>Kit card says 'Sticky tape or paper clips, a few' per group; 5 per group (one per strip) assumed, needed only if tape is not used</t>
        </is>
      </c>
    </row>
    <row r="92">
      <c r="A92" s="8" t="inlineStr">
        <is>
          <t>Week 3</t>
        </is>
      </c>
      <c r="B92" s="8" t="inlineStr">
        <is>
          <t>Year 8</t>
        </is>
      </c>
      <c r="C92" s="8" t="inlineStr">
        <is>
          <t>Pencils, HB</t>
        </is>
      </c>
      <c r="D92" s="8" t="inlineStr">
        <is>
          <t>铅笔（HB）</t>
        </is>
      </c>
      <c r="E92" s="9" t="n">
        <v>30</v>
      </c>
      <c r="F92" s="8" t="inlineStr">
        <is>
          <t>pencils</t>
        </is>
      </c>
      <c r="G92" s="8" t="inlineStr">
        <is>
          <t>Stationery and card</t>
        </is>
      </c>
      <c r="H92" s="8" t="inlineStr">
        <is>
          <t>Both plans</t>
        </is>
      </c>
      <c r="I92" s="8" t="inlineStr">
        <is>
          <t>5 per group, for baselines and for hanging strips across cups</t>
        </is>
      </c>
    </row>
    <row r="93">
      <c r="A93" s="8" t="inlineStr">
        <is>
          <t>Week 3</t>
        </is>
      </c>
      <c r="B93" s="8" t="inlineStr">
        <is>
          <t>Year 8</t>
        </is>
      </c>
      <c r="C93" s="8" t="inlineStr">
        <is>
          <t>Cloths for wiping tables</t>
        </is>
      </c>
      <c r="D93" s="8" t="inlineStr">
        <is>
          <t>抹布</t>
        </is>
      </c>
      <c r="E93" s="9" t="n">
        <v>6</v>
      </c>
      <c r="F93" s="8" t="inlineStr">
        <is>
          <t>cloths</t>
        </is>
      </c>
      <c r="G93" s="8" t="inlineStr">
        <is>
          <t>Prep room equipment</t>
        </is>
      </c>
      <c r="H93" s="8" t="inlineStr">
        <is>
          <t>Both plans</t>
        </is>
      </c>
      <c r="I93" s="8" t="inlineStr">
        <is>
          <t>Wipe tables</t>
        </is>
      </c>
    </row>
    <row r="94">
      <c r="A94" s="8" t="inlineStr">
        <is>
          <t>Week 3</t>
        </is>
      </c>
      <c r="B94" s="8" t="inlineStr">
        <is>
          <t>Year 8</t>
        </is>
      </c>
      <c r="C94" s="8" t="inlineStr">
        <is>
          <t>Paper towels, the lab's own dispenser roll</t>
        </is>
      </c>
      <c r="D94" s="8" t="inlineStr">
        <is>
          <t>实验室纸巾（水槽抽取式擦手纸）</t>
        </is>
      </c>
      <c r="E94" s="9" t="n">
        <v>12</v>
      </c>
      <c r="F94" s="8" t="inlineStr">
        <is>
          <t>sheets</t>
        </is>
      </c>
      <c r="G94" s="8" t="inlineStr">
        <is>
          <t>Prep room equipment</t>
        </is>
      </c>
      <c r="H94" s="8" t="inlineStr">
        <is>
          <t>Both plans</t>
        </is>
      </c>
      <c r="I94" s="8" t="inlineStr">
        <is>
          <t>2 per group for drying strips</t>
        </is>
      </c>
    </row>
    <row r="95">
      <c r="A95" s="8" t="inlineStr">
        <is>
          <t>Week 3</t>
        </is>
      </c>
      <c r="B95" s="8" t="inlineStr">
        <is>
          <t>Year 8</t>
        </is>
      </c>
      <c r="C95" s="8" t="inlineStr">
        <is>
          <t>Plastic cups, small, clear</t>
        </is>
      </c>
      <c r="D95" s="8" t="inlineStr">
        <is>
          <t>透明小塑料杯</t>
        </is>
      </c>
      <c r="E95" s="9" t="n">
        <v>30</v>
      </c>
      <c r="F95" s="8" t="inlineStr">
        <is>
          <t>cups</t>
        </is>
      </c>
      <c r="G95" s="8" t="inlineStr">
        <is>
          <t>Prep room equipment</t>
        </is>
      </c>
      <c r="H95" s="8" t="inlineStr">
        <is>
          <t>Both plans</t>
        </is>
      </c>
      <c r="I95" s="8" t="inlineStr">
        <is>
          <t>5 per group</t>
        </is>
      </c>
    </row>
    <row r="96">
      <c r="A96" s="8" t="inlineStr">
        <is>
          <t>Week 3</t>
        </is>
      </c>
      <c r="B96" s="8" t="inlineStr">
        <is>
          <t>Year 8</t>
        </is>
      </c>
      <c r="C96" s="8" t="inlineStr">
        <is>
          <t>Ruler, 30 cm</t>
        </is>
      </c>
      <c r="D96" s="8" t="inlineStr">
        <is>
          <t>直尺 30厘米</t>
        </is>
      </c>
      <c r="E96" s="9" t="n">
        <v>6</v>
      </c>
      <c r="F96" s="8" t="inlineStr">
        <is>
          <t>rulers</t>
        </is>
      </c>
      <c r="G96" s="8" t="inlineStr">
        <is>
          <t>Prep room equipment</t>
        </is>
      </c>
      <c r="H96" s="8" t="inlineStr">
        <is>
          <t>Both plans</t>
        </is>
      </c>
      <c r="I96" s="8" t="inlineStr">
        <is>
          <t>1 per group</t>
        </is>
      </c>
    </row>
    <row r="97">
      <c r="A97" s="8" t="inlineStr">
        <is>
          <t>Week 3</t>
        </is>
      </c>
      <c r="B97" s="8" t="inlineStr">
        <is>
          <t>Year 8</t>
        </is>
      </c>
      <c r="C97" s="8" t="inlineStr">
        <is>
          <t>Trays, flat (kit trays)</t>
        </is>
      </c>
      <c r="D97" s="8" t="inlineStr">
        <is>
          <t>托盘（平底）</t>
        </is>
      </c>
      <c r="E97" s="9" t="n">
        <v>6</v>
      </c>
      <c r="F97" s="8" t="inlineStr">
        <is>
          <t>trays</t>
        </is>
      </c>
      <c r="G97" s="8" t="inlineStr">
        <is>
          <t>Prep room equipment</t>
        </is>
      </c>
      <c r="H97" s="8" t="inlineStr">
        <is>
          <t>Both plans</t>
        </is>
      </c>
      <c r="I97" s="8" t="inlineStr">
        <is>
          <t>1 per group (pens counted back in, 4 per tray)</t>
        </is>
      </c>
    </row>
    <row r="98">
      <c r="A98" s="8" t="inlineStr">
        <is>
          <t>Week 3</t>
        </is>
      </c>
      <c r="B98" s="8" t="inlineStr">
        <is>
          <t>Year 8</t>
        </is>
      </c>
      <c r="C98" s="8" t="inlineStr">
        <is>
          <t>Jugs, plastic, about 2 litres</t>
        </is>
      </c>
      <c r="D98" s="8" t="inlineStr">
        <is>
          <t>塑料水壶（约2升）</t>
        </is>
      </c>
      <c r="E98" s="9" t="n">
        <v>6</v>
      </c>
      <c r="F98" s="8" t="inlineStr">
        <is>
          <t>jugs</t>
        </is>
      </c>
      <c r="G98" s="8" t="inlineStr">
        <is>
          <t>Canteen and kitchen</t>
        </is>
      </c>
      <c r="H98" s="8" t="inlineStr">
        <is>
          <t>Both plans</t>
        </is>
      </c>
      <c r="I98" s="8" t="inlineStr">
        <is>
          <t>Small jug of water, 1 per group</t>
        </is>
      </c>
    </row>
    <row r="99">
      <c r="A99" s="8" t="inlineStr">
        <is>
          <t>Week 3</t>
        </is>
      </c>
      <c r="B99" s="8" t="inlineStr">
        <is>
          <t>Year 8</t>
        </is>
      </c>
      <c r="C99" s="8" t="inlineStr">
        <is>
          <t>Note ink strips 'N'</t>
        </is>
      </c>
      <c r="D99" s="8" t="inlineStr">
        <is>
          <t>纸条墨水N滤纸条</t>
        </is>
      </c>
      <c r="E99" s="9" t="n">
        <v>8</v>
      </c>
      <c r="F99" s="8" t="inlineStr">
        <is>
          <t>strips</t>
        </is>
      </c>
      <c r="G99" s="8" t="inlineStr">
        <is>
          <t>Teacher made</t>
        </is>
      </c>
      <c r="H99" s="8" t="inlineStr">
        <is>
          <t>Both plans</t>
        </is>
      </c>
      <c r="I99" s="8" t="inlineStr">
        <is>
          <t>1 per group plus 2 spare (about 10 minutes per class). Ingredients: coffee-filter strips, pen B, pencil</t>
        </is>
      </c>
    </row>
    <row r="100">
      <c r="A100" s="8" t="inlineStr">
        <is>
          <t>Week 3</t>
        </is>
      </c>
      <c r="B100" s="8" t="inlineStr">
        <is>
          <t>Year 9</t>
        </is>
      </c>
      <c r="C100" s="8" t="inlineStr">
        <is>
          <t>Laminating pouches, A5</t>
        </is>
      </c>
      <c r="D100" s="8" t="inlineStr">
        <is>
          <t>塑封膜 A5</t>
        </is>
      </c>
      <c r="E100" s="9" t="n">
        <v>24</v>
      </c>
      <c r="F100" s="8" t="inlineStr">
        <is>
          <t>pouches</t>
        </is>
      </c>
      <c r="G100" s="8" t="inlineStr">
        <is>
          <t>Stationery and card</t>
        </is>
      </c>
      <c r="H100" s="8" t="inlineStr">
        <is>
          <t>Both plans</t>
        </is>
      </c>
      <c r="I100" s="8" t="inlineStr">
        <is>
          <t>12 ruler-drop method cards and 12 conversion tables. They are used again in Week 8 by any claim 12 group</t>
        </is>
      </c>
    </row>
    <row r="101">
      <c r="A101" s="8" t="inlineStr">
        <is>
          <t>Week 3</t>
        </is>
      </c>
      <c r="B101" s="8" t="inlineStr">
        <is>
          <t>Year 9</t>
        </is>
      </c>
      <c r="C101" s="8" t="inlineStr">
        <is>
          <t>White card, A4, 160 gsm</t>
        </is>
      </c>
      <c r="D101" s="8" t="inlineStr">
        <is>
          <t>160克白卡纸 A4</t>
        </is>
      </c>
      <c r="E101" s="9" t="n">
        <v>1</v>
      </c>
      <c r="F101" s="8" t="inlineStr">
        <is>
          <t>sheet</t>
        </is>
      </c>
      <c r="G101" s="8" t="inlineStr">
        <is>
          <t>Stationery and card</t>
        </is>
      </c>
      <c r="H101" s="8" t="inlineStr">
        <is>
          <t>Both plans</t>
        </is>
      </c>
      <c r="I101" s="8" t="inlineStr">
        <is>
          <t>PRIZE strip, about 15 x 3 cm, cut from card (1 plus a spare)</t>
        </is>
      </c>
    </row>
    <row r="102">
      <c r="A102" s="8" t="inlineStr">
        <is>
          <t>Week 3</t>
        </is>
      </c>
      <c r="B102" s="8" t="inlineStr">
        <is>
          <t>Year 9</t>
        </is>
      </c>
      <c r="C102" s="8" t="inlineStr">
        <is>
          <t>Calculator, basic</t>
        </is>
      </c>
      <c r="D102" s="8" t="inlineStr">
        <is>
          <t>计算器（简易型）</t>
        </is>
      </c>
      <c r="E102" s="9" t="n">
        <v>6</v>
      </c>
      <c r="F102" s="8" t="inlineStr">
        <is>
          <t>calculators</t>
        </is>
      </c>
      <c r="G102" s="8" t="inlineStr">
        <is>
          <t>Prep room equipment</t>
        </is>
      </c>
      <c r="H102" s="8" t="inlineStr">
        <is>
          <t>Both plans</t>
        </is>
      </c>
      <c r="I102" s="8" t="inlineStr">
        <is>
          <t>1 per group (optional)</t>
        </is>
      </c>
    </row>
    <row r="103">
      <c r="A103" s="8" t="inlineStr">
        <is>
          <t>Week 3</t>
        </is>
      </c>
      <c r="B103" s="8" t="inlineStr">
        <is>
          <t>Year 9</t>
        </is>
      </c>
      <c r="C103" s="8" t="inlineStr">
        <is>
          <t>Ruler, 30 cm</t>
        </is>
      </c>
      <c r="D103" s="8" t="inlineStr">
        <is>
          <t>直尺 30厘米</t>
        </is>
      </c>
      <c r="E103" s="9" t="n">
        <v>12</v>
      </c>
      <c r="F103" s="8" t="inlineStr">
        <is>
          <t>rulers</t>
        </is>
      </c>
      <c r="G103" s="8" t="inlineStr">
        <is>
          <t>Prep room equipment</t>
        </is>
      </c>
      <c r="H103" s="8" t="inlineStr">
        <is>
          <t>Both plans</t>
        </is>
      </c>
      <c r="I103" s="8" t="inlineStr">
        <is>
          <t>One per pair, for the ruler drop. Check where the 0 cm mark is</t>
        </is>
      </c>
    </row>
    <row r="104">
      <c r="A104" s="8" t="inlineStr">
        <is>
          <t>Week 3</t>
        </is>
      </c>
      <c r="B104" s="8" t="inlineStr">
        <is>
          <t>Year 9</t>
        </is>
      </c>
      <c r="C104" s="8" t="inlineStr">
        <is>
          <t>PRIZE strip (teacher-made)</t>
        </is>
      </c>
      <c r="D104" s="8" t="inlineStr">
        <is>
          <t>奖励纸条（教师自制）</t>
        </is>
      </c>
      <c r="E104" s="9" t="n">
        <v>2</v>
      </c>
      <c r="F104" s="8" t="inlineStr">
        <is>
          <t>strips</t>
        </is>
      </c>
      <c r="G104" s="8" t="inlineStr">
        <is>
          <t>Teacher made</t>
        </is>
      </c>
      <c r="H104" s="8" t="inlineStr">
        <is>
          <t>Both plans</t>
        </is>
      </c>
      <c r="I104" s="8" t="inlineStr">
        <is>
          <t>1 plus a spare, for the Hook</t>
        </is>
      </c>
    </row>
    <row r="105">
      <c r="A105" s="8" t="inlineStr">
        <is>
          <t>Week 4</t>
        </is>
      </c>
      <c r="B105" s="8" t="inlineStr">
        <is>
          <t>Year 7</t>
        </is>
      </c>
      <c r="C105" s="8" t="inlineStr">
        <is>
          <t>Envelopes, C5 (for A5)</t>
        </is>
      </c>
      <c r="D105" s="8" t="inlineStr">
        <is>
          <t>C5信封（可放A5纸）</t>
        </is>
      </c>
      <c r="E105" s="9" t="n">
        <v>6</v>
      </c>
      <c r="F105" s="8" t="inlineStr">
        <is>
          <t>envelopes</t>
        </is>
      </c>
      <c r="G105" s="8" t="inlineStr">
        <is>
          <t>Stationery and card</t>
        </is>
      </c>
      <c r="H105" s="8" t="inlineStr">
        <is>
          <t>Both plans</t>
        </is>
      </c>
      <c r="I105" s="8" t="inlineStr">
        <is>
          <t>Same envelopes returned with spinners; group results table added</t>
        </is>
      </c>
    </row>
    <row r="106">
      <c r="A106" s="8" t="inlineStr">
        <is>
          <t>Week 4</t>
        </is>
      </c>
      <c r="B106" s="8" t="inlineStr">
        <is>
          <t>Year 7</t>
        </is>
      </c>
      <c r="C106" s="8" t="inlineStr">
        <is>
          <t>Laminating pouches, A5</t>
        </is>
      </c>
      <c r="D106" s="8" t="inlineStr">
        <is>
          <t>塑封膜 A5</t>
        </is>
      </c>
      <c r="E106" s="9" t="n">
        <v>6</v>
      </c>
      <c r="F106" s="8" t="inlineStr">
        <is>
          <t>pouches</t>
        </is>
      </c>
      <c r="G106" s="8" t="inlineStr">
        <is>
          <t>Stationery and card</t>
        </is>
      </c>
      <c r="H106" s="8" t="inlineStr">
        <is>
          <t>Both plans</t>
        </is>
      </c>
      <c r="I106" s="8" t="inlineStr">
        <is>
          <t>Sample data card, A5 landscape: 6 per class, 'ideally laminated', reused in Week 5</t>
        </is>
      </c>
    </row>
    <row r="107">
      <c r="A107" s="8" t="inlineStr">
        <is>
          <t>Week 4</t>
        </is>
      </c>
      <c r="B107" s="8" t="inlineStr">
        <is>
          <t>Year 7</t>
        </is>
      </c>
      <c r="C107" s="8" t="inlineStr">
        <is>
          <t>Masking tape</t>
        </is>
      </c>
      <c r="D107" s="8" t="inlineStr">
        <is>
          <t>美纹纸胶带</t>
        </is>
      </c>
      <c r="E107" s="9" t="n">
        <v>1</v>
      </c>
      <c r="F107" s="8" t="inlineStr">
        <is>
          <t>rolls</t>
        </is>
      </c>
      <c r="G107" s="8" t="inlineStr">
        <is>
          <t>Stationery and card</t>
        </is>
      </c>
      <c r="H107" s="8" t="inlineStr">
        <is>
          <t>Both plans</t>
        </is>
      </c>
      <c r="I107" s="8" t="inlineStr">
        <is>
          <t>Re-press any wall marks that have peeled off (same roll)</t>
        </is>
      </c>
    </row>
    <row r="108">
      <c r="A108" s="8" t="inlineStr">
        <is>
          <t>Week 4</t>
        </is>
      </c>
      <c r="B108" s="8" t="inlineStr">
        <is>
          <t>Year 7</t>
        </is>
      </c>
      <c r="C108" s="8" t="inlineStr">
        <is>
          <t>Paper clips, standard 28 mm</t>
        </is>
      </c>
      <c r="D108" s="8" t="inlineStr">
        <is>
          <t>回形针（标准28毫米）</t>
        </is>
      </c>
      <c r="E108" s="9" t="n">
        <v>12</v>
      </c>
      <c r="F108" s="8" t="inlineStr">
        <is>
          <t>clips</t>
        </is>
      </c>
      <c r="G108" s="8" t="inlineStr">
        <is>
          <t>Stationery and card</t>
        </is>
      </c>
      <c r="H108" s="8" t="inlineStr">
        <is>
          <t>Both plans</t>
        </is>
      </c>
      <c r="I108" s="8" t="inlineStr">
        <is>
          <t>2 spare per group for repairs</t>
        </is>
      </c>
    </row>
    <row r="109">
      <c r="A109" s="8" t="inlineStr">
        <is>
          <t>Week 4</t>
        </is>
      </c>
      <c r="B109" s="8" t="inlineStr">
        <is>
          <t>Year 7</t>
        </is>
      </c>
      <c r="C109" s="8" t="inlineStr">
        <is>
          <t>White card, A4, 160 gsm</t>
        </is>
      </c>
      <c r="D109" s="8" t="inlineStr">
        <is>
          <t>160克白卡纸 A4</t>
        </is>
      </c>
      <c r="E109" s="9" t="n">
        <v>9</v>
      </c>
      <c r="F109" s="8" t="inlineStr">
        <is>
          <t>sheets</t>
        </is>
      </c>
      <c r="G109" s="8" t="inlineStr">
        <is>
          <t>Stationery and card</t>
        </is>
      </c>
      <c r="H109" s="8" t="inlineStr">
        <is>
          <t>Both plans</t>
        </is>
      </c>
      <c r="I109" s="8" t="inlineStr">
        <is>
          <t>Reserve spinner template sheets, 160 gsm: the print spec says 9 more in reserve for Week 4; the kit card puts only 3 (1 per 2 groups) on the teacher desk</t>
        </is>
      </c>
    </row>
    <row r="110">
      <c r="A110" s="8" t="inlineStr">
        <is>
          <t>Week 4</t>
        </is>
      </c>
      <c r="B110" s="8" t="inlineStr">
        <is>
          <t>Year 7</t>
        </is>
      </c>
      <c r="C110" s="8" t="inlineStr">
        <is>
          <t>Metre stick</t>
        </is>
      </c>
      <c r="D110" s="8" t="inlineStr">
        <is>
          <t>米尺（1米）</t>
        </is>
      </c>
      <c r="E110" s="9" t="n">
        <v>1</v>
      </c>
      <c r="F110" s="8" t="inlineStr">
        <is>
          <t>metre sticks</t>
        </is>
      </c>
      <c r="G110" s="8" t="inlineStr">
        <is>
          <t>Prep room equipment</t>
        </is>
      </c>
      <c r="H110" s="8" t="inlineStr">
        <is>
          <t>Both plans</t>
        </is>
      </c>
      <c r="I110" s="8" t="inlineStr">
        <is>
          <t>Teacher checks the 2.0 m marks</t>
        </is>
      </c>
    </row>
    <row r="111">
      <c r="A111" s="8" t="inlineStr">
        <is>
          <t>Week 4</t>
        </is>
      </c>
      <c r="B111" s="8" t="inlineStr">
        <is>
          <t>Year 7</t>
        </is>
      </c>
      <c r="C111" s="8" t="inlineStr">
        <is>
          <t>Scissors</t>
        </is>
      </c>
      <c r="D111" s="8" t="inlineStr">
        <is>
          <t>剪刀</t>
        </is>
      </c>
      <c r="E111" s="9" t="n">
        <v>6</v>
      </c>
      <c r="F111" s="8" t="inlineStr">
        <is>
          <t>pairs</t>
        </is>
      </c>
      <c r="G111" s="8" t="inlineStr">
        <is>
          <t>Prep room equipment</t>
        </is>
      </c>
      <c r="H111" s="8" t="inlineStr">
        <is>
          <t>Both plans</t>
        </is>
      </c>
      <c r="I111" s="8" t="inlineStr">
        <is>
          <t>1 per group, repairs only</t>
        </is>
      </c>
    </row>
    <row r="112">
      <c r="A112" s="8" t="inlineStr">
        <is>
          <t>Week 4</t>
        </is>
      </c>
      <c r="B112" s="8" t="inlineStr">
        <is>
          <t>Year 7</t>
        </is>
      </c>
      <c r="C112" s="8" t="inlineStr">
        <is>
          <t>Stopwatch</t>
        </is>
      </c>
      <c r="D112" s="8" t="inlineStr">
        <is>
          <t>秒表</t>
        </is>
      </c>
      <c r="E112" s="9" t="n">
        <v>7</v>
      </c>
      <c r="F112" s="8" t="inlineStr">
        <is>
          <t>stopwatches</t>
        </is>
      </c>
      <c r="G112" s="8" t="inlineStr">
        <is>
          <t>Prep room equipment</t>
        </is>
      </c>
      <c r="H112" s="8" t="inlineStr">
        <is>
          <t>Both plans</t>
        </is>
      </c>
      <c r="I112" s="8" t="inlineStr">
        <is>
          <t>1 per group + 1 extra for the Hook (3 borrowed from groups is also fine)</t>
        </is>
      </c>
    </row>
    <row r="113">
      <c r="A113" s="8" t="inlineStr">
        <is>
          <t>Week 4</t>
        </is>
      </c>
      <c r="B113" s="8" t="inlineStr">
        <is>
          <t>Year 7</t>
        </is>
      </c>
      <c r="C113" s="8" t="inlineStr">
        <is>
          <t>Trays, flat (kit trays)</t>
        </is>
      </c>
      <c r="D113" s="8" t="inlineStr">
        <is>
          <t>托盘（平底）</t>
        </is>
      </c>
      <c r="E113" s="9" t="n">
        <v>1</v>
      </c>
      <c r="F113" s="8" t="inlineStr">
        <is>
          <t>trays</t>
        </is>
      </c>
      <c r="G113" s="8" t="inlineStr">
        <is>
          <t>Prep room equipment</t>
        </is>
      </c>
      <c r="H113" s="8" t="inlineStr">
        <is>
          <t>Both plans</t>
        </is>
      </c>
      <c r="I113" s="8" t="inlineStr">
        <is>
          <t>Stopwatch tray</t>
        </is>
      </c>
    </row>
    <row r="114">
      <c r="A114" s="8" t="inlineStr">
        <is>
          <t>Week 4</t>
        </is>
      </c>
      <c r="B114" s="8" t="inlineStr">
        <is>
          <t>Year 7</t>
        </is>
      </c>
      <c r="C114" s="8" t="inlineStr">
        <is>
          <t>Demo paper spinners (S and L)</t>
        </is>
      </c>
      <c r="D114" s="8" t="inlineStr">
        <is>
          <t>演示用纸直升机（S号和L号）</t>
        </is>
      </c>
      <c r="E114" s="9" t="n">
        <v>1</v>
      </c>
      <c r="F114" s="8" t="inlineStr">
        <is>
          <t>spinners</t>
        </is>
      </c>
      <c r="G114" s="8" t="inlineStr">
        <is>
          <t>Teacher made</t>
        </is>
      </c>
      <c r="H114" s="8" t="inlineStr">
        <is>
          <t>Both plans</t>
        </is>
      </c>
      <c r="I114" s="8" t="inlineStr">
        <is>
          <t>One L spinner for the Hook</t>
        </is>
      </c>
    </row>
    <row r="115">
      <c r="A115" s="8" t="inlineStr">
        <is>
          <t>Week 4</t>
        </is>
      </c>
      <c r="B115" s="8" t="inlineStr">
        <is>
          <t>Year 7</t>
        </is>
      </c>
      <c r="C115" s="8" t="inlineStr">
        <is>
          <t>Wall drop marks (2.0 m and 1.8 m)</t>
        </is>
      </c>
      <c r="D115" s="8" t="inlineStr">
        <is>
          <t>墙面下落标记（2.0米和1.8米）</t>
        </is>
      </c>
      <c r="E115" s="9" t="n">
        <v>6</v>
      </c>
      <c r="F115" s="8" t="inlineStr">
        <is>
          <t>stations</t>
        </is>
      </c>
      <c r="G115" s="8" t="inlineStr">
        <is>
          <t>Teacher made</t>
        </is>
      </c>
      <c r="H115" s="8" t="inlineStr">
        <is>
          <t>Both plans</t>
        </is>
      </c>
      <c r="I115" s="8" t="inlineStr">
        <is>
          <t>Check and re-press</t>
        </is>
      </c>
    </row>
    <row r="116">
      <c r="A116" s="8" t="inlineStr">
        <is>
          <t>Week 4</t>
        </is>
      </c>
      <c r="B116" s="8" t="inlineStr">
        <is>
          <t>Year 7</t>
        </is>
      </c>
      <c r="C116" s="8" t="inlineStr">
        <is>
          <t>Scientist's Logbook, A5 booklet (Year 7)</t>
        </is>
      </c>
      <c r="D116" s="8" t="inlineStr">
        <is>
          <t>科学日志（A5小册子，七年级）</t>
        </is>
      </c>
      <c r="E116" s="9" t="n">
        <v>24</v>
      </c>
      <c r="F116" s="8" t="inlineStr">
        <is>
          <t>booklets</t>
        </is>
      </c>
      <c r="G116" s="8" t="inlineStr">
        <is>
          <t>Print job (reprographics)</t>
        </is>
      </c>
      <c r="H116" s="8" t="inlineStr">
        <is>
          <t>Both plans</t>
        </is>
      </c>
      <c r="I116" s="8" t="inlineStr">
        <is>
          <t>Same booklets</t>
        </is>
      </c>
    </row>
    <row r="117">
      <c r="A117" s="8" t="inlineStr">
        <is>
          <t>Week 4</t>
        </is>
      </c>
      <c r="B117" s="8" t="inlineStr">
        <is>
          <t>Year 8</t>
        </is>
      </c>
      <c r="C117" s="8" t="inlineStr">
        <is>
          <t>Stirring sticks</t>
        </is>
      </c>
      <c r="D117" s="8" t="inlineStr">
        <is>
          <t>搅拌棒（一次性）</t>
        </is>
      </c>
      <c r="E117" s="9" t="n">
        <v>36</v>
      </c>
      <c r="F117" s="8" t="inlineStr">
        <is>
          <t>sticks</t>
        </is>
      </c>
      <c r="G117" s="8" t="inlineStr">
        <is>
          <t>Buy: used up</t>
        </is>
      </c>
      <c r="H117" s="8" t="inlineStr">
        <is>
          <t>Both plans</t>
        </is>
      </c>
      <c r="I117" s="8" t="inlineStr">
        <is>
          <t>6 per group</t>
        </is>
      </c>
    </row>
    <row r="118">
      <c r="A118" s="8" t="inlineStr">
        <is>
          <t>Week 4</t>
        </is>
      </c>
      <c r="B118" s="8" t="inlineStr">
        <is>
          <t>Year 8</t>
        </is>
      </c>
      <c r="C118" s="8" t="inlineStr">
        <is>
          <t>Zip-lock bags, small (sandwich size)</t>
        </is>
      </c>
      <c r="D118" s="8" t="inlineStr">
        <is>
          <t>小号自封袋（三明治袋大小）</t>
        </is>
      </c>
      <c r="E118" s="9" t="n">
        <v>6</v>
      </c>
      <c r="F118" s="8" t="inlineStr">
        <is>
          <t>bags</t>
        </is>
      </c>
      <c r="G118" s="8" t="inlineStr">
        <is>
          <t>Buy: used up</t>
        </is>
      </c>
      <c r="H118" s="8" t="inlineStr">
        <is>
          <t>Both plans</t>
        </is>
      </c>
      <c r="I118" s="8" t="inlineStr">
        <is>
          <t>Evidence 3, about 3 teaspoons of baking soda per group, labelled 'Evidence 3: white powder, floor by desk (F4)'</t>
        </is>
      </c>
    </row>
    <row r="119">
      <c r="A119" s="8" t="inlineStr">
        <is>
          <t>Week 4</t>
        </is>
      </c>
      <c r="B119" s="8" t="inlineStr">
        <is>
          <t>Year 8</t>
        </is>
      </c>
      <c r="C119" s="8" t="inlineStr">
        <is>
          <t>Small lidded pots</t>
        </is>
      </c>
      <c r="D119" s="8" t="inlineStr">
        <is>
          <t>带盖小样品盒</t>
        </is>
      </c>
      <c r="E119" s="9" t="n">
        <v>30</v>
      </c>
      <c r="F119" s="8" t="inlineStr">
        <is>
          <t>pots</t>
        </is>
      </c>
      <c r="G119" s="8" t="inlineStr">
        <is>
          <t>Buy: reusable</t>
        </is>
      </c>
      <c r="H119" s="8" t="inlineStr">
        <is>
          <t>Both plans</t>
        </is>
      </c>
      <c r="I119" s="8" t="inlineStr">
        <is>
          <t>5 known powders per group (add 6 if the scene powder goes in lidded pots instead of zip bags)</t>
        </is>
      </c>
    </row>
    <row r="120">
      <c r="A120" s="8" t="inlineStr">
        <is>
          <t>Week 4</t>
        </is>
      </c>
      <c r="B120" s="8" t="inlineStr">
        <is>
          <t>Year 8</t>
        </is>
      </c>
      <c r="C120" s="8" t="inlineStr">
        <is>
          <t>A3 paper, white, 80 gsm</t>
        </is>
      </c>
      <c r="D120" s="8" t="inlineStr">
        <is>
          <t>A3复印纸（白色，80克）</t>
        </is>
      </c>
      <c r="E120" s="9" t="n">
        <v>1</v>
      </c>
      <c r="F120" s="8" t="inlineStr">
        <is>
          <t>A3 sheets</t>
        </is>
      </c>
      <c r="G120" s="8" t="inlineStr">
        <is>
          <t>Stationery and card</t>
        </is>
      </c>
      <c r="H120" s="8" t="inlineStr">
        <is>
          <t>Both plans</t>
        </is>
      </c>
      <c r="I120" s="8" t="inlineStr">
        <is>
          <t>White powder identification key poster for the wall (display from Week 5, after the Week 4 lesson)</t>
        </is>
      </c>
    </row>
    <row r="121">
      <c r="A121" s="8" t="inlineStr">
        <is>
          <t>Week 4</t>
        </is>
      </c>
      <c r="B121" s="8" t="inlineStr">
        <is>
          <t>Year 8</t>
        </is>
      </c>
      <c r="C121" s="8" t="inlineStr">
        <is>
          <t>Black card, small pieces</t>
        </is>
      </c>
      <c r="D121" s="8" t="inlineStr">
        <is>
          <t>黑色卡纸（小张）</t>
        </is>
      </c>
      <c r="E121" s="9" t="n">
        <v>6</v>
      </c>
      <c r="F121" s="8" t="inlineStr">
        <is>
          <t>pieces</t>
        </is>
      </c>
      <c r="G121" s="8" t="inlineStr">
        <is>
          <t>Stationery and card</t>
        </is>
      </c>
      <c r="H121" s="8" t="inlineStr">
        <is>
          <t>Both plans</t>
        </is>
      </c>
      <c r="I121" s="8" t="inlineStr">
        <is>
          <t>1 per group, used with the magnifying glass</t>
        </is>
      </c>
    </row>
    <row r="122">
      <c r="A122" s="8" t="inlineStr">
        <is>
          <t>Week 4</t>
        </is>
      </c>
      <c r="B122" s="8" t="inlineStr">
        <is>
          <t>Year 8</t>
        </is>
      </c>
      <c r="C122" s="8" t="inlineStr">
        <is>
          <t>Clear sticky tape</t>
        </is>
      </c>
      <c r="D122" s="8" t="inlineStr">
        <is>
          <t>透明胶带</t>
        </is>
      </c>
      <c r="E122" s="9" t="n">
        <v>6</v>
      </c>
      <c r="F122" s="8" t="inlineStr">
        <is>
          <t>rolls</t>
        </is>
      </c>
      <c r="G122" s="8" t="inlineStr">
        <is>
          <t>Stationery and card</t>
        </is>
      </c>
      <c r="H122" s="8" t="inlineStr">
        <is>
          <t>Both plans</t>
        </is>
      </c>
      <c r="I122" s="8" t="inlineStr">
        <is>
          <t>Do Now: students stick their dry chromatograms into the Week 3 worksheet box (no adhesive is named; tape from the trays assumed); reuse the same rolls</t>
        </is>
      </c>
    </row>
    <row r="123">
      <c r="A123" s="8" t="inlineStr">
        <is>
          <t>Week 4</t>
        </is>
      </c>
      <c r="B123" s="8" t="inlineStr">
        <is>
          <t>Year 8</t>
        </is>
      </c>
      <c r="C123" s="8" t="inlineStr">
        <is>
          <t>Laminating pouches, A5</t>
        </is>
      </c>
      <c r="D123" s="8" t="inlineStr">
        <is>
          <t>塑封膜 A5</t>
        </is>
      </c>
      <c r="E123" s="9" t="n">
        <v>6</v>
      </c>
      <c r="F123" s="8" t="inlineStr">
        <is>
          <t>pouches</t>
        </is>
      </c>
      <c r="G123" s="8" t="inlineStr">
        <is>
          <t>Stationery and card</t>
        </is>
      </c>
      <c r="H123" s="8" t="inlineStr">
        <is>
          <t>Both plans</t>
        </is>
      </c>
      <c r="I123" s="8" t="inlineStr">
        <is>
          <t>Powder testing lab cards, 1 per group</t>
        </is>
      </c>
    </row>
    <row r="124">
      <c r="A124" s="8" t="inlineStr">
        <is>
          <t>Week 4</t>
        </is>
      </c>
      <c r="B124" s="8" t="inlineStr">
        <is>
          <t>Year 8</t>
        </is>
      </c>
      <c r="C124" s="8" t="inlineStr">
        <is>
          <t>Sticky labels</t>
        </is>
      </c>
      <c r="D124" s="8" t="inlineStr">
        <is>
          <t>不干胶标签</t>
        </is>
      </c>
      <c r="E124" s="9" t="n">
        <v>42</v>
      </c>
      <c r="F124" s="8" t="inlineStr">
        <is>
          <t>labels</t>
        </is>
      </c>
      <c r="G124" s="8" t="inlineStr">
        <is>
          <t>Stationery and card</t>
        </is>
      </c>
      <c r="H124" s="8" t="inlineStr">
        <is>
          <t>Both plans</t>
        </is>
      </c>
      <c r="I124" s="8" t="inlineStr">
        <is>
          <t>5 powder pots per group (30), Evidence 3 bags (6), vinegar cups (6). The lab card also shows the 6 water cups labelled; students can write on those</t>
        </is>
      </c>
    </row>
    <row r="125">
      <c r="A125" s="8" t="inlineStr">
        <is>
          <t>Week 4</t>
        </is>
      </c>
      <c r="B125" s="8" t="inlineStr">
        <is>
          <t>Year 8</t>
        </is>
      </c>
      <c r="C125" s="8" t="inlineStr">
        <is>
          <t>Cloths for wiping tables</t>
        </is>
      </c>
      <c r="D125" s="8" t="inlineStr">
        <is>
          <t>抹布</t>
        </is>
      </c>
      <c r="E125" s="9" t="n">
        <v>6</v>
      </c>
      <c r="F125" s="8" t="inlineStr">
        <is>
          <t>cloths</t>
        </is>
      </c>
      <c r="G125" s="8" t="inlineStr">
        <is>
          <t>Prep room equipment</t>
        </is>
      </c>
      <c r="H125" s="8" t="inlineStr">
        <is>
          <t>Both plans</t>
        </is>
      </c>
      <c r="I125" s="8" t="inlineStr">
        <is>
          <t>Wipe tables with a damp cloth</t>
        </is>
      </c>
    </row>
    <row r="126">
      <c r="A126" s="8" t="inlineStr">
        <is>
          <t>Week 4</t>
        </is>
      </c>
      <c r="B126" s="8" t="inlineStr">
        <is>
          <t>Year 8</t>
        </is>
      </c>
      <c r="C126" s="8" t="inlineStr">
        <is>
          <t>Droppers (plastic pipettes)</t>
        </is>
      </c>
      <c r="D126" s="8" t="inlineStr">
        <is>
          <t>塑料滴管</t>
        </is>
      </c>
      <c r="E126" s="9" t="n">
        <v>6</v>
      </c>
      <c r="F126" s="8" t="inlineStr">
        <is>
          <t>droppers</t>
        </is>
      </c>
      <c r="G126" s="8" t="inlineStr">
        <is>
          <t>Prep room equipment</t>
        </is>
      </c>
      <c r="H126" s="8" t="inlineStr">
        <is>
          <t>Both plans</t>
        </is>
      </c>
      <c r="I126" s="8" t="inlineStr">
        <is>
          <t>1 per group with the vinegar cup</t>
        </is>
      </c>
    </row>
    <row r="127">
      <c r="A127" s="8" t="inlineStr">
        <is>
          <t>Week 4</t>
        </is>
      </c>
      <c r="B127" s="8" t="inlineStr">
        <is>
          <t>Year 8</t>
        </is>
      </c>
      <c r="C127" s="8" t="inlineStr">
        <is>
          <t>Iodine solution, dropper bottles</t>
        </is>
      </c>
      <c r="D127" s="8" t="inlineStr">
        <is>
          <t>碘液（滴瓶装）</t>
        </is>
      </c>
      <c r="E127" s="9" t="n">
        <v>6</v>
      </c>
      <c r="F127" s="8" t="inlineStr">
        <is>
          <t>dropper bottles</t>
        </is>
      </c>
      <c r="G127" s="8" t="inlineStr">
        <is>
          <t>Prep room equipment</t>
        </is>
      </c>
      <c r="H127" s="8" t="inlineStr">
        <is>
          <t>Both plans</t>
        </is>
      </c>
      <c r="I127" s="8" t="inlineStr">
        <is>
          <t>1 per group, optional; teacher or Safety Officer only. If not used, show slide 10 (water test)</t>
        </is>
      </c>
    </row>
    <row r="128">
      <c r="A128" s="8" t="inlineStr">
        <is>
          <t>Week 4</t>
        </is>
      </c>
      <c r="B128" s="8" t="inlineStr">
        <is>
          <t>Year 8</t>
        </is>
      </c>
      <c r="C128" s="8" t="inlineStr">
        <is>
          <t>Magnifying glasses, hand-held</t>
        </is>
      </c>
      <c r="D128" s="8" t="inlineStr">
        <is>
          <t>放大镜（手持）</t>
        </is>
      </c>
      <c r="E128" s="9" t="n">
        <v>6</v>
      </c>
      <c r="F128" s="8" t="inlineStr">
        <is>
          <t>magnifiers</t>
        </is>
      </c>
      <c r="G128" s="8" t="inlineStr">
        <is>
          <t>Prep room equipment</t>
        </is>
      </c>
      <c r="H128" s="8" t="inlineStr">
        <is>
          <t>Both plans</t>
        </is>
      </c>
      <c r="I128" s="8" t="inlineStr">
        <is>
          <t>1 per group</t>
        </is>
      </c>
    </row>
    <row r="129">
      <c r="A129" s="8" t="inlineStr">
        <is>
          <t>Week 4</t>
        </is>
      </c>
      <c r="B129" s="8" t="inlineStr">
        <is>
          <t>Year 8</t>
        </is>
      </c>
      <c r="C129" s="8" t="inlineStr">
        <is>
          <t>Paper towels, the lab's own dispenser roll</t>
        </is>
      </c>
      <c r="D129" s="8" t="inlineStr">
        <is>
          <t>实验室纸巾（水槽抽取式擦手纸）</t>
        </is>
      </c>
      <c r="E129" s="9" t="n">
        <v>18</v>
      </c>
      <c r="F129" s="8" t="inlineStr">
        <is>
          <t>sheets</t>
        </is>
      </c>
      <c r="G129" s="8" t="inlineStr">
        <is>
          <t>Prep room equipment</t>
        </is>
      </c>
      <c r="H129" s="8" t="inlineStr">
        <is>
          <t>Both plans</t>
        </is>
      </c>
      <c r="I129" s="8" t="inlineStr">
        <is>
          <t>3 per group assumed</t>
        </is>
      </c>
    </row>
    <row r="130">
      <c r="A130" s="8" t="inlineStr">
        <is>
          <t>Week 4</t>
        </is>
      </c>
      <c r="B130" s="8" t="inlineStr">
        <is>
          <t>Year 8</t>
        </is>
      </c>
      <c r="C130" s="8" t="inlineStr">
        <is>
          <t>Plastic cups, small, clear</t>
        </is>
      </c>
      <c r="D130" s="8" t="inlineStr">
        <is>
          <t>透明小塑料杯</t>
        </is>
      </c>
      <c r="E130" s="9" t="n">
        <v>42</v>
      </c>
      <c r="F130" s="8" t="inlineStr">
        <is>
          <t>cups</t>
        </is>
      </c>
      <c r="G130" s="8" t="inlineStr">
        <is>
          <t>Prep room equipment</t>
        </is>
      </c>
      <c r="H130" s="8" t="inlineStr">
        <is>
          <t>Both plans</t>
        </is>
      </c>
      <c r="I130" s="8" t="inlineStr">
        <is>
          <t>6 per group a third full of water, plus 1 per group for about 30 ml of vinegar</t>
        </is>
      </c>
    </row>
    <row r="131">
      <c r="A131" s="8" t="inlineStr">
        <is>
          <t>Week 4</t>
        </is>
      </c>
      <c r="B131" s="8" t="inlineStr">
        <is>
          <t>Year 8</t>
        </is>
      </c>
      <c r="C131" s="8" t="inlineStr">
        <is>
          <t>Safety goggles</t>
        </is>
      </c>
      <c r="D131" s="8" t="inlineStr">
        <is>
          <t>护目镜</t>
        </is>
      </c>
      <c r="E131" s="9" t="n">
        <v>24</v>
      </c>
      <c r="F131" s="8" t="inlineStr">
        <is>
          <t>pairs</t>
        </is>
      </c>
      <c r="G131" s="8" t="inlineStr">
        <is>
          <t>Prep room equipment</t>
        </is>
      </c>
      <c r="H131" s="8" t="inlineStr">
        <is>
          <t>Both plans</t>
        </is>
      </c>
      <c r="I131" s="8" t="inlineStr">
        <is>
          <t>4 per group</t>
        </is>
      </c>
    </row>
    <row r="132">
      <c r="A132" s="8" t="inlineStr">
        <is>
          <t>Week 4</t>
        </is>
      </c>
      <c r="B132" s="8" t="inlineStr">
        <is>
          <t>Year 8</t>
        </is>
      </c>
      <c r="C132" s="8" t="inlineStr">
        <is>
          <t>Small spoons or lolly sticks (one per powder)</t>
        </is>
      </c>
      <c r="D132" s="8" t="inlineStr">
        <is>
          <t>药匙（小号）或冰棒棍</t>
        </is>
      </c>
      <c r="E132" s="9" t="n">
        <v>36</v>
      </c>
      <c r="F132" s="8" t="inlineStr">
        <is>
          <t>spoons</t>
        </is>
      </c>
      <c r="G132" s="8" t="inlineStr">
        <is>
          <t>Prep room equipment</t>
        </is>
      </c>
      <c r="H132" s="8" t="inlineStr">
        <is>
          <t>Both plans</t>
        </is>
      </c>
      <c r="I132" s="8" t="inlineStr">
        <is>
          <t>6 per group, one per powder</t>
        </is>
      </c>
    </row>
    <row r="133">
      <c r="A133" s="8" t="inlineStr">
        <is>
          <t>Week 4</t>
        </is>
      </c>
      <c r="B133" s="8" t="inlineStr">
        <is>
          <t>Year 8</t>
        </is>
      </c>
      <c r="C133" s="8" t="inlineStr">
        <is>
          <t>Spotting tiles, white, 12 wells</t>
        </is>
      </c>
      <c r="D133" s="8" t="inlineStr">
        <is>
          <t>白色点滴板（12孔）</t>
        </is>
      </c>
      <c r="E133" s="9" t="n">
        <v>6</v>
      </c>
      <c r="F133" s="8" t="inlineStr">
        <is>
          <t>tiles</t>
        </is>
      </c>
      <c r="G133" s="8" t="inlineStr">
        <is>
          <t>Prep room equipment</t>
        </is>
      </c>
      <c r="H133" s="8" t="inlineStr">
        <is>
          <t>Both plans</t>
        </is>
      </c>
      <c r="I133" s="8" t="inlineStr">
        <is>
          <t>1 per group</t>
        </is>
      </c>
    </row>
    <row r="134">
      <c r="A134" s="8" t="inlineStr">
        <is>
          <t>Week 4</t>
        </is>
      </c>
      <c r="B134" s="8" t="inlineStr">
        <is>
          <t>Year 8</t>
        </is>
      </c>
      <c r="C134" s="8" t="inlineStr">
        <is>
          <t>Trays, flat (kit trays)</t>
        </is>
      </c>
      <c r="D134" s="8" t="inlineStr">
        <is>
          <t>托盘（平底）</t>
        </is>
      </c>
      <c r="E134" s="9" t="n">
        <v>6</v>
      </c>
      <c r="F134" s="8" t="inlineStr">
        <is>
          <t>trays</t>
        </is>
      </c>
      <c r="G134" s="8" t="inlineStr">
        <is>
          <t>Prep room equipment</t>
        </is>
      </c>
      <c r="H134" s="8" t="inlineStr">
        <is>
          <t>Both plans</t>
        </is>
      </c>
      <c r="I134" s="8" t="inlineStr">
        <is>
          <t>1 per group</t>
        </is>
      </c>
    </row>
    <row r="135">
      <c r="A135" s="8" t="inlineStr">
        <is>
          <t>Week 4</t>
        </is>
      </c>
      <c r="B135" s="8" t="inlineStr">
        <is>
          <t>Year 8</t>
        </is>
      </c>
      <c r="C135" s="8" t="inlineStr">
        <is>
          <t>Baking soda (bicarbonate of soda)</t>
        </is>
      </c>
      <c r="D135" s="8" t="inlineStr">
        <is>
          <t>小苏打</t>
        </is>
      </c>
      <c r="E135" s="9" t="n">
        <v>30</v>
      </c>
      <c r="F135" s="8" t="inlineStr">
        <is>
          <t>teaspoons</t>
        </is>
      </c>
      <c r="G135" s="8" t="inlineStr">
        <is>
          <t>Canteen and kitchen</t>
        </is>
      </c>
      <c r="H135" s="8" t="inlineStr">
        <is>
          <t>Both plans</t>
        </is>
      </c>
      <c r="I135" s="8" t="inlineStr">
        <is>
          <t>Known powder pot, about 2 teaspoons per group (12); Evidence 3 scene powder, about 3 teaspoons per group (18); plus one portion for the teacher's fizz check</t>
        </is>
      </c>
    </row>
    <row r="136">
      <c r="A136" s="8" t="inlineStr">
        <is>
          <t>Week 4</t>
        </is>
      </c>
      <c r="B136" s="8" t="inlineStr">
        <is>
          <t>Year 8</t>
        </is>
      </c>
      <c r="C136" s="8" t="inlineStr">
        <is>
          <t>Cornflour</t>
        </is>
      </c>
      <c r="D136" s="8" t="inlineStr">
        <is>
          <t>玉米淀粉</t>
        </is>
      </c>
      <c r="E136" s="9" t="n">
        <v>12</v>
      </c>
      <c r="F136" s="8" t="inlineStr">
        <is>
          <t>teaspoons</t>
        </is>
      </c>
      <c r="G136" s="8" t="inlineStr">
        <is>
          <t>Canteen and kitchen</t>
        </is>
      </c>
      <c r="H136" s="8" t="inlineStr">
        <is>
          <t>Both plans</t>
        </is>
      </c>
      <c r="I136" s="8" t="inlineStr">
        <is>
          <t>About 2 teaspoons in a labelled pot per group</t>
        </is>
      </c>
    </row>
    <row r="137">
      <c r="A137" s="8" t="inlineStr">
        <is>
          <t>Week 4</t>
        </is>
      </c>
      <c r="B137" s="8" t="inlineStr">
        <is>
          <t>Year 8</t>
        </is>
      </c>
      <c r="C137" s="8" t="inlineStr">
        <is>
          <t>Plain flour (wheat)</t>
        </is>
      </c>
      <c r="D137" s="8" t="inlineStr">
        <is>
          <t>面粉（普通小麦粉）</t>
        </is>
      </c>
      <c r="E137" s="9" t="n">
        <v>12</v>
      </c>
      <c r="F137" s="8" t="inlineStr">
        <is>
          <t>teaspoons</t>
        </is>
      </c>
      <c r="G137" s="8" t="inlineStr">
        <is>
          <t>Canteen and kitchen</t>
        </is>
      </c>
      <c r="H137" s="8" t="inlineStr">
        <is>
          <t>Both plans</t>
        </is>
      </c>
      <c r="I137" s="8" t="inlineStr">
        <is>
          <t>About 2 teaspoons in a labelled pot per group</t>
        </is>
      </c>
    </row>
    <row r="138">
      <c r="A138" s="8" t="inlineStr">
        <is>
          <t>Week 4</t>
        </is>
      </c>
      <c r="B138" s="8" t="inlineStr">
        <is>
          <t>Year 8</t>
        </is>
      </c>
      <c r="C138" s="8" t="inlineStr">
        <is>
          <t>Salt, table salt</t>
        </is>
      </c>
      <c r="D138" s="8" t="inlineStr">
        <is>
          <t>食盐</t>
        </is>
      </c>
      <c r="E138" s="9" t="n">
        <v>12</v>
      </c>
      <c r="F138" s="8" t="inlineStr">
        <is>
          <t>teaspoons</t>
        </is>
      </c>
      <c r="G138" s="8" t="inlineStr">
        <is>
          <t>Canteen and kitchen</t>
        </is>
      </c>
      <c r="H138" s="8" t="inlineStr">
        <is>
          <t>Both plans</t>
        </is>
      </c>
      <c r="I138" s="8" t="inlineStr">
        <is>
          <t>About 2 teaspoons in a labelled pot per group</t>
        </is>
      </c>
    </row>
    <row r="139">
      <c r="A139" s="8" t="inlineStr">
        <is>
          <t>Week 4</t>
        </is>
      </c>
      <c r="B139" s="8" t="inlineStr">
        <is>
          <t>Year 8</t>
        </is>
      </c>
      <c r="C139" s="8" t="inlineStr">
        <is>
          <t>Sugar, white</t>
        </is>
      </c>
      <c r="D139" s="8" t="inlineStr">
        <is>
          <t>白糖</t>
        </is>
      </c>
      <c r="E139" s="9" t="n">
        <v>12</v>
      </c>
      <c r="F139" s="8" t="inlineStr">
        <is>
          <t>teaspoons</t>
        </is>
      </c>
      <c r="G139" s="8" t="inlineStr">
        <is>
          <t>Canteen and kitchen</t>
        </is>
      </c>
      <c r="H139" s="8" t="inlineStr">
        <is>
          <t>Both plans</t>
        </is>
      </c>
      <c r="I139" s="8" t="inlineStr">
        <is>
          <t>About 2 teaspoons in a labelled pot per group</t>
        </is>
      </c>
    </row>
    <row r="140">
      <c r="A140" s="8" t="inlineStr">
        <is>
          <t>Week 4</t>
        </is>
      </c>
      <c r="B140" s="8" t="inlineStr">
        <is>
          <t>Year 8</t>
        </is>
      </c>
      <c r="C140" s="8" t="inlineStr">
        <is>
          <t>Teaspoons, metal</t>
        </is>
      </c>
      <c r="D140" s="8" t="inlineStr">
        <is>
          <t>茶匙（不锈钢）</t>
        </is>
      </c>
      <c r="E140" s="9" t="n">
        <v>1</v>
      </c>
      <c r="F140" s="8" t="inlineStr">
        <is>
          <t>teaspoons</t>
        </is>
      </c>
      <c r="G140" s="8" t="inlineStr">
        <is>
          <t>Canteen and kitchen</t>
        </is>
      </c>
      <c r="H140" s="8" t="inlineStr">
        <is>
          <t>Both plans</t>
        </is>
      </c>
      <c r="I140" s="8" t="inlineStr">
        <is>
          <t>Teacher's measuring spoon for the powder portions in pots and bags (the card gives amounts in teaspoons; no teaspoon is named as kit this week)</t>
        </is>
      </c>
    </row>
    <row r="141">
      <c r="A141" s="8" t="inlineStr">
        <is>
          <t>Week 4</t>
        </is>
      </c>
      <c r="B141" s="8" t="inlineStr">
        <is>
          <t>Year 8</t>
        </is>
      </c>
      <c r="C141" s="8" t="inlineStr">
        <is>
          <t>White vinegar</t>
        </is>
      </c>
      <c r="D141" s="8" t="inlineStr">
        <is>
          <t>白醋</t>
        </is>
      </c>
      <c r="E141" s="9" t="n">
        <v>180</v>
      </c>
      <c r="F141" s="8" t="inlineStr">
        <is>
          <t>ml</t>
        </is>
      </c>
      <c r="G141" s="8" t="inlineStr">
        <is>
          <t>Canteen and kitchen</t>
        </is>
      </c>
      <c r="H141" s="8" t="inlineStr">
        <is>
          <t>Both plans</t>
        </is>
      </c>
      <c r="I141" s="8" t="inlineStr">
        <is>
          <t>About 30 ml per group in a labelled cup with a dropper, plus a little for the teacher's fizz check of the scene powder</t>
        </is>
      </c>
    </row>
    <row r="142">
      <c r="A142" s="8" t="inlineStr">
        <is>
          <t>Week 4</t>
        </is>
      </c>
      <c r="B142" s="8" t="inlineStr">
        <is>
          <t>Year 8</t>
        </is>
      </c>
      <c r="C142" s="8" t="inlineStr">
        <is>
          <t>Evidence 3: scene powder</t>
        </is>
      </c>
      <c r="D142" s="8" t="inlineStr">
        <is>
          <t>证据3：现场白色粉末</t>
        </is>
      </c>
      <c r="E142" s="9" t="n">
        <v>6</v>
      </c>
      <c r="F142" s="8" t="inlineStr">
        <is>
          <t>bags</t>
        </is>
      </c>
      <c r="G142" s="8" t="inlineStr">
        <is>
          <t>Teacher made</t>
        </is>
      </c>
      <c r="H142" s="8" t="inlineStr">
        <is>
          <t>Both plans</t>
        </is>
      </c>
      <c r="I142" s="8" t="inlineStr">
        <is>
          <t>About 3 teaspoons per group in a zip bag or lidded pot; test one portion yourself: it must fizz strongly with vinegar</t>
        </is>
      </c>
    </row>
    <row r="143">
      <c r="A143" s="8" t="inlineStr">
        <is>
          <t>Week 4</t>
        </is>
      </c>
      <c r="B143" s="8" t="inlineStr">
        <is>
          <t>Year 8</t>
        </is>
      </c>
      <c r="C143" s="8" t="inlineStr">
        <is>
          <t>Known powder sets</t>
        </is>
      </c>
      <c r="D143" s="8" t="inlineStr">
        <is>
          <t>已知粉末套装</t>
        </is>
      </c>
      <c r="E143" s="9" t="n">
        <v>6</v>
      </c>
      <c r="F143" s="8" t="inlineStr">
        <is>
          <t>sets</t>
        </is>
      </c>
      <c r="G143" s="8" t="inlineStr">
        <is>
          <t>Teacher made</t>
        </is>
      </c>
      <c r="H143" s="8" t="inlineStr">
        <is>
          <t>Both plans</t>
        </is>
      </c>
      <c r="I143" s="8" t="inlineStr">
        <is>
          <t>1 set per group. Ingredients: salt, sugar, baking soda, cornflour, plain flour, lidded pots, labels</t>
        </is>
      </c>
    </row>
    <row r="144">
      <c r="A144" s="8" t="inlineStr">
        <is>
          <t>Week 4</t>
        </is>
      </c>
      <c r="B144" s="8" t="inlineStr">
        <is>
          <t>Year 9</t>
        </is>
      </c>
      <c r="C144" s="8" t="inlineStr">
        <is>
          <t>A3 paper, white, 80 gsm</t>
        </is>
      </c>
      <c r="D144" s="8" t="inlineStr">
        <is>
          <t>A3复印纸（白色，80克）</t>
        </is>
      </c>
      <c r="E144" s="9" t="n">
        <v>1</v>
      </c>
      <c r="F144" s="8" t="inlineStr">
        <is>
          <t>sheet</t>
        </is>
      </c>
      <c r="G144" s="8" t="inlineStr">
        <is>
          <t>Stationery and card</t>
        </is>
      </c>
      <c r="H144" s="8" t="inlineStr">
        <is>
          <t>Both plans</t>
        </is>
      </c>
      <c r="I144" s="8" t="inlineStr">
        <is>
          <t>Optional class data sheet for the wall (Code | Height | Arm span)</t>
        </is>
      </c>
    </row>
    <row r="145">
      <c r="A145" s="8" t="inlineStr">
        <is>
          <t>Week 4</t>
        </is>
      </c>
      <c r="B145" s="8" t="inlineStr">
        <is>
          <t>Year 9</t>
        </is>
      </c>
      <c r="C145" s="8" t="inlineStr">
        <is>
          <t>Envelopes, C6 (for small card sets)</t>
        </is>
      </c>
      <c r="D145" s="8" t="inlineStr">
        <is>
          <t>C6信封（可装A6及名片大小卡片）</t>
        </is>
      </c>
      <c r="E145" s="9" t="n">
        <v>6</v>
      </c>
      <c r="F145" s="8" t="inlineStr">
        <is>
          <t>envelopes</t>
        </is>
      </c>
      <c r="G145" s="8" t="inlineStr">
        <is>
          <t>Stationery and card</t>
        </is>
      </c>
      <c r="H145" s="8" t="inlineStr">
        <is>
          <t>Both plans</t>
        </is>
      </c>
      <c r="I145" s="8" t="inlineStr">
        <is>
          <t>One per matching card set</t>
        </is>
      </c>
    </row>
    <row r="146">
      <c r="A146" s="8" t="inlineStr">
        <is>
          <t>Week 4</t>
        </is>
      </c>
      <c r="B146" s="8" t="inlineStr">
        <is>
          <t>Year 9</t>
        </is>
      </c>
      <c r="C146" s="8" t="inlineStr">
        <is>
          <t>Pencils, HB</t>
        </is>
      </c>
      <c r="D146" s="8" t="inlineStr">
        <is>
          <t>铅笔（HB）</t>
        </is>
      </c>
      <c r="E146" s="9" t="n">
        <v>24</v>
      </c>
      <c r="F146" s="8" t="inlineStr">
        <is>
          <t>pencils</t>
        </is>
      </c>
      <c r="G146" s="8" t="inlineStr">
        <is>
          <t>Stationery and card</t>
        </is>
      </c>
      <c r="H146" s="8" t="inlineStr">
        <is>
          <t>Both plans</t>
        </is>
      </c>
      <c r="I146" s="8" t="inlineStr">
        <is>
          <t>4 per group, for plotting</t>
        </is>
      </c>
    </row>
    <row r="147">
      <c r="A147" s="8" t="inlineStr">
        <is>
          <t>Week 4</t>
        </is>
      </c>
      <c r="B147" s="8" t="inlineStr">
        <is>
          <t>Year 9</t>
        </is>
      </c>
      <c r="C147" s="8" t="inlineStr">
        <is>
          <t>Sticky notes</t>
        </is>
      </c>
      <c r="D147" s="8" t="inlineStr">
        <is>
          <t>便利贴</t>
        </is>
      </c>
      <c r="E147" s="9" t="n">
        <v>36</v>
      </c>
      <c r="F147" s="8" t="inlineStr">
        <is>
          <t>notes</t>
        </is>
      </c>
      <c r="G147" s="8" t="inlineStr">
        <is>
          <t>Stationery and card</t>
        </is>
      </c>
      <c r="H147" s="8" t="inlineStr">
        <is>
          <t>Both plans</t>
        </is>
      </c>
      <c r="I147" s="8" t="inlineStr">
        <is>
          <t>6 per group, for marking height and fingertips on the wall</t>
        </is>
      </c>
    </row>
    <row r="148">
      <c r="A148" s="8" t="inlineStr">
        <is>
          <t>Week 4</t>
        </is>
      </c>
      <c r="B148" s="8" t="inlineStr">
        <is>
          <t>Year 9</t>
        </is>
      </c>
      <c r="C148" s="8" t="inlineStr">
        <is>
          <t>White card, A4, 160 gsm</t>
        </is>
      </c>
      <c r="D148" s="8" t="inlineStr">
        <is>
          <t>160克白卡纸 A4</t>
        </is>
      </c>
      <c r="E148" s="9" t="n">
        <v>12</v>
      </c>
      <c r="F148" s="8" t="inlineStr">
        <is>
          <t>sheets</t>
        </is>
      </c>
      <c r="G148" s="8" t="inlineStr">
        <is>
          <t>Stationery and card</t>
        </is>
      </c>
      <c r="H148" s="8" t="inlineStr">
        <is>
          <t>Both plans</t>
        </is>
      </c>
      <c r="I148" s="8" t="inlineStr">
        <is>
          <t>Spurious-correlation matching cards: 6 sets x 2 sheets (14 cards per set)</t>
        </is>
      </c>
    </row>
    <row r="149">
      <c r="A149" s="8" t="inlineStr">
        <is>
          <t>Week 4</t>
        </is>
      </c>
      <c r="B149" s="8" t="inlineStr">
        <is>
          <t>Year 9</t>
        </is>
      </c>
      <c r="C149" s="8" t="inlineStr">
        <is>
          <t>Ruler, 30 cm</t>
        </is>
      </c>
      <c r="D149" s="8" t="inlineStr">
        <is>
          <t>直尺 30厘米</t>
        </is>
      </c>
      <c r="E149" s="9" t="n">
        <v>24</v>
      </c>
      <c r="F149" s="8" t="inlineStr">
        <is>
          <t>rulers</t>
        </is>
      </c>
      <c r="G149" s="8" t="inlineStr">
        <is>
          <t>Prep room equipment</t>
        </is>
      </c>
      <c r="H149" s="8" t="inlineStr">
        <is>
          <t>Both plans</t>
        </is>
      </c>
      <c r="I149" s="8" t="inlineStr">
        <is>
          <t>4 per group, for plotting</t>
        </is>
      </c>
    </row>
    <row r="150">
      <c r="A150" s="8" t="inlineStr">
        <is>
          <t>Week 4</t>
        </is>
      </c>
      <c r="B150" s="8" t="inlineStr">
        <is>
          <t>Year 9</t>
        </is>
      </c>
      <c r="C150" s="8" t="inlineStr">
        <is>
          <t>Tape measure, at least 2 m</t>
        </is>
      </c>
      <c r="D150" s="8" t="inlineStr">
        <is>
          <t>卷尺（2米以上）</t>
        </is>
      </c>
      <c r="E150" s="9" t="n">
        <v>6</v>
      </c>
      <c r="F150" s="8" t="inlineStr">
        <is>
          <t>tape measures</t>
        </is>
      </c>
      <c r="G150" s="8" t="inlineStr">
        <is>
          <t>Prep room equipment</t>
        </is>
      </c>
      <c r="H150" s="8" t="inlineStr">
        <is>
          <t>Both plans</t>
        </is>
      </c>
      <c r="I150" s="8" t="inlineStr">
        <is>
          <t>1 per group, for arm span and height</t>
        </is>
      </c>
    </row>
    <row r="151">
      <c r="A151" s="8" t="inlineStr">
        <is>
          <t>Week 4</t>
        </is>
      </c>
      <c r="B151" s="8" t="inlineStr">
        <is>
          <t>Year 9</t>
        </is>
      </c>
      <c r="C151" s="8" t="inlineStr">
        <is>
          <t>Hardback books, flat cover, about A4</t>
        </is>
      </c>
      <c r="D151" s="8" t="inlineStr">
        <is>
          <t>精装书（硬封面，约A4）</t>
        </is>
      </c>
      <c r="E151" s="9" t="n">
        <v>6</v>
      </c>
      <c r="F151" s="8" t="inlineStr">
        <is>
          <t>books</t>
        </is>
      </c>
      <c r="G151" s="8" t="inlineStr">
        <is>
          <t>Collect or borrow</t>
        </is>
      </c>
      <c r="H151" s="8" t="inlineStr">
        <is>
          <t>Both plans</t>
        </is>
      </c>
      <c r="I151" s="8" t="inlineStr">
        <is>
          <t>1 per group, for measuring height</t>
        </is>
      </c>
    </row>
    <row r="152">
      <c r="A152" s="8" t="inlineStr">
        <is>
          <t>Week 4</t>
        </is>
      </c>
      <c r="B152" s="8" t="inlineStr">
        <is>
          <t>Year 9</t>
        </is>
      </c>
      <c r="C152" s="8" t="inlineStr">
        <is>
          <t>Phone, tablet or camera (teacher's own)</t>
        </is>
      </c>
      <c r="D152" s="8" t="inlineStr">
        <is>
          <t>手机、平板电脑或相机（教师自备）</t>
        </is>
      </c>
      <c r="E152" s="9" t="n">
        <v>1</v>
      </c>
      <c r="F152" s="8" t="inlineStr">
        <is>
          <t>device</t>
        </is>
      </c>
      <c r="G152" s="8" t="inlineStr">
        <is>
          <t>Collect or borrow</t>
        </is>
      </c>
      <c r="H152" s="8" t="inlineStr">
        <is>
          <t>Both plans</t>
        </is>
      </c>
      <c r="I152" s="8" t="inlineStr">
        <is>
          <t>Photograph the class data table on the board before wiping it</t>
        </is>
      </c>
    </row>
    <row r="153">
      <c r="A153" s="8" t="inlineStr">
        <is>
          <t>Week 5</t>
        </is>
      </c>
      <c r="B153" s="8" t="inlineStr">
        <is>
          <t>Year 7</t>
        </is>
      </c>
      <c r="C153" s="8" t="inlineStr">
        <is>
          <t>Aluminium foil, kitchen roll</t>
        </is>
      </c>
      <c r="D153" s="8" t="inlineStr">
        <is>
          <t>铝箔纸（厨房用）</t>
        </is>
      </c>
      <c r="E153" s="9" t="n">
        <v>5</v>
      </c>
      <c r="F153" s="8" t="inlineStr">
        <is>
          <t>pieces 20 x 10 cm</t>
        </is>
      </c>
      <c r="G153" s="8" t="inlineStr">
        <is>
          <t>Buy: used up</t>
        </is>
      </c>
      <c r="H153" s="8" t="inlineStr">
        <is>
          <t>Both plans</t>
        </is>
      </c>
      <c r="I153" s="8" t="inlineStr">
        <is>
          <t>Trial strip troughs (see foil troughs)</t>
        </is>
      </c>
    </row>
    <row r="154">
      <c r="A154" s="8" t="inlineStr">
        <is>
          <t>Week 5</t>
        </is>
      </c>
      <c r="B154" s="8" t="inlineStr">
        <is>
          <t>Year 7</t>
        </is>
      </c>
      <c r="C154" s="8" t="inlineStr">
        <is>
          <t>Envelopes, C5 (for A5)</t>
        </is>
      </c>
      <c r="D154" s="8" t="inlineStr">
        <is>
          <t>C5信封（可放A5纸）</t>
        </is>
      </c>
      <c r="E154" s="9" t="n">
        <v>6</v>
      </c>
      <c r="F154" s="8" t="inlineStr">
        <is>
          <t>envelopes</t>
        </is>
      </c>
      <c r="G154" s="8" t="inlineStr">
        <is>
          <t>Stationery and card</t>
        </is>
      </c>
      <c r="H154" s="8" t="inlineStr">
        <is>
          <t>Both plans</t>
        </is>
      </c>
      <c r="I154" s="8" t="inlineStr">
        <is>
          <t>Same envelopes returned with the Week 4 results tables; can be recycled after this lesson</t>
        </is>
      </c>
    </row>
    <row r="155">
      <c r="A155" s="8" t="inlineStr">
        <is>
          <t>Week 5</t>
        </is>
      </c>
      <c r="B155" s="8" t="inlineStr">
        <is>
          <t>Year 7</t>
        </is>
      </c>
      <c r="C155" s="8" t="inlineStr">
        <is>
          <t>Pencil sharpener</t>
        </is>
      </c>
      <c r="D155" s="8" t="inlineStr">
        <is>
          <t>卷笔刀</t>
        </is>
      </c>
      <c r="E155" s="9" t="n">
        <v>1</v>
      </c>
      <c r="F155" s="8" t="inlineStr">
        <is>
          <t>sharpeners</t>
        </is>
      </c>
      <c r="G155" s="8" t="inlineStr">
        <is>
          <t>Stationery and card</t>
        </is>
      </c>
      <c r="H155" s="8" t="inlineStr">
        <is>
          <t>Both plans</t>
        </is>
      </c>
      <c r="I155" s="8" t="inlineStr">
        <is>
          <t>On the teacher desk</t>
        </is>
      </c>
    </row>
    <row r="156">
      <c r="A156" s="8" t="inlineStr">
        <is>
          <t>Week 5</t>
        </is>
      </c>
      <c r="B156" s="8" t="inlineStr">
        <is>
          <t>Year 7</t>
        </is>
      </c>
      <c r="C156" s="8" t="inlineStr">
        <is>
          <t>Pencils, HB</t>
        </is>
      </c>
      <c r="D156" s="8" t="inlineStr">
        <is>
          <t>铅笔（HB）</t>
        </is>
      </c>
      <c r="E156" s="9" t="n">
        <v>24</v>
      </c>
      <c r="F156" s="8" t="inlineStr">
        <is>
          <t>pencils</t>
        </is>
      </c>
      <c r="G156" s="8" t="inlineStr">
        <is>
          <t>Stationery and card</t>
        </is>
      </c>
      <c r="H156" s="8" t="inlineStr">
        <is>
          <t>Both plans</t>
        </is>
      </c>
      <c r="I156" s="8" t="inlineStr">
        <is>
          <t>Sharp pencil 1 per student for graph plotting, plus spares (number not given)</t>
        </is>
      </c>
    </row>
    <row r="157">
      <c r="A157" s="8" t="inlineStr">
        <is>
          <t>Week 5</t>
        </is>
      </c>
      <c r="B157" s="8" t="inlineStr">
        <is>
          <t>Year 7</t>
        </is>
      </c>
      <c r="C157" s="8" t="inlineStr">
        <is>
          <t>Permanent marker pens, black</t>
        </is>
      </c>
      <c r="D157" s="8" t="inlineStr">
        <is>
          <t>黑色油性记号笔</t>
        </is>
      </c>
      <c r="E157" s="9" t="n">
        <v>1</v>
      </c>
      <c r="F157" s="8" t="inlineStr">
        <is>
          <t>pens</t>
        </is>
      </c>
      <c r="G157" s="8" t="inlineStr">
        <is>
          <t>Stationery and card</t>
        </is>
      </c>
      <c r="H157" s="8" t="inlineStr">
        <is>
          <t>Both plans</t>
        </is>
      </c>
      <c r="I157" s="8" t="inlineStr">
        <is>
          <t>Mark the 25 ml line on the trial pour cup (trial in Week 5 or 6)</t>
        </is>
      </c>
    </row>
    <row r="158">
      <c r="A158" s="8" t="inlineStr">
        <is>
          <t>Week 5</t>
        </is>
      </c>
      <c r="B158" s="8" t="inlineStr">
        <is>
          <t>Year 7</t>
        </is>
      </c>
      <c r="C158" s="8" t="inlineStr">
        <is>
          <t>String, strong</t>
        </is>
      </c>
      <c r="D158" s="8" t="inlineStr">
        <is>
          <t>结实的细绳</t>
        </is>
      </c>
      <c r="E158" s="9" t="n">
        <v>1</v>
      </c>
      <c r="F158" s="8" t="inlineStr">
        <is>
          <t>hanger strings</t>
        </is>
      </c>
      <c r="G158" s="8" t="inlineStr">
        <is>
          <t>Stationery and card</t>
        </is>
      </c>
      <c r="H158" s="8" t="inlineStr">
        <is>
          <t>Both plans</t>
        </is>
      </c>
      <c r="I158" s="8" t="inlineStr">
        <is>
          <t>For the trial test on the Week 8 rig (trial in Week 5 or 6)</t>
        </is>
      </c>
    </row>
    <row r="159">
      <c r="A159" s="8" t="inlineStr">
        <is>
          <t>Week 5</t>
        </is>
      </c>
      <c r="B159" s="8" t="inlineStr">
        <is>
          <t>Year 7</t>
        </is>
      </c>
      <c r="C159" s="8" t="inlineStr">
        <is>
          <t>White card, A4, 160 gsm</t>
        </is>
      </c>
      <c r="D159" s="8" t="inlineStr">
        <is>
          <t>160克白卡纸 A4</t>
        </is>
      </c>
      <c r="E159" s="9" t="n">
        <v>3</v>
      </c>
      <c r="F159" s="8" t="inlineStr">
        <is>
          <t>sheets</t>
        </is>
      </c>
      <c r="G159" s="8" t="inlineStr">
        <is>
          <t>Stationery and card</t>
        </is>
      </c>
      <c r="H159" s="8" t="inlineStr">
        <is>
          <t>Both plans</t>
        </is>
      </c>
      <c r="I159" s="8" t="inlineStr">
        <is>
          <t>BAR/LINE voting cards: 24 cards (10 x 7 cm), 8 per sheet, double-sided, on card if possible, reusable</t>
        </is>
      </c>
    </row>
    <row r="160">
      <c r="A160" s="8" t="inlineStr">
        <is>
          <t>Week 5</t>
        </is>
      </c>
      <c r="B160" s="8" t="inlineStr">
        <is>
          <t>Year 7</t>
        </is>
      </c>
      <c r="C160" s="8" t="inlineStr">
        <is>
          <t>Bucket, plastic</t>
        </is>
      </c>
      <c r="D160" s="8" t="inlineStr">
        <is>
          <t>塑料水桶</t>
        </is>
      </c>
      <c r="E160" s="9" t="n">
        <v>1</v>
      </c>
      <c r="F160" s="8" t="inlineStr">
        <is>
          <t>buckets</t>
        </is>
      </c>
      <c r="G160" s="8" t="inlineStr">
        <is>
          <t>Prep room equipment</t>
        </is>
      </c>
      <c r="H160" s="8" t="inlineStr">
        <is>
          <t>Both plans</t>
        </is>
      </c>
      <c r="I160" s="8" t="inlineStr">
        <is>
          <t>Trial test on the Week 8 rig (Week 5 or 6)</t>
        </is>
      </c>
    </row>
    <row r="161">
      <c r="A161" s="8" t="inlineStr">
        <is>
          <t>Week 5</t>
        </is>
      </c>
      <c r="B161" s="8" t="inlineStr">
        <is>
          <t>Year 7</t>
        </is>
      </c>
      <c r="C161" s="8" t="inlineStr">
        <is>
          <t>Drying shelf space for dough strips</t>
        </is>
      </c>
      <c r="D161" s="8" t="inlineStr">
        <is>
          <t>晾干架（晾面团条用）</t>
        </is>
      </c>
      <c r="E161" s="9" t="n">
        <v>1</v>
      </c>
      <c r="F161" s="8" t="inlineStr">
        <is>
          <t>shelf</t>
        </is>
      </c>
      <c r="G161" s="8" t="inlineStr">
        <is>
          <t>Prep room equipment</t>
        </is>
      </c>
      <c r="H161" s="8" t="inlineStr">
        <is>
          <t>Plan B (no freezer)</t>
        </is>
      </c>
      <c r="I161" s="8" t="inlineStr">
        <is>
          <t>Trial strips dry for a week</t>
        </is>
      </c>
    </row>
    <row r="162">
      <c r="A162" s="8" t="inlineStr">
        <is>
          <t>Week 5</t>
        </is>
      </c>
      <c r="B162" s="8" t="inlineStr">
        <is>
          <t>Year 7</t>
        </is>
      </c>
      <c r="C162" s="8" t="inlineStr">
        <is>
          <t>Kitchen scale, reads to 1 g</t>
        </is>
      </c>
      <c r="D162" s="8" t="inlineStr">
        <is>
          <t>电子秤（精度1克）</t>
        </is>
      </c>
      <c r="E162" s="9" t="n">
        <v>1</v>
      </c>
      <c r="F162" s="8" t="inlineStr">
        <is>
          <t>scales</t>
        </is>
      </c>
      <c r="G162" s="8" t="inlineStr">
        <is>
          <t>Prep room equipment</t>
        </is>
      </c>
      <c r="H162" s="8" t="inlineStr">
        <is>
          <t>Both plans</t>
        </is>
      </c>
      <c r="I162" s="8" t="inlineStr">
        <is>
          <t>Plan B trial: weigh 18 g dough balls</t>
        </is>
      </c>
    </row>
    <row r="163">
      <c r="A163" s="8" t="inlineStr">
        <is>
          <t>Week 5</t>
        </is>
      </c>
      <c r="B163" s="8" t="inlineStr">
        <is>
          <t>Year 7</t>
        </is>
      </c>
      <c r="C163" s="8" t="inlineStr">
        <is>
          <t>Measuring cylinder, 25 ml</t>
        </is>
      </c>
      <c r="D163" s="8" t="inlineStr">
        <is>
          <t>量筒 25毫升</t>
        </is>
      </c>
      <c r="E163" s="9" t="n">
        <v>1</v>
      </c>
      <c r="F163" s="8" t="inlineStr">
        <is>
          <t>cylinders</t>
        </is>
      </c>
      <c r="G163" s="8" t="inlineStr">
        <is>
          <t>Prep room equipment</t>
        </is>
      </c>
      <c r="H163" s="8" t="inlineStr">
        <is>
          <t>Both plans</t>
        </is>
      </c>
      <c r="I163" s="8" t="inlineStr">
        <is>
          <t>Trial: measure 12 ml of water per Plan A trial strip; mark the 25 ml line on the trial pour cup</t>
        </is>
      </c>
    </row>
    <row r="164">
      <c r="A164" s="8" t="inlineStr">
        <is>
          <t>Week 5</t>
        </is>
      </c>
      <c r="B164" s="8" t="inlineStr">
        <is>
          <t>Year 7</t>
        </is>
      </c>
      <c r="C164" s="8" t="inlineStr">
        <is>
          <t>Plastic cups, clear, identical, about 250 ml</t>
        </is>
      </c>
      <c r="D164" s="8" t="inlineStr">
        <is>
          <t>透明塑料杯（同款，约250毫升）</t>
        </is>
      </c>
      <c r="E164" s="9" t="n">
        <v>1</v>
      </c>
      <c r="F164" s="8" t="inlineStr">
        <is>
          <t>cups</t>
        </is>
      </c>
      <c r="G164" s="8" t="inlineStr">
        <is>
          <t>Prep room equipment</t>
        </is>
      </c>
      <c r="H164" s="8" t="inlineStr">
        <is>
          <t>Both plans</t>
        </is>
      </c>
      <c r="I164" s="8" t="inlineStr">
        <is>
          <t>Trial pour cup marked at 25 ml</t>
        </is>
      </c>
    </row>
    <row r="165">
      <c r="A165" s="8" t="inlineStr">
        <is>
          <t>Week 5</t>
        </is>
      </c>
      <c r="B165" s="8" t="inlineStr">
        <is>
          <t>Year 7</t>
        </is>
      </c>
      <c r="C165" s="8" t="inlineStr">
        <is>
          <t>Ruler, 30 cm</t>
        </is>
      </c>
      <c r="D165" s="8" t="inlineStr">
        <is>
          <t>直尺 30厘米</t>
        </is>
      </c>
      <c r="E165" s="9" t="n">
        <v>24</v>
      </c>
      <c r="F165" s="8" t="inlineStr">
        <is>
          <t>rulers</t>
        </is>
      </c>
      <c r="G165" s="8" t="inlineStr">
        <is>
          <t>Prep room equipment</t>
        </is>
      </c>
      <c r="H165" s="8" t="inlineStr">
        <is>
          <t>Both plans</t>
        </is>
      </c>
      <c r="I165" s="8" t="inlineStr">
        <is>
          <t>1 per student for graph plotting</t>
        </is>
      </c>
    </row>
    <row r="166">
      <c r="A166" s="8" t="inlineStr">
        <is>
          <t>Week 5</t>
        </is>
      </c>
      <c r="B166" s="8" t="inlineStr">
        <is>
          <t>Year 7</t>
        </is>
      </c>
      <c r="C166" s="8" t="inlineStr">
        <is>
          <t>Freezer space</t>
        </is>
      </c>
      <c r="D166" s="8" t="inlineStr">
        <is>
          <t>冰柜空间</t>
        </is>
      </c>
      <c r="E166" s="9" t="n">
        <v>1</v>
      </c>
      <c r="F166" s="8" t="inlineStr">
        <is>
          <t>drawer</t>
        </is>
      </c>
      <c r="G166" s="8" t="inlineStr">
        <is>
          <t>Canteen and kitchen</t>
        </is>
      </c>
      <c r="H166" s="8" t="inlineStr">
        <is>
          <t>Plan A (freezer)</t>
        </is>
      </c>
      <c r="I166" s="8" t="inlineStr">
        <is>
          <t>Freeze the plain trial strips (at least 24 hours; trial in Week 5 or 6)</t>
        </is>
      </c>
    </row>
    <row r="167">
      <c r="A167" s="8" t="inlineStr">
        <is>
          <t>Week 5</t>
        </is>
      </c>
      <c r="B167" s="8" t="inlineStr">
        <is>
          <t>Year 7</t>
        </is>
      </c>
      <c r="C167" s="8" t="inlineStr">
        <is>
          <t>Jugs, plastic, about 2 litres</t>
        </is>
      </c>
      <c r="D167" s="8" t="inlineStr">
        <is>
          <t>塑料水壶（约2升）</t>
        </is>
      </c>
      <c r="E167" s="9" t="n">
        <v>1</v>
      </c>
      <c r="F167" s="8" t="inlineStr">
        <is>
          <t>jugs</t>
        </is>
      </c>
      <c r="G167" s="8" t="inlineStr">
        <is>
          <t>Canteen and kitchen</t>
        </is>
      </c>
      <c r="H167" s="8" t="inlineStr">
        <is>
          <t>Both plans</t>
        </is>
      </c>
      <c r="I167" s="8" t="inlineStr">
        <is>
          <t>Water for the trial rig</t>
        </is>
      </c>
    </row>
    <row r="168">
      <c r="A168" s="8" t="inlineStr">
        <is>
          <t>Week 5</t>
        </is>
      </c>
      <c r="B168" s="8" t="inlineStr">
        <is>
          <t>Year 7</t>
        </is>
      </c>
      <c r="C168" s="8" t="inlineStr">
        <is>
          <t>Plain flour (wheat)</t>
        </is>
      </c>
      <c r="D168" s="8" t="inlineStr">
        <is>
          <t>面粉（普通小麦粉）</t>
        </is>
      </c>
      <c r="E168" s="9" t="n">
        <v>30</v>
      </c>
      <c r="F168" s="8" t="inlineStr">
        <is>
          <t>g</t>
        </is>
      </c>
      <c r="G168" s="8" t="inlineStr">
        <is>
          <t>Canteen and kitchen</t>
        </is>
      </c>
      <c r="H168" s="8" t="inlineStr">
        <is>
          <t>Plan B (no freezer)</t>
        </is>
      </c>
      <c r="I168" s="8" t="inlineStr">
        <is>
          <t>Trial dough for 5 strips of 18 g (about 90 g dough), scaled from the batch recipe</t>
        </is>
      </c>
    </row>
    <row r="169">
      <c r="A169" s="8" t="inlineStr">
        <is>
          <t>Week 5</t>
        </is>
      </c>
      <c r="B169" s="8" t="inlineStr">
        <is>
          <t>Year 7</t>
        </is>
      </c>
      <c r="C169" s="8" t="inlineStr">
        <is>
          <t>Salt, table salt</t>
        </is>
      </c>
      <c r="D169" s="8" t="inlineStr">
        <is>
          <t>食盐</t>
        </is>
      </c>
      <c r="E169" s="9" t="n">
        <v>35</v>
      </c>
      <c r="F169" s="8" t="inlineStr">
        <is>
          <t>g</t>
        </is>
      </c>
      <c r="G169" s="8" t="inlineStr">
        <is>
          <t>Canteen and kitchen</t>
        </is>
      </c>
      <c r="H169" s="8" t="inlineStr">
        <is>
          <t>Plan B (no freezer)</t>
        </is>
      </c>
      <c r="I169" s="8" t="inlineStr">
        <is>
          <t>Trial dough for 5 strips, scaled from the batch recipe</t>
        </is>
      </c>
    </row>
    <row r="170">
      <c r="A170" s="8" t="inlineStr">
        <is>
          <t>Week 5</t>
        </is>
      </c>
      <c r="B170" s="8" t="inlineStr">
        <is>
          <t>Year 7</t>
        </is>
      </c>
      <c r="C170" s="8" t="inlineStr">
        <is>
          <t>Small carrier bags or freezer bags with handles</t>
        </is>
      </c>
      <c r="D170" s="8" t="inlineStr">
        <is>
          <t>带提手的小塑料袋或冷冻袋</t>
        </is>
      </c>
      <c r="E170" s="9" t="n">
        <v>1</v>
      </c>
      <c r="F170" s="8" t="inlineStr">
        <is>
          <t>bags</t>
        </is>
      </c>
      <c r="G170" s="8" t="inlineStr">
        <is>
          <t>Collect or borrow</t>
        </is>
      </c>
      <c r="H170" s="8" t="inlineStr">
        <is>
          <t>Both plans</t>
        </is>
      </c>
      <c r="I170" s="8" t="inlineStr">
        <is>
          <t>Trial rig</t>
        </is>
      </c>
    </row>
    <row r="171">
      <c r="A171" s="8" t="inlineStr">
        <is>
          <t>Week 5</t>
        </is>
      </c>
      <c r="B171" s="8" t="inlineStr">
        <is>
          <t>Year 7</t>
        </is>
      </c>
      <c r="C171" s="8" t="inlineStr">
        <is>
          <t>Textbooks for book stacks</t>
        </is>
      </c>
      <c r="D171" s="8" t="inlineStr">
        <is>
          <t>课本（叠成书堆用）</t>
        </is>
      </c>
      <c r="E171" s="9" t="n">
        <v>6</v>
      </c>
      <c r="F171" s="8" t="inlineStr">
        <is>
          <t>books</t>
        </is>
      </c>
      <c r="G171" s="8" t="inlineStr">
        <is>
          <t>Collect or borrow</t>
        </is>
      </c>
      <c r="H171" s="8" t="inlineStr">
        <is>
          <t>Both plans</t>
        </is>
      </c>
      <c r="I171" s="8" t="inlineStr">
        <is>
          <t>Trial rig: two stacks of three</t>
        </is>
      </c>
    </row>
    <row r="172">
      <c r="A172" s="8" t="inlineStr">
        <is>
          <t>Week 5</t>
        </is>
      </c>
      <c r="B172" s="8" t="inlineStr">
        <is>
          <t>Year 7</t>
        </is>
      </c>
      <c r="C172" s="8" t="inlineStr">
        <is>
          <t>Wood offcut for the trough template block, 12 x 2 cm</t>
        </is>
      </c>
      <c r="D172" s="8" t="inlineStr">
        <is>
          <t>铝箔槽模具木块（12×2厘米）</t>
        </is>
      </c>
      <c r="E172" s="9" t="n">
        <v>1</v>
      </c>
      <c r="F172" s="8" t="inlineStr">
        <is>
          <t>blocks</t>
        </is>
      </c>
      <c r="G172" s="8" t="inlineStr">
        <is>
          <t>Collect or borrow</t>
        </is>
      </c>
      <c r="H172" s="8" t="inlineStr">
        <is>
          <t>Both plans</t>
        </is>
      </c>
      <c r="I172" s="8" t="inlineStr">
        <is>
          <t>For folding the trial troughs</t>
        </is>
      </c>
    </row>
    <row r="173">
      <c r="A173" s="8" t="inlineStr">
        <is>
          <t>Week 5</t>
        </is>
      </c>
      <c r="B173" s="8" t="inlineStr">
        <is>
          <t>Year 7</t>
        </is>
      </c>
      <c r="C173" s="8" t="inlineStr">
        <is>
          <t>Wood offcut for the trough template block, 12 x 2 cm</t>
        </is>
      </c>
      <c r="D173" s="8" t="inlineStr">
        <is>
          <t>铝箔槽模具木块（12×2厘米）</t>
        </is>
      </c>
      <c r="E173" s="9" t="n">
        <v>1</v>
      </c>
      <c r="F173" s="8" t="inlineStr">
        <is>
          <t>blocks</t>
        </is>
      </c>
      <c r="G173" s="8" t="inlineStr">
        <is>
          <t>Collect or borrow</t>
        </is>
      </c>
      <c r="H173" s="8" t="inlineStr">
        <is>
          <t>Both plans</t>
        </is>
      </c>
      <c r="I173" s="8" t="inlineStr">
        <is>
          <t>For folding the trial troughs</t>
        </is>
      </c>
    </row>
    <row r="174">
      <c r="A174" s="8" t="inlineStr">
        <is>
          <t>Week 5</t>
        </is>
      </c>
      <c r="B174" s="8" t="inlineStr">
        <is>
          <t>Year 7</t>
        </is>
      </c>
      <c r="C174" s="8" t="inlineStr">
        <is>
          <t>Demo paper spinners (S and L)</t>
        </is>
      </c>
      <c r="D174" s="8" t="inlineStr">
        <is>
          <t>演示用纸直升机（S号和L号）</t>
        </is>
      </c>
      <c r="E174" s="9" t="n">
        <v>6</v>
      </c>
      <c r="F174" s="8" t="inlineStr">
        <is>
          <t>spinners</t>
        </is>
      </c>
      <c r="G174" s="8" t="inlineStr">
        <is>
          <t>Teacher made</t>
        </is>
      </c>
      <c r="H174" s="8" t="inlineStr">
        <is>
          <t>Both plans</t>
        </is>
      </c>
      <c r="I174" s="8" t="inlineStr">
        <is>
          <t>Clean-up: keep two sets of S, M and L from the group sets as a demo for the incoming teacher (no new spinners made)</t>
        </is>
      </c>
    </row>
    <row r="175">
      <c r="A175" s="8" t="inlineStr">
        <is>
          <t>Week 5</t>
        </is>
      </c>
      <c r="B175" s="8" t="inlineStr">
        <is>
          <t>Year 7</t>
        </is>
      </c>
      <c r="C175" s="8" t="inlineStr">
        <is>
          <t>Foil troughs</t>
        </is>
      </c>
      <c r="D175" s="8" t="inlineStr">
        <is>
          <t>铝箔槽</t>
        </is>
      </c>
      <c r="E175" s="9" t="n">
        <v>5</v>
      </c>
      <c r="F175" s="8" t="inlineStr">
        <is>
          <t>troughs</t>
        </is>
      </c>
      <c r="G175" s="8" t="inlineStr">
        <is>
          <t>Teacher made</t>
        </is>
      </c>
      <c r="H175" s="8" t="inlineStr">
        <is>
          <t>Both plans</t>
        </is>
      </c>
      <c r="I175" s="8" t="inlineStr">
        <is>
          <t>Trial: 3 plain strips to test + 2 spare plain strips kept for the Week 8 Hook</t>
        </is>
      </c>
    </row>
    <row r="176">
      <c r="A176" s="8" t="inlineStr">
        <is>
          <t>Week 5</t>
        </is>
      </c>
      <c r="B176" s="8" t="inlineStr">
        <is>
          <t>Year 7</t>
        </is>
      </c>
      <c r="C176" s="8" t="inlineStr">
        <is>
          <t>Hanger strings, pre-tied</t>
        </is>
      </c>
      <c r="D176" s="8" t="inlineStr">
        <is>
          <t>预先系好的挂绳（绳圈）</t>
        </is>
      </c>
      <c r="E176" s="9" t="n">
        <v>1</v>
      </c>
      <c r="F176" s="8" t="inlineStr">
        <is>
          <t>strings</t>
        </is>
      </c>
      <c r="G176" s="8" t="inlineStr">
        <is>
          <t>Teacher made</t>
        </is>
      </c>
      <c r="H176" s="8" t="inlineStr">
        <is>
          <t>Both plans</t>
        </is>
      </c>
      <c r="I176" s="8" t="inlineStr">
        <is>
          <t>Trial rig</t>
        </is>
      </c>
    </row>
    <row r="177">
      <c r="A177" s="8" t="inlineStr">
        <is>
          <t>Week 5</t>
        </is>
      </c>
      <c r="B177" s="8" t="inlineStr">
        <is>
          <t>Year 7</t>
        </is>
      </c>
      <c r="C177" s="8" t="inlineStr">
        <is>
          <t>Plain trial strips</t>
        </is>
      </c>
      <c r="D177" s="8" t="inlineStr">
        <is>
          <t>普通试验样品条</t>
        </is>
      </c>
      <c r="E177" s="9" t="n">
        <v>5</v>
      </c>
      <c r="F177" s="8" t="inlineStr">
        <is>
          <t>strips</t>
        </is>
      </c>
      <c r="G177" s="8" t="inlineStr">
        <is>
          <t>Teacher made</t>
        </is>
      </c>
      <c r="H177" s="8" t="inlineStr">
        <is>
          <t>Both plans</t>
        </is>
      </c>
      <c r="I177" s="8" t="inlineStr">
        <is>
          <t>3 tested on the Week 8 rig (aim: snap at 150 to 500 ml) + 2 kept; Week 5 or 6 (Plan B made in Week 5 so it can dry)</t>
        </is>
      </c>
    </row>
    <row r="178">
      <c r="A178" s="8" t="inlineStr">
        <is>
          <t>Week 5</t>
        </is>
      </c>
      <c r="B178" s="8" t="inlineStr">
        <is>
          <t>Year 7</t>
        </is>
      </c>
      <c r="C178" s="8" t="inlineStr">
        <is>
          <t>Pour cups marked at 25 ml</t>
        </is>
      </c>
      <c r="D178" s="8" t="inlineStr">
        <is>
          <t>标有25毫升刻线的倒水杯</t>
        </is>
      </c>
      <c r="E178" s="9" t="n">
        <v>1</v>
      </c>
      <c r="F178" s="8" t="inlineStr">
        <is>
          <t>cups</t>
        </is>
      </c>
      <c r="G178" s="8" t="inlineStr">
        <is>
          <t>Teacher made</t>
        </is>
      </c>
      <c r="H178" s="8" t="inlineStr">
        <is>
          <t>Both plans</t>
        </is>
      </c>
      <c r="I178" s="8" t="inlineStr">
        <is>
          <t>Trial rig</t>
        </is>
      </c>
    </row>
    <row r="179">
      <c r="A179" s="8" t="inlineStr">
        <is>
          <t>Week 5</t>
        </is>
      </c>
      <c r="B179" s="8" t="inlineStr">
        <is>
          <t>Year 7</t>
        </is>
      </c>
      <c r="C179" s="8" t="inlineStr">
        <is>
          <t>Salt dough balls, 18 g, bagged</t>
        </is>
      </c>
      <c r="D179" s="8" t="inlineStr">
        <is>
          <t>盐面团球（18克，袋装）</t>
        </is>
      </c>
      <c r="E179" s="9" t="n">
        <v>5</v>
      </c>
      <c r="F179" s="8" t="inlineStr">
        <is>
          <t>balls</t>
        </is>
      </c>
      <c r="G179" s="8" t="inlineStr">
        <is>
          <t>Teacher made</t>
        </is>
      </c>
      <c r="H179" s="8" t="inlineStr">
        <is>
          <t>Plan B (no freezer)</t>
        </is>
      </c>
      <c r="I179" s="8" t="inlineStr">
        <is>
          <t>Trial strips (3 to test + 2 spare for the Week 8 Hook)</t>
        </is>
      </c>
    </row>
    <row r="180">
      <c r="A180" s="8" t="inlineStr">
        <is>
          <t>Week 5</t>
        </is>
      </c>
      <c r="B180" s="8" t="inlineStr">
        <is>
          <t>Year 7</t>
        </is>
      </c>
      <c r="C180" s="8" t="inlineStr">
        <is>
          <t>Scientist's Logbook, A5 booklet (Year 7)</t>
        </is>
      </c>
      <c r="D180" s="8" t="inlineStr">
        <is>
          <t>科学日志（A5小册子，七年级）</t>
        </is>
      </c>
      <c r="E180" s="9" t="n">
        <v>24</v>
      </c>
      <c r="F180" s="8" t="inlineStr">
        <is>
          <t>booklets</t>
        </is>
      </c>
      <c r="G180" s="8" t="inlineStr">
        <is>
          <t>Print job (reprographics)</t>
        </is>
      </c>
      <c r="H180" s="8" t="inlineStr">
        <is>
          <t>Both plans</t>
        </is>
      </c>
      <c r="I180" s="8" t="inlineStr">
        <is>
          <t>Same booklets</t>
        </is>
      </c>
    </row>
    <row r="181">
      <c r="A181" s="8" t="inlineStr">
        <is>
          <t>Week 5</t>
        </is>
      </c>
      <c r="B181" s="8" t="inlineStr">
        <is>
          <t>Year 8</t>
        </is>
      </c>
      <c r="C181" s="8" t="inlineStr">
        <is>
          <t>Bottled or purified water</t>
        </is>
      </c>
      <c r="D181" s="8" t="inlineStr">
        <is>
          <t>纯净水（瓶装）</t>
        </is>
      </c>
      <c r="E181" s="9" t="n">
        <v>560</v>
      </c>
      <c r="F181" s="8" t="inlineStr">
        <is>
          <t>ml</t>
        </is>
      </c>
      <c r="G181" s="8" t="inlineStr">
        <is>
          <t>Buy: used up</t>
        </is>
      </c>
      <c r="H181" s="8" t="inlineStr">
        <is>
          <t>Both plans</t>
        </is>
      </c>
      <c r="I181" s="8" t="inlineStr">
        <is>
          <t>About 500 ml heated in the kettle for the indicator, plus 60 ml for the 'water' reference (10 ml per group)</t>
        </is>
      </c>
    </row>
    <row r="182">
      <c r="A182" s="8" t="inlineStr">
        <is>
          <t>Week 5</t>
        </is>
      </c>
      <c r="B182" s="8" t="inlineStr">
        <is>
          <t>Year 8</t>
        </is>
      </c>
      <c r="C182" s="8" t="inlineStr">
        <is>
          <t>Plain bar soap</t>
        </is>
      </c>
      <c r="D182" s="8" t="inlineStr">
        <is>
          <t>普通块状肥皂</t>
        </is>
      </c>
      <c r="E182" s="9" t="n">
        <v>1</v>
      </c>
      <c r="F182" s="8" t="inlineStr">
        <is>
          <t>teaspoon, grated</t>
        </is>
      </c>
      <c r="G182" s="8" t="inlineStr">
        <is>
          <t>Buy: used up</t>
        </is>
      </c>
      <c r="H182" s="8" t="inlineStr">
        <is>
          <t>Both plans</t>
        </is>
      </c>
      <c r="I182" s="8" t="inlineStr">
        <is>
          <t>Soap solution: about 1 teaspoon grated into 200 ml warm water (buy 1 bar)</t>
        </is>
      </c>
    </row>
    <row r="183">
      <c r="A183" s="8" t="inlineStr">
        <is>
          <t>Week 5</t>
        </is>
      </c>
      <c r="B183" s="8" t="inlineStr">
        <is>
          <t>Year 8</t>
        </is>
      </c>
      <c r="C183" s="8" t="inlineStr">
        <is>
          <t>A3 paper, white, 80 gsm</t>
        </is>
      </c>
      <c r="D183" s="8" t="inlineStr">
        <is>
          <t>A3复印纸（白色，80克）</t>
        </is>
      </c>
      <c r="E183" s="9" t="n">
        <v>1</v>
      </c>
      <c r="F183" s="8" t="inlineStr">
        <is>
          <t>A3 sheets</t>
        </is>
      </c>
      <c r="G183" s="8" t="inlineStr">
        <is>
          <t>Stationery and card</t>
        </is>
      </c>
      <c r="H183" s="8" t="inlineStr">
        <is>
          <t>Both plans</t>
        </is>
      </c>
      <c r="I183" s="8" t="inlineStr">
        <is>
          <t>pH colour chart enlarged for the wall (printed in colour, see colour printing)</t>
        </is>
      </c>
    </row>
    <row r="184">
      <c r="A184" s="8" t="inlineStr">
        <is>
          <t>Week 5</t>
        </is>
      </c>
      <c r="B184" s="8" t="inlineStr">
        <is>
          <t>Year 8</t>
        </is>
      </c>
      <c r="C184" s="8" t="inlineStr">
        <is>
          <t>A4 paper, plain white, 80 gsm</t>
        </is>
      </c>
      <c r="D184" s="8" t="inlineStr">
        <is>
          <t>A4复印纸（白色，80克）</t>
        </is>
      </c>
      <c r="E184" s="9" t="n">
        <v>6</v>
      </c>
      <c r="F184" s="8" t="inlineStr">
        <is>
          <t>sheets</t>
        </is>
      </c>
      <c r="G184" s="8" t="inlineStr">
        <is>
          <t>Stationery and card</t>
        </is>
      </c>
      <c r="H184" s="8" t="inlineStr">
        <is>
          <t>Both plans</t>
        </is>
      </c>
      <c r="I184" s="8" t="inlineStr">
        <is>
          <t>1 per group to stand indicator cups on so the colours show clearly</t>
        </is>
      </c>
    </row>
    <row r="185">
      <c r="A185" s="8" t="inlineStr">
        <is>
          <t>Week 5</t>
        </is>
      </c>
      <c r="B185" s="8" t="inlineStr">
        <is>
          <t>Year 8</t>
        </is>
      </c>
      <c r="C185" s="8" t="inlineStr">
        <is>
          <t>Colour printing: red cabbage pH colour chart</t>
        </is>
      </c>
      <c r="D185" s="8" t="inlineStr">
        <is>
          <t>彩色打印：紫甘蓝pH比色卡</t>
        </is>
      </c>
      <c r="E185" s="9" t="n">
        <v>7</v>
      </c>
      <c r="F185" s="8" t="inlineStr">
        <is>
          <t>colour prints</t>
        </is>
      </c>
      <c r="G185" s="8" t="inlineStr">
        <is>
          <t>Stationery and card</t>
        </is>
      </c>
      <c r="H185" s="8" t="inlineStr">
        <is>
          <t>Both plans</t>
        </is>
      </c>
      <c r="I185" s="8" t="inlineStr">
        <is>
          <t>6 A5 charts (1 per group, then laminated) plus 1 enlarged A3 wall copy</t>
        </is>
      </c>
    </row>
    <row r="186">
      <c r="A186" s="8" t="inlineStr">
        <is>
          <t>Week 5</t>
        </is>
      </c>
      <c r="B186" s="8" t="inlineStr">
        <is>
          <t>Year 8</t>
        </is>
      </c>
      <c r="C186" s="8" t="inlineStr">
        <is>
          <t>Laminating pouches, A5</t>
        </is>
      </c>
      <c r="D186" s="8" t="inlineStr">
        <is>
          <t>塑封膜 A5</t>
        </is>
      </c>
      <c r="E186" s="9" t="n">
        <v>6</v>
      </c>
      <c r="F186" s="8" t="inlineStr">
        <is>
          <t>pouches</t>
        </is>
      </c>
      <c r="G186" s="8" t="inlineStr">
        <is>
          <t>Stationery and card</t>
        </is>
      </c>
      <c r="H186" s="8" t="inlineStr">
        <is>
          <t>Both plans</t>
        </is>
      </c>
      <c r="I186" s="8" t="inlineStr">
        <is>
          <t>pH colour charts (colour), 1 per group</t>
        </is>
      </c>
    </row>
    <row r="187">
      <c r="A187" s="8" t="inlineStr">
        <is>
          <t>Week 5</t>
        </is>
      </c>
      <c r="B187" s="8" t="inlineStr">
        <is>
          <t>Year 8</t>
        </is>
      </c>
      <c r="C187" s="8" t="inlineStr">
        <is>
          <t>Sticky labels</t>
        </is>
      </c>
      <c r="D187" s="8" t="inlineStr">
        <is>
          <t>不干胶标签</t>
        </is>
      </c>
      <c r="E187" s="9" t="n">
        <v>73</v>
      </c>
      <c r="F187" s="8" t="inlineStr">
        <is>
          <t>labels</t>
        </is>
      </c>
      <c r="G187" s="8" t="inlineStr">
        <is>
          <t>Stationery and card</t>
        </is>
      </c>
      <c r="H187" s="8" t="inlineStr">
        <is>
          <t>Both plans</t>
        </is>
      </c>
      <c r="I187" s="8" t="inlineStr">
        <is>
          <t>Indicator cups (36), reference liquid cups (30), Evidence 4 cups (6), indicator bottle 'Red cabbage indicator: do not drink' (1)</t>
        </is>
      </c>
    </row>
    <row r="188">
      <c r="A188" s="8" t="inlineStr">
        <is>
          <t>Week 5</t>
        </is>
      </c>
      <c r="B188" s="8" t="inlineStr">
        <is>
          <t>Year 8</t>
        </is>
      </c>
      <c r="C188" s="8" t="inlineStr">
        <is>
          <t>Sticky notes</t>
        </is>
      </c>
      <c r="D188" s="8" t="inlineStr">
        <is>
          <t>便利贴</t>
        </is>
      </c>
      <c r="E188" s="9" t="n">
        <v>24</v>
      </c>
      <c r="F188" s="8" t="inlineStr">
        <is>
          <t>notes</t>
        </is>
      </c>
      <c r="G188" s="8" t="inlineStr">
        <is>
          <t>Stationery and card</t>
        </is>
      </c>
      <c r="H188" s="8" t="inlineStr">
        <is>
          <t>Both plans</t>
        </is>
      </c>
      <c r="I188" s="8" t="inlineStr">
        <is>
          <t>1 per student for the Ideas Parking Board (photograph the board for Week 9)</t>
        </is>
      </c>
    </row>
    <row r="189">
      <c r="A189" s="8" t="inlineStr">
        <is>
          <t>Week 5</t>
        </is>
      </c>
      <c r="B189" s="8" t="inlineStr">
        <is>
          <t>Year 8</t>
        </is>
      </c>
      <c r="C189" s="8" t="inlineStr">
        <is>
          <t>Cloths for wiping tables</t>
        </is>
      </c>
      <c r="D189" s="8" t="inlineStr">
        <is>
          <t>抹布</t>
        </is>
      </c>
      <c r="E189" s="9" t="n">
        <v>6</v>
      </c>
      <c r="F189" s="8" t="inlineStr">
        <is>
          <t>cloths</t>
        </is>
      </c>
      <c r="G189" s="8" t="inlineStr">
        <is>
          <t>Prep room equipment</t>
        </is>
      </c>
      <c r="H189" s="8" t="inlineStr">
        <is>
          <t>Both plans</t>
        </is>
      </c>
      <c r="I189" s="8" t="inlineStr">
        <is>
          <t>Wipe tables</t>
        </is>
      </c>
    </row>
    <row r="190">
      <c r="A190" s="8" t="inlineStr">
        <is>
          <t>Week 5</t>
        </is>
      </c>
      <c r="B190" s="8" t="inlineStr">
        <is>
          <t>Year 8</t>
        </is>
      </c>
      <c r="C190" s="8" t="inlineStr">
        <is>
          <t>Droppers (plastic pipettes)</t>
        </is>
      </c>
      <c r="D190" s="8" t="inlineStr">
        <is>
          <t>塑料滴管</t>
        </is>
      </c>
      <c r="E190" s="9" t="n">
        <v>36</v>
      </c>
      <c r="F190" s="8" t="inlineStr">
        <is>
          <t>droppers</t>
        </is>
      </c>
      <c r="G190" s="8" t="inlineStr">
        <is>
          <t>Prep room equipment</t>
        </is>
      </c>
      <c r="H190" s="8" t="inlineStr">
        <is>
          <t>Both plans</t>
        </is>
      </c>
      <c r="I190" s="8" t="inlineStr">
        <is>
          <t>6 per group (or 2 per group plus a cup of rinse water: 12)</t>
        </is>
      </c>
    </row>
    <row r="191">
      <c r="A191" s="8" t="inlineStr">
        <is>
          <t>Week 5</t>
        </is>
      </c>
      <c r="B191" s="8" t="inlineStr">
        <is>
          <t>Year 8</t>
        </is>
      </c>
      <c r="C191" s="8" t="inlineStr">
        <is>
          <t>Paper towels, the lab's own dispenser roll</t>
        </is>
      </c>
      <c r="D191" s="8" t="inlineStr">
        <is>
          <t>实验室纸巾（水槽抽取式擦手纸）</t>
        </is>
      </c>
      <c r="E191" s="9" t="n">
        <v>18</v>
      </c>
      <c r="F191" s="8" t="inlineStr">
        <is>
          <t>sheets</t>
        </is>
      </c>
      <c r="G191" s="8" t="inlineStr">
        <is>
          <t>Prep room equipment</t>
        </is>
      </c>
      <c r="H191" s="8" t="inlineStr">
        <is>
          <t>Both plans</t>
        </is>
      </c>
      <c r="I191" s="8" t="inlineStr">
        <is>
          <t>3 per group assumed</t>
        </is>
      </c>
    </row>
    <row r="192">
      <c r="A192" s="8" t="inlineStr">
        <is>
          <t>Week 5</t>
        </is>
      </c>
      <c r="B192" s="8" t="inlineStr">
        <is>
          <t>Year 8</t>
        </is>
      </c>
      <c r="C192" s="8" t="inlineStr">
        <is>
          <t>Plastic cups, small, clear</t>
        </is>
      </c>
      <c r="D192" s="8" t="inlineStr">
        <is>
          <t>透明小塑料杯</t>
        </is>
      </c>
      <c r="E192" s="9" t="n">
        <v>74</v>
      </c>
      <c r="F192" s="8" t="inlineStr">
        <is>
          <t>cups</t>
        </is>
      </c>
      <c r="G192" s="8" t="inlineStr">
        <is>
          <t>Prep room equipment</t>
        </is>
      </c>
      <c r="H192" s="8" t="inlineStr">
        <is>
          <t>Both plans</t>
        </is>
      </c>
      <c r="I192" s="8" t="inlineStr">
        <is>
          <t>Per group: 6 indicator cups, 5 reference liquid cups, 1 scene liquid cup (72); plus 2 for the Hook demo. Add 6 rinse-water cups if using 2 droppers per group</t>
        </is>
      </c>
    </row>
    <row r="193">
      <c r="A193" s="8" t="inlineStr">
        <is>
          <t>Week 5</t>
        </is>
      </c>
      <c r="B193" s="8" t="inlineStr">
        <is>
          <t>Year 8</t>
        </is>
      </c>
      <c r="C193" s="8" t="inlineStr">
        <is>
          <t>Safety goggles</t>
        </is>
      </c>
      <c r="D193" s="8" t="inlineStr">
        <is>
          <t>护目镜</t>
        </is>
      </c>
      <c r="E193" s="9" t="n">
        <v>24</v>
      </c>
      <c r="F193" s="8" t="inlineStr">
        <is>
          <t>pairs</t>
        </is>
      </c>
      <c r="G193" s="8" t="inlineStr">
        <is>
          <t>Prep room equipment</t>
        </is>
      </c>
      <c r="H193" s="8" t="inlineStr">
        <is>
          <t>Both plans</t>
        </is>
      </c>
      <c r="I193" s="8" t="inlineStr">
        <is>
          <t>4 per group</t>
        </is>
      </c>
    </row>
    <row r="194">
      <c r="A194" s="8" t="inlineStr">
        <is>
          <t>Week 5</t>
        </is>
      </c>
      <c r="B194" s="8" t="inlineStr">
        <is>
          <t>Year 8</t>
        </is>
      </c>
      <c r="C194" s="8" t="inlineStr">
        <is>
          <t>Trays, flat (kit trays)</t>
        </is>
      </c>
      <c r="D194" s="8" t="inlineStr">
        <is>
          <t>托盘（平底）</t>
        </is>
      </c>
      <c r="E194" s="9" t="n">
        <v>6</v>
      </c>
      <c r="F194" s="8" t="inlineStr">
        <is>
          <t>trays</t>
        </is>
      </c>
      <c r="G194" s="8" t="inlineStr">
        <is>
          <t>Prep room equipment</t>
        </is>
      </c>
      <c r="H194" s="8" t="inlineStr">
        <is>
          <t>Both plans</t>
        </is>
      </c>
      <c r="I194" s="8" t="inlineStr">
        <is>
          <t>1 per group</t>
        </is>
      </c>
    </row>
    <row r="195">
      <c r="A195" s="8" t="inlineStr">
        <is>
          <t>Week 5</t>
        </is>
      </c>
      <c r="B195" s="8" t="inlineStr">
        <is>
          <t>Year 8</t>
        </is>
      </c>
      <c r="C195" s="8" t="inlineStr">
        <is>
          <t>Baking soda (bicarbonate of soda)</t>
        </is>
      </c>
      <c r="D195" s="8" t="inlineStr">
        <is>
          <t>小苏打</t>
        </is>
      </c>
      <c r="E195" s="9" t="n">
        <v>2</v>
      </c>
      <c r="F195" s="8" t="inlineStr">
        <is>
          <t>teaspoons</t>
        </is>
      </c>
      <c r="G195" s="8" t="inlineStr">
        <is>
          <t>Canteen and kitchen</t>
        </is>
      </c>
      <c r="H195" s="8" t="inlineStr">
        <is>
          <t>Both plans</t>
        </is>
      </c>
      <c r="I195" s="8" t="inlineStr">
        <is>
          <t>Baking soda solution for reference cups, scene liquid and Hook demo (strength not given; amount assumed); a pinch more if the soap solution only turns blue-purple</t>
        </is>
      </c>
    </row>
    <row r="196">
      <c r="A196" s="8" t="inlineStr">
        <is>
          <t>Week 5</t>
        </is>
      </c>
      <c r="B196" s="8" t="inlineStr">
        <is>
          <t>Year 8</t>
        </is>
      </c>
      <c r="C196" s="8" t="inlineStr">
        <is>
          <t>Electric kettle</t>
        </is>
      </c>
      <c r="D196" s="8" t="inlineStr">
        <is>
          <t>电水壶</t>
        </is>
      </c>
      <c r="E196" s="9" t="n">
        <v>1</v>
      </c>
      <c r="F196" s="8" t="inlineStr">
        <is>
          <t>kettle</t>
        </is>
      </c>
      <c r="G196" s="8" t="inlineStr">
        <is>
          <t>Canteen and kitchen</t>
        </is>
      </c>
      <c r="H196" s="8" t="inlineStr">
        <is>
          <t>Both plans</t>
        </is>
      </c>
      <c r="I196" s="8" t="inlineStr">
        <is>
          <t>Hot water for the indicator, the day before the lesson</t>
        </is>
      </c>
    </row>
    <row r="197">
      <c r="A197" s="8" t="inlineStr">
        <is>
          <t>Week 5</t>
        </is>
      </c>
      <c r="B197" s="8" t="inlineStr">
        <is>
          <t>Year 8</t>
        </is>
      </c>
      <c r="C197" s="8" t="inlineStr">
        <is>
          <t>Fridge space</t>
        </is>
      </c>
      <c r="D197" s="8" t="inlineStr">
        <is>
          <t>冰箱冷藏空间</t>
        </is>
      </c>
      <c r="E197" s="9" t="n">
        <v>1</v>
      </c>
      <c r="F197" s="8" t="inlineStr">
        <is>
          <t>shelf space</t>
        </is>
      </c>
      <c r="G197" s="8" t="inlineStr">
        <is>
          <t>Canteen and kitchen</t>
        </is>
      </c>
      <c r="H197" s="8" t="inlineStr">
        <is>
          <t>Both plans</t>
        </is>
      </c>
      <c r="I197" s="8" t="inlineStr">
        <is>
          <t>Store the red cabbage indicator from the day before; leftovers keep up to 3 days, then discard</t>
        </is>
      </c>
    </row>
    <row r="198">
      <c r="A198" s="8" t="inlineStr">
        <is>
          <t>Week 5</t>
        </is>
      </c>
      <c r="B198" s="8" t="inlineStr">
        <is>
          <t>Year 8</t>
        </is>
      </c>
      <c r="C198" s="8" t="inlineStr">
        <is>
          <t>Heatproof jug, at least 500 ml</t>
        </is>
      </c>
      <c r="D198" s="8" t="inlineStr">
        <is>
          <t>耐热水壶（500毫升以上，可装开水）</t>
        </is>
      </c>
      <c r="E198" s="9" t="n">
        <v>1</v>
      </c>
      <c r="F198" s="8" t="inlineStr">
        <is>
          <t>jug</t>
        </is>
      </c>
      <c r="G198" s="8" t="inlineStr">
        <is>
          <t>Canteen and kitchen</t>
        </is>
      </c>
      <c r="H198" s="8" t="inlineStr">
        <is>
          <t>Both plans</t>
        </is>
      </c>
      <c r="I198" s="8" t="inlineStr">
        <is>
          <t>Chopped cabbage and about 500 ml hot water, left 15 minutes</t>
        </is>
      </c>
    </row>
    <row r="199">
      <c r="A199" s="8" t="inlineStr">
        <is>
          <t>Week 5</t>
        </is>
      </c>
      <c r="B199" s="8" t="inlineStr">
        <is>
          <t>Year 8</t>
        </is>
      </c>
      <c r="C199" s="8" t="inlineStr">
        <is>
          <t>Lemon juice</t>
        </is>
      </c>
      <c r="D199" s="8" t="inlineStr">
        <is>
          <t>柠檬汁</t>
        </is>
      </c>
      <c r="E199" s="9" t="n">
        <v>60</v>
      </c>
      <c r="F199" s="8" t="inlineStr">
        <is>
          <t>ml</t>
        </is>
      </c>
      <c r="G199" s="8" t="inlineStr">
        <is>
          <t>Canteen and kitchen</t>
        </is>
      </c>
      <c r="H199" s="8" t="inlineStr">
        <is>
          <t>Both plans</t>
        </is>
      </c>
      <c r="I199" s="8" t="inlineStr">
        <is>
          <t>Reference liquid, about 10 ml per group</t>
        </is>
      </c>
    </row>
    <row r="200">
      <c r="A200" s="8" t="inlineStr">
        <is>
          <t>Week 5</t>
        </is>
      </c>
      <c r="B200" s="8" t="inlineStr">
        <is>
          <t>Year 8</t>
        </is>
      </c>
      <c r="C200" s="8" t="inlineStr">
        <is>
          <t>Red cabbage</t>
        </is>
      </c>
      <c r="D200" s="8" t="inlineStr">
        <is>
          <t>紫甘蓝</t>
        </is>
      </c>
      <c r="E200" s="9" t="n">
        <v>0.25</v>
      </c>
      <c r="F200" s="8" t="inlineStr">
        <is>
          <t>head</t>
        </is>
      </c>
      <c r="G200" s="8" t="inlineStr">
        <is>
          <t>Canteen and kitchen</t>
        </is>
      </c>
      <c r="H200" s="8" t="inlineStr">
        <is>
          <t>Both plans</t>
        </is>
      </c>
      <c r="I200" s="8" t="inlineStr">
        <is>
          <t>A quarter of a head makes one class's indicator; the outline asks the canteen for 1 head</t>
        </is>
      </c>
    </row>
    <row r="201">
      <c r="A201" s="8" t="inlineStr">
        <is>
          <t>Week 5</t>
        </is>
      </c>
      <c r="B201" s="8" t="inlineStr">
        <is>
          <t>Year 8</t>
        </is>
      </c>
      <c r="C201" s="8" t="inlineStr">
        <is>
          <t>Sieve, kitchen</t>
        </is>
      </c>
      <c r="D201" s="8" t="inlineStr">
        <is>
          <t>滤网（筛子）</t>
        </is>
      </c>
      <c r="E201" s="9" t="n">
        <v>1</v>
      </c>
      <c r="F201" s="8" t="inlineStr">
        <is>
          <t>sieve</t>
        </is>
      </c>
      <c r="G201" s="8" t="inlineStr">
        <is>
          <t>Canteen and kitchen</t>
        </is>
      </c>
      <c r="H201" s="8" t="inlineStr">
        <is>
          <t>Both plans</t>
        </is>
      </c>
      <c r="I201" s="8" t="inlineStr">
        <is>
          <t>Strain the indicator into a clean bottle</t>
        </is>
      </c>
    </row>
    <row r="202">
      <c r="A202" s="8" t="inlineStr">
        <is>
          <t>Week 5</t>
        </is>
      </c>
      <c r="B202" s="8" t="inlineStr">
        <is>
          <t>Year 8</t>
        </is>
      </c>
      <c r="C202" s="8" t="inlineStr">
        <is>
          <t>White vinegar</t>
        </is>
      </c>
      <c r="D202" s="8" t="inlineStr">
        <is>
          <t>白醋</t>
        </is>
      </c>
      <c r="E202" s="9" t="n">
        <v>70</v>
      </c>
      <c r="F202" s="8" t="inlineStr">
        <is>
          <t>ml</t>
        </is>
      </c>
      <c r="G202" s="8" t="inlineStr">
        <is>
          <t>Canteen and kitchen</t>
        </is>
      </c>
      <c r="H202" s="8" t="inlineStr">
        <is>
          <t>Both plans</t>
        </is>
      </c>
      <c r="I202" s="8" t="inlineStr">
        <is>
          <t>Reference liquid, 10 ml per group (60), plus a little for the Hook demo</t>
        </is>
      </c>
    </row>
    <row r="203">
      <c r="A203" s="8" t="inlineStr">
        <is>
          <t>Week 5</t>
        </is>
      </c>
      <c r="B203" s="8" t="inlineStr">
        <is>
          <t>Year 8</t>
        </is>
      </c>
      <c r="C203" s="8" t="inlineStr">
        <is>
          <t>Plastic bottles, 500 ml, identical, clean</t>
        </is>
      </c>
      <c r="D203" s="8" t="inlineStr">
        <is>
          <t>塑料瓶（500毫升，同款，洗净）</t>
        </is>
      </c>
      <c r="E203" s="9" t="n">
        <v>1</v>
      </c>
      <c r="F203" s="8" t="inlineStr">
        <is>
          <t>bottle</t>
        </is>
      </c>
      <c r="G203" s="8" t="inlineStr">
        <is>
          <t>Collect or borrow</t>
        </is>
      </c>
      <c r="H203" s="8" t="inlineStr">
        <is>
          <t>Both plans</t>
        </is>
      </c>
      <c r="I203" s="8" t="inlineStr">
        <is>
          <t>Labelled 'Red cabbage indicator: do not drink'</t>
        </is>
      </c>
    </row>
    <row r="204">
      <c r="A204" s="8" t="inlineStr">
        <is>
          <t>Week 5</t>
        </is>
      </c>
      <c r="B204" s="8" t="inlineStr">
        <is>
          <t>Year 8</t>
        </is>
      </c>
      <c r="C204" s="8" t="inlineStr">
        <is>
          <t>Baking soda solution</t>
        </is>
      </c>
      <c r="D204" s="8" t="inlineStr">
        <is>
          <t>小苏打溶液</t>
        </is>
      </c>
      <c r="E204" s="9" t="n">
        <v>100</v>
      </c>
      <c r="F204" s="8" t="inlineStr">
        <is>
          <t>ml</t>
        </is>
      </c>
      <c r="G204" s="8" t="inlineStr">
        <is>
          <t>Teacher made</t>
        </is>
      </c>
      <c r="H204" s="8" t="inlineStr">
        <is>
          <t>Both plans</t>
        </is>
      </c>
      <c r="I204" s="8" t="inlineStr">
        <is>
          <t>Reference cups (10 ml per group), half of the scene liquid, and the Hook demo (amount assumed; about 130 ml if the scene liquid is made at the Case Bible's 20 ml per group). Ingredients: baking soda, water</t>
        </is>
      </c>
    </row>
    <row r="205">
      <c r="A205" s="8" t="inlineStr">
        <is>
          <t>Week 5</t>
        </is>
      </c>
      <c r="B205" s="8" t="inlineStr">
        <is>
          <t>Year 8</t>
        </is>
      </c>
      <c r="C205" s="8" t="inlineStr">
        <is>
          <t>Evidence 4: scene liquid</t>
        </is>
      </c>
      <c r="D205" s="8" t="inlineStr">
        <is>
          <t>证据4：现场液体</t>
        </is>
      </c>
      <c r="E205" s="9" t="n">
        <v>60</v>
      </c>
      <c r="F205" s="8" t="inlineStr">
        <is>
          <t>ml</t>
        </is>
      </c>
      <c r="G205" s="8" t="inlineStr">
        <is>
          <t>Teacher made</t>
        </is>
      </c>
      <c r="H205" s="8" t="inlineStr">
        <is>
          <t>Both plans</t>
        </is>
      </c>
      <c r="I205" s="8" t="inlineStr">
        <is>
          <t>About 10 ml per group in a labelled cup (kit card); the Case Bible, which says it wins over lesson files, gives about 20 ml per group (120 ml). Test it yourself: it must turn the indicator blue-green, not purple</t>
        </is>
      </c>
    </row>
    <row r="206">
      <c r="A206" s="8" t="inlineStr">
        <is>
          <t>Week 5</t>
        </is>
      </c>
      <c r="B206" s="8" t="inlineStr">
        <is>
          <t>Year 8</t>
        </is>
      </c>
      <c r="C206" s="8" t="inlineStr">
        <is>
          <t>Red cabbage indicator</t>
        </is>
      </c>
      <c r="D206" s="8" t="inlineStr">
        <is>
          <t>紫甘蓝指示剂</t>
        </is>
      </c>
      <c r="E206" s="9" t="n">
        <v>500</v>
      </c>
      <c r="F206" s="8" t="inlineStr">
        <is>
          <t>ml</t>
        </is>
      </c>
      <c r="G206" s="8" t="inlineStr">
        <is>
          <t>Teacher made</t>
        </is>
      </c>
      <c r="H206" s="8" t="inlineStr">
        <is>
          <t>Both plans</t>
        </is>
      </c>
      <c r="I206" s="8" t="inlineStr">
        <is>
          <t>Made the day before (25 minutes), refrigerated. Enough for 6 cups of 10 ml per group plus spare and the Hook demo. Ingredients: red cabbage, bottled water, kettle, heatproof jug, sieve, clean bottle, label, fridge</t>
        </is>
      </c>
    </row>
    <row r="207">
      <c r="A207" s="8" t="inlineStr">
        <is>
          <t>Week 5</t>
        </is>
      </c>
      <c r="B207" s="8" t="inlineStr">
        <is>
          <t>Year 8</t>
        </is>
      </c>
      <c r="C207" s="8" t="inlineStr">
        <is>
          <t>Soap solution</t>
        </is>
      </c>
      <c r="D207" s="8" t="inlineStr">
        <is>
          <t>肥皂水</t>
        </is>
      </c>
      <c r="E207" s="9" t="n">
        <v>200</v>
      </c>
      <c r="F207" s="8" t="inlineStr">
        <is>
          <t>ml</t>
        </is>
      </c>
      <c r="G207" s="8" t="inlineStr">
        <is>
          <t>Teacher made</t>
        </is>
      </c>
      <c r="H207" s="8" t="inlineStr">
        <is>
          <t>Both plans</t>
        </is>
      </c>
      <c r="I207" s="8" t="inlineStr">
        <is>
          <t>Reference cups (10 ml per group) and half of the scene liquid; must turn the indicator blue-green or green, add a pinch of baking soda if it only goes blue-purple. Ingredients: plain bar soap, warm water</t>
        </is>
      </c>
    </row>
    <row r="208">
      <c r="A208" s="8" t="inlineStr">
        <is>
          <t>Week 5</t>
        </is>
      </c>
      <c r="B208" s="8" t="inlineStr">
        <is>
          <t>Year 9</t>
        </is>
      </c>
      <c r="C208" s="8" t="inlineStr">
        <is>
          <t>Ballpoint pens, identical</t>
        </is>
      </c>
      <c r="D208" s="8" t="inlineStr">
        <is>
          <t>圆珠笔（同款同色）</t>
        </is>
      </c>
      <c r="E208" s="9" t="n">
        <v>24</v>
      </c>
      <c r="F208" s="8" t="inlineStr">
        <is>
          <t>pens</t>
        </is>
      </c>
      <c r="G208" s="8" t="inlineStr">
        <is>
          <t>Buy: reusable</t>
        </is>
      </c>
      <c r="H208" s="8" t="inlineStr">
        <is>
          <t>Both plans</t>
        </is>
      </c>
      <c r="I208" s="8" t="inlineStr">
        <is>
          <t>Lucky pen trial: 1 per student. The pens must be identical. Count all 24 back in</t>
        </is>
      </c>
    </row>
    <row r="209">
      <c r="A209" s="8" t="inlineStr">
        <is>
          <t>Week 5</t>
        </is>
      </c>
      <c r="B209" s="8" t="inlineStr">
        <is>
          <t>Year 9</t>
        </is>
      </c>
      <c r="C209" s="8" t="inlineStr">
        <is>
          <t>Laminating pouches, A5</t>
        </is>
      </c>
      <c r="D209" s="8" t="inlineStr">
        <is>
          <t>塑封膜 A5</t>
        </is>
      </c>
      <c r="E209" s="9" t="n">
        <v>6</v>
      </c>
      <c r="F209" s="8" t="inlineStr">
        <is>
          <t>pouches</t>
        </is>
      </c>
      <c r="G209" s="8" t="inlineStr">
        <is>
          <t>Stationery and card</t>
        </is>
      </c>
      <c r="H209" s="8" t="inlineStr">
        <is>
          <t>Both plans</t>
        </is>
      </c>
      <c r="I209" s="8" t="inlineStr">
        <is>
          <t>Ethics debrief cards, one per group</t>
        </is>
      </c>
    </row>
    <row r="210">
      <c r="A210" s="8" t="inlineStr">
        <is>
          <t>Week 6</t>
        </is>
      </c>
      <c r="B210" s="8" t="inlineStr">
        <is>
          <t>Year 7</t>
        </is>
      </c>
      <c r="C210" s="8" t="inlineStr">
        <is>
          <t>Aluminium foil, kitchen roll</t>
        </is>
      </c>
      <c r="D210" s="8" t="inlineStr">
        <is>
          <t>铝箔纸（厨房用）</t>
        </is>
      </c>
      <c r="E210" s="9" t="n">
        <v>6</v>
      </c>
      <c r="F210" s="8" t="inlineStr">
        <is>
          <t>pieces</t>
        </is>
      </c>
      <c r="G210" s="8" t="inlineStr">
        <is>
          <t>Buy: used up</t>
        </is>
      </c>
      <c r="H210" s="8" t="inlineStr">
        <is>
          <t>Both plans</t>
        </is>
      </c>
      <c r="I210" s="8" t="inlineStr">
        <is>
          <t>Set A groups (1, 3, 5). Plan B: 3 jackets 25 x 10 cm + 3 lid squares 10 x 10 cm. Plan A: 3 squares 15 x 15 cm. Dry foil can be reused</t>
        </is>
      </c>
    </row>
    <row r="211">
      <c r="A211" s="8" t="inlineStr">
        <is>
          <t>Week 6</t>
        </is>
      </c>
      <c r="B211" s="8" t="inlineStr">
        <is>
          <t>Year 7</t>
        </is>
      </c>
      <c r="C211" s="8" t="inlineStr">
        <is>
          <t>Cotton wool</t>
        </is>
      </c>
      <c r="D211" s="8" t="inlineStr">
        <is>
          <t>棉花（脱脂棉）</t>
        </is>
      </c>
      <c r="E211" s="9" t="n">
        <v>6</v>
      </c>
      <c r="F211" s="8" t="inlineStr">
        <is>
          <t>pieces</t>
        </is>
      </c>
      <c r="G211" s="8" t="inlineStr">
        <is>
          <t>Buy: used up</t>
        </is>
      </c>
      <c r="H211" s="8" t="inlineStr">
        <is>
          <t>Both plans</t>
        </is>
      </c>
      <c r="I211" s="8" t="inlineStr">
        <is>
          <t>Set A groups (1, 3, 5). Plan B: 3 jackets 25 x 10 cm + 3 lids 10 x 10 cm. Plan A: 3 squares 15 x 15 cm</t>
        </is>
      </c>
    </row>
    <row r="212">
      <c r="A212" s="8" t="inlineStr">
        <is>
          <t>Week 6</t>
        </is>
      </c>
      <c r="B212" s="8" t="inlineStr">
        <is>
          <t>Year 7</t>
        </is>
      </c>
      <c r="C212" s="8" t="inlineStr">
        <is>
          <t>Disposable gloves</t>
        </is>
      </c>
      <c r="D212" s="8" t="inlineStr">
        <is>
          <t>一次性手套</t>
        </is>
      </c>
      <c r="E212" s="9" t="n">
        <v>12</v>
      </c>
      <c r="F212" s="8" t="inlineStr">
        <is>
          <t>pairs</t>
        </is>
      </c>
      <c r="G212" s="8" t="inlineStr">
        <is>
          <t>Buy: used up</t>
        </is>
      </c>
      <c r="H212" s="8" t="inlineStr">
        <is>
          <t>Plan A (freezer)</t>
        </is>
      </c>
      <c r="I212" s="8" t="inlineStr">
        <is>
          <t>2 pairs per group</t>
        </is>
      </c>
    </row>
    <row r="213">
      <c r="A213" s="8" t="inlineStr">
        <is>
          <t>Week 6</t>
        </is>
      </c>
      <c r="B213" s="8" t="inlineStr">
        <is>
          <t>Year 7</t>
        </is>
      </c>
      <c r="C213" s="8" t="inlineStr">
        <is>
          <t>Kitchen roll (shop-bought paper towels)</t>
        </is>
      </c>
      <c r="D213" s="8" t="inlineStr">
        <is>
          <t>厨房纸（卷筒）</t>
        </is>
      </c>
      <c r="E213" s="9" t="n">
        <v>36</v>
      </c>
      <c r="F213" s="8" t="inlineStr">
        <is>
          <t>sheets</t>
        </is>
      </c>
      <c r="G213" s="8" t="inlineStr">
        <is>
          <t>Buy: used up</t>
        </is>
      </c>
      <c r="H213" s="8" t="inlineStr">
        <is>
          <t>Both plans</t>
        </is>
      </c>
      <c r="I213" s="8" t="inlineStr">
        <is>
          <t>6 per group with the tray, plus a roll per class if there is no mop</t>
        </is>
      </c>
    </row>
    <row r="214">
      <c r="A214" s="8" t="inlineStr">
        <is>
          <t>Week 6</t>
        </is>
      </c>
      <c r="B214" s="8" t="inlineStr">
        <is>
          <t>Year 7</t>
        </is>
      </c>
      <c r="C214" s="8" t="inlineStr">
        <is>
          <t>Zip-lock bags, small (sandwich size)</t>
        </is>
      </c>
      <c r="D214" s="8" t="inlineStr">
        <is>
          <t>小号自封袋（三明治袋大小）</t>
        </is>
      </c>
      <c r="E214" s="9" t="n">
        <v>28</v>
      </c>
      <c r="F214" s="8" t="inlineStr">
        <is>
          <t>bags</t>
        </is>
      </c>
      <c r="G214" s="8" t="inlineStr">
        <is>
          <t>Buy: used up</t>
        </is>
      </c>
      <c r="H214" s="8" t="inlineStr">
        <is>
          <t>Both plans</t>
        </is>
      </c>
      <c r="I214" s="8" t="inlineStr">
        <is>
          <t>Plan A only: one per ice cube (24 + 4 spare cubes)</t>
        </is>
      </c>
    </row>
    <row r="215">
      <c r="A215" s="8" t="inlineStr">
        <is>
          <t>Week 6</t>
        </is>
      </c>
      <c r="B215" s="8" t="inlineStr">
        <is>
          <t>Year 7</t>
        </is>
      </c>
      <c r="C215" s="8" t="inlineStr">
        <is>
          <t>Cool box, insulated, with lid</t>
        </is>
      </c>
      <c r="D215" s="8" t="inlineStr">
        <is>
          <t>保温箱（带盖）</t>
        </is>
      </c>
      <c r="E215" s="9" t="n">
        <v>1</v>
      </c>
      <c r="F215" s="8" t="inlineStr">
        <is>
          <t>boxes</t>
        </is>
      </c>
      <c r="G215" s="8" t="inlineStr">
        <is>
          <t>Buy: reusable</t>
        </is>
      </c>
      <c r="H215" s="8" t="inlineStr">
        <is>
          <t>Plan A (freezer)</t>
        </is>
      </c>
      <c r="I215" s="8" t="inlineStr">
        <is>
          <t>Holds 24 bagged cubes + 4 spare at the door</t>
        </is>
      </c>
    </row>
    <row r="216">
      <c r="A216" s="8" t="inlineStr">
        <is>
          <t>Week 6</t>
        </is>
      </c>
      <c r="B216" s="8" t="inlineStr">
        <is>
          <t>Year 7</t>
        </is>
      </c>
      <c r="C216" s="8" t="inlineStr">
        <is>
          <t>Ice-cube trays</t>
        </is>
      </c>
      <c r="D216" s="8" t="inlineStr">
        <is>
          <t>冰格</t>
        </is>
      </c>
      <c r="E216" s="9" t="n">
        <v>2</v>
      </c>
      <c r="F216" s="8" t="inlineStr">
        <is>
          <t>trays</t>
        </is>
      </c>
      <c r="G216" s="8" t="inlineStr">
        <is>
          <t>Buy: reusable</t>
        </is>
      </c>
      <c r="H216" s="8" t="inlineStr">
        <is>
          <t>Plan A (freezer)</t>
        </is>
      </c>
      <c r="I216" s="8" t="inlineStr">
        <is>
          <t>Freeze about 28 cubes the day before, filled to the same level</t>
        </is>
      </c>
    </row>
    <row r="217">
      <c r="A217" s="8" t="inlineStr">
        <is>
          <t>Week 6</t>
        </is>
      </c>
      <c r="B217" s="8" t="inlineStr">
        <is>
          <t>Year 7</t>
        </is>
      </c>
      <c r="C217" s="8" t="inlineStr">
        <is>
          <t>A3 paper, white, 80 gsm</t>
        </is>
      </c>
      <c r="D217" s="8" t="inlineStr">
        <is>
          <t>A3复印纸（白色，80克）</t>
        </is>
      </c>
      <c r="E217" s="9" t="n">
        <v>9</v>
      </c>
      <c r="F217" s="8" t="inlineStr">
        <is>
          <t>sheets</t>
        </is>
      </c>
      <c r="G217" s="8" t="inlineStr">
        <is>
          <t>Stationery and card</t>
        </is>
      </c>
      <c r="H217" s="8" t="inlineStr">
        <is>
          <t>Both plans</t>
        </is>
      </c>
      <c r="I217" s="8" t="inlineStr">
        <is>
          <t>Concept cartoon A3 board copy (1) + planning frames (8: 1 per group + 2 spares) if printed as A3 folded rather than two sides of A4</t>
        </is>
      </c>
    </row>
    <row r="218">
      <c r="A218" s="8" t="inlineStr">
        <is>
          <t>Week 6</t>
        </is>
      </c>
      <c r="B218" s="8" t="inlineStr">
        <is>
          <t>Year 7</t>
        </is>
      </c>
      <c r="C218" s="8" t="inlineStr">
        <is>
          <t>Group folders, A3</t>
        </is>
      </c>
      <c r="D218" s="8" t="inlineStr">
        <is>
          <t>A3文件夹（小组用）</t>
        </is>
      </c>
      <c r="E218" s="9" t="n">
        <v>6</v>
      </c>
      <c r="F218" s="8" t="inlineStr">
        <is>
          <t>folders</t>
        </is>
      </c>
      <c r="G218" s="8" t="inlineStr">
        <is>
          <t>Stationery and card</t>
        </is>
      </c>
      <c r="H218" s="8" t="inlineStr">
        <is>
          <t>Both plans</t>
        </is>
      </c>
      <c r="I218" s="8" t="inlineStr">
        <is>
          <t>Issued with the planning frame; teacher keeps them between lessons</t>
        </is>
      </c>
    </row>
    <row r="219">
      <c r="A219" s="8" t="inlineStr">
        <is>
          <t>Week 6</t>
        </is>
      </c>
      <c r="B219" s="8" t="inlineStr">
        <is>
          <t>Year 7</t>
        </is>
      </c>
      <c r="C219" s="8" t="inlineStr">
        <is>
          <t>Laminating pouches, A3</t>
        </is>
      </c>
      <c r="D219" s="8" t="inlineStr">
        <is>
          <t>塑封膜 A3</t>
        </is>
      </c>
      <c r="E219" s="9" t="n">
        <v>1</v>
      </c>
      <c r="F219" s="8" t="inlineStr">
        <is>
          <t>pouches</t>
        </is>
      </c>
      <c r="G219" s="8" t="inlineStr">
        <is>
          <t>Stationery and card</t>
        </is>
      </c>
      <c r="H219" s="8" t="inlineStr">
        <is>
          <t>Both plans</t>
        </is>
      </c>
      <c r="I219" s="8" t="inlineStr">
        <is>
          <t>Concept cartoon (snowman in a coat): 1 laminated A3 copy for the board</t>
        </is>
      </c>
    </row>
    <row r="220">
      <c r="A220" s="8" t="inlineStr">
        <is>
          <t>Week 6</t>
        </is>
      </c>
      <c r="B220" s="8" t="inlineStr">
        <is>
          <t>Year 7</t>
        </is>
      </c>
      <c r="C220" s="8" t="inlineStr">
        <is>
          <t>Permanent marker pens, black</t>
        </is>
      </c>
      <c r="D220" s="8" t="inlineStr">
        <is>
          <t>黑色油性记号笔</t>
        </is>
      </c>
      <c r="E220" s="9" t="n">
        <v>1</v>
      </c>
      <c r="F220" s="8" t="inlineStr">
        <is>
          <t>pens</t>
        </is>
      </c>
      <c r="G220" s="8" t="inlineStr">
        <is>
          <t>Stationery and card</t>
        </is>
      </c>
      <c r="H220" s="8" t="inlineStr">
        <is>
          <t>Both plans</t>
        </is>
      </c>
      <c r="I220" s="8" t="inlineStr">
        <is>
          <t>Label cups A to D (both plans); Plan B: mark the 150 ml line on 24 cups</t>
        </is>
      </c>
    </row>
    <row r="221">
      <c r="A221" s="8" t="inlineStr">
        <is>
          <t>Week 6</t>
        </is>
      </c>
      <c r="B221" s="8" t="inlineStr">
        <is>
          <t>Year 7</t>
        </is>
      </c>
      <c r="C221" s="8" t="inlineStr">
        <is>
          <t>Rubber bands (elastic bands)</t>
        </is>
      </c>
      <c r="D221" s="8" t="inlineStr">
        <is>
          <t>橡皮筋</t>
        </is>
      </c>
      <c r="E221" s="9" t="n">
        <v>36</v>
      </c>
      <c r="F221" s="8" t="inlineStr">
        <is>
          <t>bands</t>
        </is>
      </c>
      <c r="G221" s="8" t="inlineStr">
        <is>
          <t>Stationery and card</t>
        </is>
      </c>
      <c r="H221" s="8" t="inlineStr">
        <is>
          <t>Both plans</t>
        </is>
      </c>
      <c r="I221" s="8" t="inlineStr">
        <is>
          <t>Plan B: 6 per group = 36. Plan A: 3 + 2 spare per group = 30</t>
        </is>
      </c>
    </row>
    <row r="222">
      <c r="A222" s="8" t="inlineStr">
        <is>
          <t>Week 6</t>
        </is>
      </c>
      <c r="B222" s="8" t="inlineStr">
        <is>
          <t>Year 7</t>
        </is>
      </c>
      <c r="C222" s="8" t="inlineStr">
        <is>
          <t>Measuring cylinder, 100 ml or larger</t>
        </is>
      </c>
      <c r="D222" s="8" t="inlineStr">
        <is>
          <t>量筒 100毫升（或更大）</t>
        </is>
      </c>
      <c r="E222" s="9" t="n">
        <v>1</v>
      </c>
      <c r="F222" s="8" t="inlineStr">
        <is>
          <t>cylinders</t>
        </is>
      </c>
      <c r="G222" s="8" t="inlineStr">
        <is>
          <t>Prep room equipment</t>
        </is>
      </c>
      <c r="H222" s="8" t="inlineStr">
        <is>
          <t>Plan B (no freezer)</t>
        </is>
      </c>
      <c r="I222" s="8" t="inlineStr">
        <is>
          <t>Teacher marks the 150 ml line on 24 cups</t>
        </is>
      </c>
    </row>
    <row r="223">
      <c r="A223" s="8" t="inlineStr">
        <is>
          <t>Week 6</t>
        </is>
      </c>
      <c r="B223" s="8" t="inlineStr">
        <is>
          <t>Year 7</t>
        </is>
      </c>
      <c r="C223" s="8" t="inlineStr">
        <is>
          <t>Measuring cylinder, 25 ml</t>
        </is>
      </c>
      <c r="D223" s="8" t="inlineStr">
        <is>
          <t>量筒 25毫升</t>
        </is>
      </c>
      <c r="E223" s="9" t="n">
        <v>6</v>
      </c>
      <c r="F223" s="8" t="inlineStr">
        <is>
          <t>cylinders</t>
        </is>
      </c>
      <c r="G223" s="8" t="inlineStr">
        <is>
          <t>Prep room equipment</t>
        </is>
      </c>
      <c r="H223" s="8" t="inlineStr">
        <is>
          <t>Both plans</t>
        </is>
      </c>
      <c r="I223" s="8" t="inlineStr">
        <is>
          <t>Plan A only: 1 per group to read meltwater (Teacher Guide Week 5 row allows a kitchen scale instead)</t>
        </is>
      </c>
    </row>
    <row r="224">
      <c r="A224" s="8" t="inlineStr">
        <is>
          <t>Week 6</t>
        </is>
      </c>
      <c r="B224" s="8" t="inlineStr">
        <is>
          <t>Year 7</t>
        </is>
      </c>
      <c r="C224" s="8" t="inlineStr">
        <is>
          <t>Mop and bucket</t>
        </is>
      </c>
      <c r="D224" s="8" t="inlineStr">
        <is>
          <t>拖把和拖把桶</t>
        </is>
      </c>
      <c r="E224" s="9" t="n">
        <v>1</v>
      </c>
      <c r="F224" s="8" t="inlineStr">
        <is>
          <t>sets</t>
        </is>
      </c>
      <c r="G224" s="8" t="inlineStr">
        <is>
          <t>Prep room equipment</t>
        </is>
      </c>
      <c r="H224" s="8" t="inlineStr">
        <is>
          <t>Both plans</t>
        </is>
      </c>
      <c r="I224" s="8" t="inlineStr">
        <is>
          <t>Mop or a roll of paper towels</t>
        </is>
      </c>
    </row>
    <row r="225">
      <c r="A225" s="8" t="inlineStr">
        <is>
          <t>Week 6</t>
        </is>
      </c>
      <c r="B225" s="8" t="inlineStr">
        <is>
          <t>Year 7</t>
        </is>
      </c>
      <c r="C225" s="8" t="inlineStr">
        <is>
          <t>Plastic cups, clear, identical, about 250 ml</t>
        </is>
      </c>
      <c r="D225" s="8" t="inlineStr">
        <is>
          <t>透明塑料杯（同款，约250毫升）</t>
        </is>
      </c>
      <c r="E225" s="9" t="n">
        <v>30</v>
      </c>
      <c r="F225" s="8" t="inlineStr">
        <is>
          <t>cups</t>
        </is>
      </c>
      <c r="G225" s="8" t="inlineStr">
        <is>
          <t>Prep room equipment</t>
        </is>
      </c>
      <c r="H225" s="8" t="inlineStr">
        <is>
          <t>Both plans</t>
        </is>
      </c>
      <c r="I225" s="8" t="inlineStr">
        <is>
          <t>Plan A: 4 labelled A to D per group (24) + 1 cup per group for handing out the 4 bagged cubes (6; 24 if the hand-out cup is one of A to D). Plan B: 24 identical cups with a 150 ml line + 1 cup of room-temperature water for checking thermometers (25)</t>
        </is>
      </c>
    </row>
    <row r="226">
      <c r="A226" s="8" t="inlineStr">
        <is>
          <t>Week 6</t>
        </is>
      </c>
      <c r="B226" s="8" t="inlineStr">
        <is>
          <t>Year 7</t>
        </is>
      </c>
      <c r="C226" s="8" t="inlineStr">
        <is>
          <t>Stopwatch</t>
        </is>
      </c>
      <c r="D226" s="8" t="inlineStr">
        <is>
          <t>秒表</t>
        </is>
      </c>
      <c r="E226" s="9" t="n">
        <v>6</v>
      </c>
      <c r="F226" s="8" t="inlineStr">
        <is>
          <t>stopwatches</t>
        </is>
      </c>
      <c r="G226" s="8" t="inlineStr">
        <is>
          <t>Prep room equipment</t>
        </is>
      </c>
      <c r="H226" s="8" t="inlineStr">
        <is>
          <t>Both plans</t>
        </is>
      </c>
      <c r="I226" s="8" t="inlineStr">
        <is>
          <t>Plan B: 1 per group. Plan A: only needed if there is no wall clock visible to all</t>
        </is>
      </c>
    </row>
    <row r="227">
      <c r="A227" s="8" t="inlineStr">
        <is>
          <t>Week 6</t>
        </is>
      </c>
      <c r="B227" s="8" t="inlineStr">
        <is>
          <t>Year 7</t>
        </is>
      </c>
      <c r="C227" s="8" t="inlineStr">
        <is>
          <t>Thermometer, spirit or digital, -10 to 110 °C</t>
        </is>
      </c>
      <c r="D227" s="8" t="inlineStr">
        <is>
          <t>温度计（酒精或数显，-10至110°C）</t>
        </is>
      </c>
      <c r="E227" s="9" t="n">
        <v>7</v>
      </c>
      <c r="F227" s="8" t="inlineStr">
        <is>
          <t>thermometers</t>
        </is>
      </c>
      <c r="G227" s="8" t="inlineStr">
        <is>
          <t>Prep room equipment</t>
        </is>
      </c>
      <c r="H227" s="8" t="inlineStr">
        <is>
          <t>Plan B (no freezer)</t>
        </is>
      </c>
      <c r="I227" s="8" t="inlineStr">
        <is>
          <t>1 per group (6) + 1 spare for checking the jug</t>
        </is>
      </c>
    </row>
    <row r="228">
      <c r="A228" s="8" t="inlineStr">
        <is>
          <t>Week 6</t>
        </is>
      </c>
      <c r="B228" s="8" t="inlineStr">
        <is>
          <t>Year 7</t>
        </is>
      </c>
      <c r="C228" s="8" t="inlineStr">
        <is>
          <t>Trays, flat (kit trays)</t>
        </is>
      </c>
      <c r="D228" s="8" t="inlineStr">
        <is>
          <t>托盘（平底）</t>
        </is>
      </c>
      <c r="E228" s="9" t="n">
        <v>6</v>
      </c>
      <c r="F228" s="8" t="inlineStr">
        <is>
          <t>trays</t>
        </is>
      </c>
      <c r="G228" s="8" t="inlineStr">
        <is>
          <t>Prep room equipment</t>
        </is>
      </c>
      <c r="H228" s="8" t="inlineStr">
        <is>
          <t>Both plans</t>
        </is>
      </c>
      <c r="I228" s="8" t="inlineStr">
        <is>
          <t>1 kit tray per group (cups stand on it)</t>
        </is>
      </c>
    </row>
    <row r="229">
      <c r="A229" s="8" t="inlineStr">
        <is>
          <t>Week 6</t>
        </is>
      </c>
      <c r="B229" s="8" t="inlineStr">
        <is>
          <t>Year 7</t>
        </is>
      </c>
      <c r="C229" s="8" t="inlineStr">
        <is>
          <t>Electric kettle</t>
        </is>
      </c>
      <c r="D229" s="8" t="inlineStr">
        <is>
          <t>电水壶</t>
        </is>
      </c>
      <c r="E229" s="9" t="n">
        <v>1</v>
      </c>
      <c r="F229" s="8" t="inlineStr">
        <is>
          <t>kettles</t>
        </is>
      </c>
      <c r="G229" s="8" t="inlineStr">
        <is>
          <t>Canteen and kitchen</t>
        </is>
      </c>
      <c r="H229" s="8" t="inlineStr">
        <is>
          <t>Plan B (no freezer)</t>
        </is>
      </c>
      <c r="I229" s="8" t="inlineStr">
        <is>
          <t>Mix kettle water with cold tap water to about 50 °C</t>
        </is>
      </c>
    </row>
    <row r="230">
      <c r="A230" s="8" t="inlineStr">
        <is>
          <t>Week 6</t>
        </is>
      </c>
      <c r="B230" s="8" t="inlineStr">
        <is>
          <t>Year 7</t>
        </is>
      </c>
      <c r="C230" s="8" t="inlineStr">
        <is>
          <t>Freezer space</t>
        </is>
      </c>
      <c r="D230" s="8" t="inlineStr">
        <is>
          <t>冰柜空间</t>
        </is>
      </c>
      <c r="E230" s="9" t="n">
        <v>1</v>
      </c>
      <c r="F230" s="8" t="inlineStr">
        <is>
          <t>drawer</t>
        </is>
      </c>
      <c r="G230" s="8" t="inlineStr">
        <is>
          <t>Canteen and kitchen</t>
        </is>
      </c>
      <c r="H230" s="8" t="inlineStr">
        <is>
          <t>Plan A (freezer)</t>
        </is>
      </c>
      <c r="I230" s="8" t="inlineStr">
        <is>
          <t>Freeze two ice-cube trays the day before; keep bagged cubes until the lesson</t>
        </is>
      </c>
    </row>
    <row r="231">
      <c r="A231" s="8" t="inlineStr">
        <is>
          <t>Week 6</t>
        </is>
      </c>
      <c r="B231" s="8" t="inlineStr">
        <is>
          <t>Year 7</t>
        </is>
      </c>
      <c r="C231" s="8" t="inlineStr">
        <is>
          <t>Ice cubes</t>
        </is>
      </c>
      <c r="D231" s="8" t="inlineStr">
        <is>
          <t>冰块</t>
        </is>
      </c>
      <c r="E231" s="9" t="n">
        <v>28</v>
      </c>
      <c r="F231" s="8" t="inlineStr">
        <is>
          <t>cubes</t>
        </is>
      </c>
      <c r="G231" s="8" t="inlineStr">
        <is>
          <t>Canteen and kitchen</t>
        </is>
      </c>
      <c r="H231" s="8" t="inlineStr">
        <is>
          <t>Plan A (freezer)</t>
        </is>
      </c>
      <c r="I231" s="8" t="inlineStr">
        <is>
          <t>4 per group (24) + 4 spare</t>
        </is>
      </c>
    </row>
    <row r="232">
      <c r="A232" s="8" t="inlineStr">
        <is>
          <t>Week 6</t>
        </is>
      </c>
      <c r="B232" s="8" t="inlineStr">
        <is>
          <t>Year 7</t>
        </is>
      </c>
      <c r="C232" s="8" t="inlineStr">
        <is>
          <t>Jugs, plastic, about 2 litres</t>
        </is>
      </c>
      <c r="D232" s="8" t="inlineStr">
        <is>
          <t>塑料水壶（约2升）</t>
        </is>
      </c>
      <c r="E232" s="9" t="n">
        <v>2</v>
      </c>
      <c r="F232" s="8" t="inlineStr">
        <is>
          <t>jugs</t>
        </is>
      </c>
      <c r="G232" s="8" t="inlineStr">
        <is>
          <t>Canteen and kitchen</t>
        </is>
      </c>
      <c r="H232" s="8" t="inlineStr">
        <is>
          <t>Both plans</t>
        </is>
      </c>
      <c r="I232" s="8" t="inlineStr">
        <is>
          <t>Plan B only: large jug (at least 2 litres) + a second jug or flask for the warm water</t>
        </is>
      </c>
    </row>
    <row r="233">
      <c r="A233" s="8" t="inlineStr">
        <is>
          <t>Week 6</t>
        </is>
      </c>
      <c r="B233" s="8" t="inlineStr">
        <is>
          <t>Year 7</t>
        </is>
      </c>
      <c r="C233" s="8" t="inlineStr">
        <is>
          <t>Bubble wrap</t>
        </is>
      </c>
      <c r="D233" s="8" t="inlineStr">
        <is>
          <t>气泡膜</t>
        </is>
      </c>
      <c r="E233" s="9" t="n">
        <v>6</v>
      </c>
      <c r="F233" s="8" t="inlineStr">
        <is>
          <t>pieces</t>
        </is>
      </c>
      <c r="G233" s="8" t="inlineStr">
        <is>
          <t>Collect or borrow</t>
        </is>
      </c>
      <c r="H233" s="8" t="inlineStr">
        <is>
          <t>Both plans</t>
        </is>
      </c>
      <c r="I233" s="8" t="inlineStr">
        <is>
          <t>Set B groups (2, 4, 6). Plan B: 3 jackets 25 x 10 cm + 3 lids 10 x 10 cm. Plan A: 3 squares 15 x 15 cm. Dried for reuse</t>
        </is>
      </c>
    </row>
    <row r="234">
      <c r="A234" s="8" t="inlineStr">
        <is>
          <t>Week 6</t>
        </is>
      </c>
      <c r="B234" s="8" t="inlineStr">
        <is>
          <t>Year 7</t>
        </is>
      </c>
      <c r="C234" s="8" t="inlineStr">
        <is>
          <t>Fabric scraps, one type, same size</t>
        </is>
      </c>
      <c r="D234" s="8" t="inlineStr">
        <is>
          <t>布料碎片（同种布料、同样大小）</t>
        </is>
      </c>
      <c r="E234" s="9" t="n">
        <v>6</v>
      </c>
      <c r="F234" s="8" t="inlineStr">
        <is>
          <t>pieces</t>
        </is>
      </c>
      <c r="G234" s="8" t="inlineStr">
        <is>
          <t>Collect or borrow</t>
        </is>
      </c>
      <c r="H234" s="8" t="inlineStr">
        <is>
          <t>Both plans</t>
        </is>
      </c>
      <c r="I234" s="8" t="inlineStr">
        <is>
          <t>Set B groups (2, 4, 6). Plan B: 3 jackets 25 x 10 cm + 3 lids 10 x 10 cm. Plan A: 3 squares 15 x 15 cm. Dried for reuse</t>
        </is>
      </c>
    </row>
    <row r="235">
      <c r="A235" s="8" t="inlineStr">
        <is>
          <t>Week 6</t>
        </is>
      </c>
      <c r="B235" s="8" t="inlineStr">
        <is>
          <t>Year 7</t>
        </is>
      </c>
      <c r="C235" s="8" t="inlineStr">
        <is>
          <t>Newspaper</t>
        </is>
      </c>
      <c r="D235" s="8" t="inlineStr">
        <is>
          <t>报纸</t>
        </is>
      </c>
      <c r="E235" s="9" t="n">
        <v>12</v>
      </c>
      <c r="F235" s="8" t="inlineStr">
        <is>
          <t>pieces</t>
        </is>
      </c>
      <c r="G235" s="8" t="inlineStr">
        <is>
          <t>Collect or borrow</t>
        </is>
      </c>
      <c r="H235" s="8" t="inlineStr">
        <is>
          <t>Both plans</t>
        </is>
      </c>
      <c r="I235" s="8" t="inlineStr">
        <is>
          <t>All 6 groups. Plan B: 6 jackets 25 x 10 cm + 6 lids 10 x 10 cm. Plan A: 6 squares 15 x 15 cm. Wet newspaper goes in the bin</t>
        </is>
      </c>
    </row>
    <row r="236">
      <c r="A236" s="8" t="inlineStr">
        <is>
          <t>Week 6</t>
        </is>
      </c>
      <c r="B236" s="8" t="inlineStr">
        <is>
          <t>Year 7</t>
        </is>
      </c>
      <c r="C236" s="8" t="inlineStr">
        <is>
          <t>Bagged ice cubes</t>
        </is>
      </c>
      <c r="D236" s="8" t="inlineStr">
        <is>
          <t>袋装冰块</t>
        </is>
      </c>
      <c r="E236" s="9" t="n">
        <v>28</v>
      </c>
      <c r="F236" s="8" t="inlineStr">
        <is>
          <t>bagged cubes</t>
        </is>
      </c>
      <c r="G236" s="8" t="inlineStr">
        <is>
          <t>Teacher made</t>
        </is>
      </c>
      <c r="H236" s="8" t="inlineStr">
        <is>
          <t>Plan A (freezer)</t>
        </is>
      </c>
      <c r="I236" s="8" t="inlineStr">
        <is>
          <t>24 + 4 spare; made on the day, kept in the cool box or freezer</t>
        </is>
      </c>
    </row>
    <row r="237">
      <c r="A237" s="8" t="inlineStr">
        <is>
          <t>Week 6</t>
        </is>
      </c>
      <c r="B237" s="8" t="inlineStr">
        <is>
          <t>Year 7</t>
        </is>
      </c>
      <c r="C237" s="8" t="inlineStr">
        <is>
          <t>Cups marked with a 150 ml line</t>
        </is>
      </c>
      <c r="D237" s="8" t="inlineStr">
        <is>
          <t>标有150毫升刻线的杯子</t>
        </is>
      </c>
      <c r="E237" s="9" t="n">
        <v>24</v>
      </c>
      <c r="F237" s="8" t="inlineStr">
        <is>
          <t>cups</t>
        </is>
      </c>
      <c r="G237" s="8" t="inlineStr">
        <is>
          <t>Teacher made</t>
        </is>
      </c>
      <c r="H237" s="8" t="inlineStr">
        <is>
          <t>Plan B (no freezer)</t>
        </is>
      </c>
      <c r="I237" s="8" t="inlineStr">
        <is>
          <t>4 per group</t>
        </is>
      </c>
    </row>
    <row r="238">
      <c r="A238" s="8" t="inlineStr">
        <is>
          <t>Week 6</t>
        </is>
      </c>
      <c r="B238" s="8" t="inlineStr">
        <is>
          <t>Year 7</t>
        </is>
      </c>
      <c r="C238" s="8" t="inlineStr">
        <is>
          <t>Pre-cut insulation material sets</t>
        </is>
      </c>
      <c r="D238" s="8" t="inlineStr">
        <is>
          <t>预裁隔热材料套装</t>
        </is>
      </c>
      <c r="E238" s="9" t="n">
        <v>6</v>
      </c>
      <c r="F238" s="8" t="inlineStr">
        <is>
          <t>sets</t>
        </is>
      </c>
      <c r="G238" s="8" t="inlineStr">
        <is>
          <t>Teacher made</t>
        </is>
      </c>
      <c r="H238" s="8" t="inlineStr">
        <is>
          <t>Both plans</t>
        </is>
      </c>
      <c r="I238" s="8" t="inlineStr">
        <is>
          <t>One set of three materials per group, set out on trays by Set A and Set B</t>
        </is>
      </c>
    </row>
    <row r="239">
      <c r="A239" s="8" t="inlineStr">
        <is>
          <t>Week 6</t>
        </is>
      </c>
      <c r="B239" s="8" t="inlineStr">
        <is>
          <t>Year 7</t>
        </is>
      </c>
      <c r="C239" s="8" t="inlineStr">
        <is>
          <t>Warm water, about 50 to 60 °C (teacher-prepared)</t>
        </is>
      </c>
      <c r="D239" s="8" t="inlineStr">
        <is>
          <t>温水（约50至60°C，教师配制）</t>
        </is>
      </c>
      <c r="E239" s="9" t="n">
        <v>3.6</v>
      </c>
      <c r="F239" s="8" t="inlineStr">
        <is>
          <t>litres</t>
        </is>
      </c>
      <c r="G239" s="8" t="inlineStr">
        <is>
          <t>Teacher made</t>
        </is>
      </c>
      <c r="H239" s="8" t="inlineStr">
        <is>
          <t>Plan B (no freezer)</t>
        </is>
      </c>
      <c r="I239" s="8" t="inlineStr">
        <is>
          <t>150 ml into each of 24 cups, poured by the teacher during the Hook</t>
        </is>
      </c>
    </row>
    <row r="240">
      <c r="A240" s="8" t="inlineStr">
        <is>
          <t>Week 6</t>
        </is>
      </c>
      <c r="B240" s="8" t="inlineStr">
        <is>
          <t>Year 8</t>
        </is>
      </c>
      <c r="C240" s="8" t="inlineStr">
        <is>
          <t>Height charts, paper, for the wall, 130 to 190 cm</t>
        </is>
      </c>
      <c r="D240" s="8" t="inlineStr">
        <is>
          <t>纸质身高表（墙贴，130至190厘米）</t>
        </is>
      </c>
      <c r="E240" s="9" t="n">
        <v>3</v>
      </c>
      <c r="F240" s="8" t="inlineStr">
        <is>
          <t>charts</t>
        </is>
      </c>
      <c r="G240" s="8" t="inlineStr">
        <is>
          <t>Buy: reusable</t>
        </is>
      </c>
      <c r="H240" s="8" t="inlineStr">
        <is>
          <t>Both plans</t>
        </is>
      </c>
      <c r="I240" s="8" t="inlineStr">
        <is>
          <t>2 or 3 height stations on clear wall space away from doors (alternative: upright metre stick with marked masking tape); leave up if Year 7 or 9 need them</t>
        </is>
      </c>
    </row>
    <row r="241">
      <c r="A241" s="8" t="inlineStr">
        <is>
          <t>Week 6</t>
        </is>
      </c>
      <c r="B241" s="8" t="inlineStr">
        <is>
          <t>Year 8</t>
        </is>
      </c>
      <c r="C241" s="8" t="inlineStr">
        <is>
          <t>Laminating pouches, A5</t>
        </is>
      </c>
      <c r="D241" s="8" t="inlineStr">
        <is>
          <t>塑封膜 A5</t>
        </is>
      </c>
      <c r="E241" s="9" t="n">
        <v>7</v>
      </c>
      <c r="F241" s="8" t="inlineStr">
        <is>
          <t>pouches</t>
        </is>
      </c>
      <c r="G241" s="8" t="inlineStr">
        <is>
          <t>Stationery and card</t>
        </is>
      </c>
      <c r="H241" s="8" t="inlineStr">
        <is>
          <t>Both plans</t>
        </is>
      </c>
      <c r="I241" s="8" t="inlineStr">
        <is>
          <t>Sample class data cards, 1 per group plus 1 for the teacher, laminated if possible</t>
        </is>
      </c>
    </row>
    <row r="242">
      <c r="A242" s="8" t="inlineStr">
        <is>
          <t>Week 6</t>
        </is>
      </c>
      <c r="B242" s="8" t="inlineStr">
        <is>
          <t>Year 8</t>
        </is>
      </c>
      <c r="C242" s="8" t="inlineStr">
        <is>
          <t>Masking tape</t>
        </is>
      </c>
      <c r="D242" s="8" t="inlineStr">
        <is>
          <t>美纹纸胶带</t>
        </is>
      </c>
      <c r="E242" s="9" t="n">
        <v>1</v>
      </c>
      <c r="F242" s="8" t="inlineStr">
        <is>
          <t>roll</t>
        </is>
      </c>
      <c r="G242" s="8" t="inlineStr">
        <is>
          <t>Stationery and card</t>
        </is>
      </c>
      <c r="H242" s="8" t="inlineStr">
        <is>
          <t>Both plans</t>
        </is>
      </c>
      <c r="I242" s="8" t="inlineStr">
        <is>
          <t>Height stations: tape paper height charts to the wall, or a strip on an upright metre stick marked every centimetre from 100 to 200 cm</t>
        </is>
      </c>
    </row>
    <row r="243">
      <c r="A243" s="8" t="inlineStr">
        <is>
          <t>Week 6</t>
        </is>
      </c>
      <c r="B243" s="8" t="inlineStr">
        <is>
          <t>Year 8</t>
        </is>
      </c>
      <c r="C243" s="8" t="inlineStr">
        <is>
          <t>Pencils, HB</t>
        </is>
      </c>
      <c r="D243" s="8" t="inlineStr">
        <is>
          <t>铅笔（HB）</t>
        </is>
      </c>
      <c r="E243" s="9" t="n">
        <v>24</v>
      </c>
      <c r="F243" s="8" t="inlineStr">
        <is>
          <t>pencils</t>
        </is>
      </c>
      <c r="G243" s="8" t="inlineStr">
        <is>
          <t>Stationery and card</t>
        </is>
      </c>
      <c r="H243" s="8" t="inlineStr">
        <is>
          <t>Both plans</t>
        </is>
      </c>
      <c r="I243" s="8" t="inlineStr">
        <is>
          <t>Sharp pencils, 4 per group, for plotting the scatter graph</t>
        </is>
      </c>
    </row>
    <row r="244">
      <c r="A244" s="8" t="inlineStr">
        <is>
          <t>Week 6</t>
        </is>
      </c>
      <c r="B244" s="8" t="inlineStr">
        <is>
          <t>Year 8</t>
        </is>
      </c>
      <c r="C244" s="8" t="inlineStr">
        <is>
          <t>Scene footprint print, true size (24 cm), A4</t>
        </is>
      </c>
      <c r="D244" s="8" t="inlineStr">
        <is>
          <t>现场脚印打印图（实际尺寸，24厘米）A4</t>
        </is>
      </c>
      <c r="E244" s="9" t="n">
        <v>7</v>
      </c>
      <c r="F244" s="8" t="inlineStr">
        <is>
          <t>prints</t>
        </is>
      </c>
      <c r="G244" s="8" t="inlineStr">
        <is>
          <t>Stationery and card</t>
        </is>
      </c>
      <c r="H244" s="8" t="inlineStr">
        <is>
          <t>Both plans</t>
        </is>
      </c>
      <c r="I244" s="8" t="inlineStr">
        <is>
          <t>1 per group plus 1 for the scene table and the teacher's Hook</t>
        </is>
      </c>
    </row>
    <row r="245">
      <c r="A245" s="8" t="inlineStr">
        <is>
          <t>Week 6</t>
        </is>
      </c>
      <c r="B245" s="8" t="inlineStr">
        <is>
          <t>Year 8</t>
        </is>
      </c>
      <c r="C245" s="8" t="inlineStr">
        <is>
          <t>Metre stick</t>
        </is>
      </c>
      <c r="D245" s="8" t="inlineStr">
        <is>
          <t>米尺（1米）</t>
        </is>
      </c>
      <c r="E245" s="9" t="n">
        <v>7</v>
      </c>
      <c r="F245" s="8" t="inlineStr">
        <is>
          <t>metre sticks or tape measures</t>
        </is>
      </c>
      <c r="G245" s="8" t="inlineStr">
        <is>
          <t>Prep room equipment</t>
        </is>
      </c>
      <c r="H245" s="8" t="inlineStr">
        <is>
          <t>Both plans</t>
        </is>
      </c>
      <c r="I245" s="8" t="inlineStr">
        <is>
          <t>1 per group plus 1 for the teacher's Hook demo; add up to 3 more if the height stations use upright metre sticks</t>
        </is>
      </c>
    </row>
    <row r="246">
      <c r="A246" s="8" t="inlineStr">
        <is>
          <t>Week 6</t>
        </is>
      </c>
      <c r="B246" s="8" t="inlineStr">
        <is>
          <t>Year 8</t>
        </is>
      </c>
      <c r="C246" s="8" t="inlineStr">
        <is>
          <t>Ruler, 30 cm</t>
        </is>
      </c>
      <c r="D246" s="8" t="inlineStr">
        <is>
          <t>直尺 30厘米</t>
        </is>
      </c>
      <c r="E246" s="9" t="n">
        <v>12</v>
      </c>
      <c r="F246" s="8" t="inlineStr">
        <is>
          <t>rulers</t>
        </is>
      </c>
      <c r="G246" s="8" t="inlineStr">
        <is>
          <t>Prep room equipment</t>
        </is>
      </c>
      <c r="H246" s="8" t="inlineStr">
        <is>
          <t>Both plans</t>
        </is>
      </c>
      <c r="I246" s="8" t="inlineStr">
        <is>
          <t>2 per group; the teacher also checks each footprint print measures 24 cm</t>
        </is>
      </c>
    </row>
    <row r="247">
      <c r="A247" s="8" t="inlineStr">
        <is>
          <t>Week 6</t>
        </is>
      </c>
      <c r="B247" s="8" t="inlineStr">
        <is>
          <t>Year 8</t>
        </is>
      </c>
      <c r="C247" s="8" t="inlineStr">
        <is>
          <t>Trays, flat (kit trays)</t>
        </is>
      </c>
      <c r="D247" s="8" t="inlineStr">
        <is>
          <t>托盘（平底）</t>
        </is>
      </c>
      <c r="E247" s="9" t="n">
        <v>6</v>
      </c>
      <c r="F247" s="8" t="inlineStr">
        <is>
          <t>trays</t>
        </is>
      </c>
      <c r="G247" s="8" t="inlineStr">
        <is>
          <t>Prep room equipment</t>
        </is>
      </c>
      <c r="H247" s="8" t="inlineStr">
        <is>
          <t>Both plans</t>
        </is>
      </c>
      <c r="I247" s="8" t="inlineStr">
        <is>
          <t>1 per group (rulers and metre sticks counted back in)</t>
        </is>
      </c>
    </row>
    <row r="248">
      <c r="A248" s="8" t="inlineStr">
        <is>
          <t>Week 6</t>
        </is>
      </c>
      <c r="B248" s="8" t="inlineStr">
        <is>
          <t>Year 8</t>
        </is>
      </c>
      <c r="C248" s="8" t="inlineStr">
        <is>
          <t>Hardback books, flat cover, about A4</t>
        </is>
      </c>
      <c r="D248" s="8" t="inlineStr">
        <is>
          <t>精装书（硬封面，约A4）</t>
        </is>
      </c>
      <c r="E248" s="9" t="n">
        <v>6</v>
      </c>
      <c r="F248" s="8" t="inlineStr">
        <is>
          <t>books</t>
        </is>
      </c>
      <c r="G248" s="8" t="inlineStr">
        <is>
          <t>Collect or borrow</t>
        </is>
      </c>
      <c r="H248" s="8" t="inlineStr">
        <is>
          <t>Both plans</t>
        </is>
      </c>
      <c r="I248" s="8" t="inlineStr">
        <is>
          <t>1 per group, held flat on the head to read height</t>
        </is>
      </c>
    </row>
    <row r="249">
      <c r="A249" s="8" t="inlineStr">
        <is>
          <t>Week 6</t>
        </is>
      </c>
      <c r="B249" s="8" t="inlineStr">
        <is>
          <t>Year 8</t>
        </is>
      </c>
      <c r="C249" s="8" t="inlineStr">
        <is>
          <t>Height measuring stations</t>
        </is>
      </c>
      <c r="D249" s="8" t="inlineStr">
        <is>
          <t>身高测量站</t>
        </is>
      </c>
      <c r="E249" s="9" t="n">
        <v>3</v>
      </c>
      <c r="F249" s="8" t="inlineStr">
        <is>
          <t>stations</t>
        </is>
      </c>
      <c r="G249" s="8" t="inlineStr">
        <is>
          <t>Teacher made</t>
        </is>
      </c>
      <c r="H249" s="8" t="inlineStr">
        <is>
          <t>Both plans</t>
        </is>
      </c>
      <c r="I249" s="8" t="inlineStr">
        <is>
          <t>2 or 3 on clear wall space away from doors. Ingredients: paper height charts or metre sticks, masking tape, height station signs (ordinary print)</t>
        </is>
      </c>
    </row>
    <row r="250">
      <c r="A250" s="8" t="inlineStr">
        <is>
          <t>Week 6</t>
        </is>
      </c>
      <c r="B250" s="8" t="inlineStr">
        <is>
          <t>Year 9</t>
        </is>
      </c>
      <c r="C250" s="8" t="inlineStr">
        <is>
          <t>Disposable gloves</t>
        </is>
      </c>
      <c r="D250" s="8" t="inlineStr">
        <is>
          <t>一次性手套</t>
        </is>
      </c>
      <c r="E250" s="9" t="n">
        <v>12</v>
      </c>
      <c r="F250" s="8" t="inlineStr">
        <is>
          <t>pairs</t>
        </is>
      </c>
      <c r="G250" s="8" t="inlineStr">
        <is>
          <t>Buy: used up</t>
        </is>
      </c>
      <c r="H250" s="8" t="inlineStr">
        <is>
          <t>Plan A (freezer)</t>
        </is>
      </c>
      <c r="I250" s="8" t="inlineStr">
        <is>
          <t>Plan A: 2 pairs per group (Measurer and Safety Officer), plus spares on the teacher's desk (no number given)</t>
        </is>
      </c>
    </row>
    <row r="251">
      <c r="A251" s="8" t="inlineStr">
        <is>
          <t>Week 6</t>
        </is>
      </c>
      <c r="B251" s="8" t="inlineStr">
        <is>
          <t>Year 9</t>
        </is>
      </c>
      <c r="C251" s="8" t="inlineStr">
        <is>
          <t>Freezer bags, strong</t>
        </is>
      </c>
      <c r="D251" s="8" t="inlineStr">
        <is>
          <t>冷冻袋（加厚）</t>
        </is>
      </c>
      <c r="E251" s="9" t="n">
        <v>1</v>
      </c>
      <c r="F251" s="8" t="inlineStr">
        <is>
          <t>bag</t>
        </is>
      </c>
      <c r="G251" s="8" t="inlineStr">
        <is>
          <t>Buy: used up</t>
        </is>
      </c>
      <c r="H251" s="8" t="inlineStr">
        <is>
          <t>Plan A (freezer)</t>
        </is>
      </c>
      <c r="I251" s="8" t="inlineStr">
        <is>
          <t>For crushing the ice</t>
        </is>
      </c>
    </row>
    <row r="252">
      <c r="A252" s="8" t="inlineStr">
        <is>
          <t>Week 6</t>
        </is>
      </c>
      <c r="B252" s="8" t="inlineStr">
        <is>
          <t>Year 9</t>
        </is>
      </c>
      <c r="C252" s="8" t="inlineStr">
        <is>
          <t>Kitchen roll (shop-bought paper towels)</t>
        </is>
      </c>
      <c r="D252" s="8" t="inlineStr">
        <is>
          <t>厨房纸（卷筒）</t>
        </is>
      </c>
      <c r="E252" s="9" t="n">
        <v>6</v>
      </c>
      <c r="F252" s="8" t="inlineStr">
        <is>
          <t>group supplies</t>
        </is>
      </c>
      <c r="G252" s="8" t="inlineStr">
        <is>
          <t>Buy: used up</t>
        </is>
      </c>
      <c r="H252" s="8" t="inlineStr">
        <is>
          <t>Both plans</t>
        </is>
      </c>
      <c r="I252" s="8" t="inlineStr">
        <is>
          <t>One supply per group</t>
        </is>
      </c>
    </row>
    <row r="253">
      <c r="A253" s="8" t="inlineStr">
        <is>
          <t>Week 6</t>
        </is>
      </c>
      <c r="B253" s="8" t="inlineStr">
        <is>
          <t>Year 9</t>
        </is>
      </c>
      <c r="C253" s="8" t="inlineStr">
        <is>
          <t>Cool box, insulated, with lid</t>
        </is>
      </c>
      <c r="D253" s="8" t="inlineStr">
        <is>
          <t>保温箱（带盖）</t>
        </is>
      </c>
      <c r="E253" s="9" t="n">
        <v>1</v>
      </c>
      <c r="F253" s="8" t="inlineStr">
        <is>
          <t>box</t>
        </is>
      </c>
      <c r="G253" s="8" t="inlineStr">
        <is>
          <t>Buy: reusable</t>
        </is>
      </c>
      <c r="H253" s="8" t="inlineStr">
        <is>
          <t>Plan A (freezer)</t>
        </is>
      </c>
      <c r="I253" s="8" t="inlineStr">
        <is>
          <t>Holds the ice for the day</t>
        </is>
      </c>
    </row>
    <row r="254">
      <c r="A254" s="8" t="inlineStr">
        <is>
          <t>Week 6</t>
        </is>
      </c>
      <c r="B254" s="8" t="inlineStr">
        <is>
          <t>Year 9</t>
        </is>
      </c>
      <c r="C254" s="8" t="inlineStr">
        <is>
          <t>Polystyrene cups (insulated foam cups)</t>
        </is>
      </c>
      <c r="D254" s="8" t="inlineStr">
        <is>
          <t>泡沫杯（聚苯乙烯，隔热）</t>
        </is>
      </c>
      <c r="E254" s="9" t="n">
        <v>6</v>
      </c>
      <c r="F254" s="8" t="inlineStr">
        <is>
          <t>cups</t>
        </is>
      </c>
      <c r="G254" s="8" t="inlineStr">
        <is>
          <t>Buy: reusable</t>
        </is>
      </c>
      <c r="H254" s="8" t="inlineStr">
        <is>
          <t>Plan A (freezer)</t>
        </is>
      </c>
      <c r="I254" s="8" t="inlineStr">
        <is>
          <t>Plan A: 1 per group, filled with freezing mixture by the teacher</t>
        </is>
      </c>
    </row>
    <row r="255">
      <c r="A255" s="8" t="inlineStr">
        <is>
          <t>Week 6</t>
        </is>
      </c>
      <c r="B255" s="8" t="inlineStr">
        <is>
          <t>Year 9</t>
        </is>
      </c>
      <c r="C255" s="8" t="inlineStr">
        <is>
          <t>A3 paper, white, 80 gsm</t>
        </is>
      </c>
      <c r="D255" s="8" t="inlineStr">
        <is>
          <t>A3复印纸（白色，80克）</t>
        </is>
      </c>
      <c r="E255" s="9" t="n">
        <v>2</v>
      </c>
      <c r="F255" s="8" t="inlineStr">
        <is>
          <t>sheets</t>
        </is>
      </c>
      <c r="G255" s="8" t="inlineStr">
        <is>
          <t>Stationery and card</t>
        </is>
      </c>
      <c r="H255" s="8" t="inlineStr">
        <is>
          <t>Both plans</t>
        </is>
      </c>
      <c r="I255" s="8" t="inlineStr">
        <is>
          <t>Class results board. Print both versions (Plan A and Plan B) and use the one that matches your plan</t>
        </is>
      </c>
    </row>
    <row r="256">
      <c r="A256" s="8" t="inlineStr">
        <is>
          <t>Week 6</t>
        </is>
      </c>
      <c r="B256" s="8" t="inlineStr">
        <is>
          <t>Year 9</t>
        </is>
      </c>
      <c r="C256" s="8" t="inlineStr">
        <is>
          <t>Laminating pouches, A5</t>
        </is>
      </c>
      <c r="D256" s="8" t="inlineStr">
        <is>
          <t>塑封膜 A5</t>
        </is>
      </c>
      <c r="E256" s="9" t="n">
        <v>6</v>
      </c>
      <c r="F256" s="8" t="inlineStr">
        <is>
          <t>pouches</t>
        </is>
      </c>
      <c r="G256" s="8" t="inlineStr">
        <is>
          <t>Stationery and card</t>
        </is>
      </c>
      <c r="H256" s="8" t="inlineStr">
        <is>
          <t>Both plans</t>
        </is>
      </c>
      <c r="I256" s="8" t="inlineStr">
        <is>
          <t>Method cards for the plan you are running (Plan A or Plan B). Use 12 pouches if you want to laminate both sets</t>
        </is>
      </c>
    </row>
    <row r="257">
      <c r="A257" s="8" t="inlineStr">
        <is>
          <t>Week 6</t>
        </is>
      </c>
      <c r="B257" s="8" t="inlineStr">
        <is>
          <t>Year 9</t>
        </is>
      </c>
      <c r="C257" s="8" t="inlineStr">
        <is>
          <t>Bucket, plastic</t>
        </is>
      </c>
      <c r="D257" s="8" t="inlineStr">
        <is>
          <t>塑料水桶</t>
        </is>
      </c>
      <c r="E257" s="9" t="n">
        <v>1</v>
      </c>
      <c r="F257" s="8" t="inlineStr">
        <is>
          <t>bucket</t>
        </is>
      </c>
      <c r="G257" s="8" t="inlineStr">
        <is>
          <t>Prep room equipment</t>
        </is>
      </c>
      <c r="H257" s="8" t="inlineStr">
        <is>
          <t>Both plans</t>
        </is>
      </c>
      <c r="I257" s="8" t="inlineStr">
        <is>
          <t>Plan A: for the used freezing mixture</t>
        </is>
      </c>
    </row>
    <row r="258">
      <c r="A258" s="8" t="inlineStr">
        <is>
          <t>Week 6</t>
        </is>
      </c>
      <c r="B258" s="8" t="inlineStr">
        <is>
          <t>Year 9</t>
        </is>
      </c>
      <c r="C258" s="8" t="inlineStr">
        <is>
          <t>Measuring jug, 100 ml</t>
        </is>
      </c>
      <c r="D258" s="8" t="inlineStr">
        <is>
          <t>量杯 100毫升</t>
        </is>
      </c>
      <c r="E258" s="9" t="n">
        <v>1</v>
      </c>
      <c r="F258" s="8" t="inlineStr">
        <is>
          <t>jug</t>
        </is>
      </c>
      <c r="G258" s="8" t="inlineStr">
        <is>
          <t>Prep room equipment</t>
        </is>
      </c>
      <c r="H258" s="8" t="inlineStr">
        <is>
          <t>Plan B (no freezer)</t>
        </is>
      </c>
      <c r="I258" s="8" t="inlineStr">
        <is>
          <t>Plan B: teacher measures 100 ml into each cup</t>
        </is>
      </c>
    </row>
    <row r="259">
      <c r="A259" s="8" t="inlineStr">
        <is>
          <t>Week 6</t>
        </is>
      </c>
      <c r="B259" s="8" t="inlineStr">
        <is>
          <t>Year 9</t>
        </is>
      </c>
      <c r="C259" s="8" t="inlineStr">
        <is>
          <t>Plastic cups, clear, identical, about 250 ml</t>
        </is>
      </c>
      <c r="D259" s="8" t="inlineStr">
        <is>
          <t>透明塑料杯（同款，约250毫升）</t>
        </is>
      </c>
      <c r="E259" s="9" t="n">
        <v>12</v>
      </c>
      <c r="F259" s="8" t="inlineStr">
        <is>
          <t>cups</t>
        </is>
      </c>
      <c r="G259" s="8" t="inlineStr">
        <is>
          <t>Prep room equipment</t>
        </is>
      </c>
      <c r="H259" s="8" t="inlineStr">
        <is>
          <t>Both plans</t>
        </is>
      </c>
      <c r="I259" s="8" t="inlineStr">
        <is>
          <t>Plan B: 2 per group, labelled H and W. Plan A needs 6 (one cup of cool tap water per group), plus 12 if you nest two cups instead of using a polystyrene cup, plus 6 as tube stands if there is no rack</t>
        </is>
      </c>
    </row>
    <row r="260">
      <c r="A260" s="8" t="inlineStr">
        <is>
          <t>Week 6</t>
        </is>
      </c>
      <c r="B260" s="8" t="inlineStr">
        <is>
          <t>Year 9</t>
        </is>
      </c>
      <c r="C260" s="8" t="inlineStr">
        <is>
          <t>Plastic syringe, 10 ml, no needle</t>
        </is>
      </c>
      <c r="D260" s="8" t="inlineStr">
        <is>
          <t>塑料注射器 10毫升（无针头）</t>
        </is>
      </c>
      <c r="E260" s="9" t="n">
        <v>7</v>
      </c>
      <c r="F260" s="8" t="inlineStr">
        <is>
          <t>syringes</t>
        </is>
      </c>
      <c r="G260" s="8" t="inlineStr">
        <is>
          <t>Prep room equipment</t>
        </is>
      </c>
      <c r="H260" s="8" t="inlineStr">
        <is>
          <t>Plan A (freezer)</t>
        </is>
      </c>
      <c r="I260" s="8" t="inlineStr">
        <is>
          <t>Plan A: 1 per group for the C tubes, plus 1 for the teacher to fill the H tubes</t>
        </is>
      </c>
    </row>
    <row r="261">
      <c r="A261" s="8" t="inlineStr">
        <is>
          <t>Week 6</t>
        </is>
      </c>
      <c r="B261" s="8" t="inlineStr">
        <is>
          <t>Year 9</t>
        </is>
      </c>
      <c r="C261" s="8" t="inlineStr">
        <is>
          <t>Safety goggles</t>
        </is>
      </c>
      <c r="D261" s="8" t="inlineStr">
        <is>
          <t>护目镜</t>
        </is>
      </c>
      <c r="E261" s="9" t="n">
        <v>24</v>
      </c>
      <c r="F261" s="8" t="inlineStr">
        <is>
          <t>pairs</t>
        </is>
      </c>
      <c r="G261" s="8" t="inlineStr">
        <is>
          <t>Prep room equipment</t>
        </is>
      </c>
      <c r="H261" s="8" t="inlineStr">
        <is>
          <t>Plan A (freezer)</t>
        </is>
      </c>
      <c r="I261" s="8" t="inlineStr">
        <is>
          <t>Plan A: 4 per group</t>
        </is>
      </c>
    </row>
    <row r="262">
      <c r="A262" s="8" t="inlineStr">
        <is>
          <t>Week 6</t>
        </is>
      </c>
      <c r="B262" s="8" t="inlineStr">
        <is>
          <t>Year 9</t>
        </is>
      </c>
      <c r="C262" s="8" t="inlineStr">
        <is>
          <t>Stopwatch</t>
        </is>
      </c>
      <c r="D262" s="8" t="inlineStr">
        <is>
          <t>秒表</t>
        </is>
      </c>
      <c r="E262" s="9" t="n">
        <v>6</v>
      </c>
      <c r="F262" s="8" t="inlineStr">
        <is>
          <t>stopwatches</t>
        </is>
      </c>
      <c r="G262" s="8" t="inlineStr">
        <is>
          <t>Prep room equipment</t>
        </is>
      </c>
      <c r="H262" s="8" t="inlineStr">
        <is>
          <t>Both plans</t>
        </is>
      </c>
      <c r="I262" s="8" t="inlineStr">
        <is>
          <t>1 per group, in both plans</t>
        </is>
      </c>
    </row>
    <row r="263">
      <c r="A263" s="8" t="inlineStr">
        <is>
          <t>Week 6</t>
        </is>
      </c>
      <c r="B263" s="8" t="inlineStr">
        <is>
          <t>Year 9</t>
        </is>
      </c>
      <c r="C263" s="8" t="inlineStr">
        <is>
          <t>Test tubes, small, plastic if possible</t>
        </is>
      </c>
      <c r="D263" s="8" t="inlineStr">
        <is>
          <t>小试管（尽量用塑料）</t>
        </is>
      </c>
      <c r="E263" s="9" t="n">
        <v>24</v>
      </c>
      <c r="F263" s="8" t="inlineStr">
        <is>
          <t>tubes</t>
        </is>
      </c>
      <c r="G263" s="8" t="inlineStr">
        <is>
          <t>Prep room equipment</t>
        </is>
      </c>
      <c r="H263" s="8" t="inlineStr">
        <is>
          <t>Plan A (freezer)</t>
        </is>
      </c>
      <c r="I263" s="8" t="inlineStr">
        <is>
          <t>Plan A: 4 per group (H1, C1, H2, C2). The Teacher Guide says 12 to 24; the kit card says 24</t>
        </is>
      </c>
    </row>
    <row r="264">
      <c r="A264" s="8" t="inlineStr">
        <is>
          <t>Week 6</t>
        </is>
      </c>
      <c r="B264" s="8" t="inlineStr">
        <is>
          <t>Year 9</t>
        </is>
      </c>
      <c r="C264" s="8" t="inlineStr">
        <is>
          <t>Test-tube rack</t>
        </is>
      </c>
      <c r="D264" s="8" t="inlineStr">
        <is>
          <t>试管架</t>
        </is>
      </c>
      <c r="E264" s="9" t="n">
        <v>6</v>
      </c>
      <c r="F264" s="8" t="inlineStr">
        <is>
          <t>racks</t>
        </is>
      </c>
      <c r="G264" s="8" t="inlineStr">
        <is>
          <t>Prep room equipment</t>
        </is>
      </c>
      <c r="H264" s="8" t="inlineStr">
        <is>
          <t>Plan A (freezer)</t>
        </is>
      </c>
      <c r="I264" s="8" t="inlineStr">
        <is>
          <t>Plan A: 1 per group, to stand the tubes in</t>
        </is>
      </c>
    </row>
    <row r="265">
      <c r="A265" s="8" t="inlineStr">
        <is>
          <t>Week 6</t>
        </is>
      </c>
      <c r="B265" s="8" t="inlineStr">
        <is>
          <t>Year 9</t>
        </is>
      </c>
      <c r="C265" s="8" t="inlineStr">
        <is>
          <t>Thermometer, spirit or digital, -10 to 110 °C</t>
        </is>
      </c>
      <c r="D265" s="8" t="inlineStr">
        <is>
          <t>温度计（酒精或数显，-10至110°C）</t>
        </is>
      </c>
      <c r="E265" s="9" t="n">
        <v>13</v>
      </c>
      <c r="F265" s="8" t="inlineStr">
        <is>
          <t>thermometers</t>
        </is>
      </c>
      <c r="G265" s="8" t="inlineStr">
        <is>
          <t>Prep room equipment</t>
        </is>
      </c>
      <c r="H265" s="8" t="inlineStr">
        <is>
          <t>Both plans</t>
        </is>
      </c>
      <c r="I265" s="8" t="inlineStr">
        <is>
          <t>2 per group in both plans, plus 1 teacher spare for checking the warm water. With only 6, each group measures one tube or cup and pairs of groups compare</t>
        </is>
      </c>
    </row>
    <row r="266">
      <c r="A266" s="8" t="inlineStr">
        <is>
          <t>Week 6</t>
        </is>
      </c>
      <c r="B266" s="8" t="inlineStr">
        <is>
          <t>Year 9</t>
        </is>
      </c>
      <c r="C266" s="8" t="inlineStr">
        <is>
          <t>Trays, flat (kit trays)</t>
        </is>
      </c>
      <c r="D266" s="8" t="inlineStr">
        <is>
          <t>托盘（平底）</t>
        </is>
      </c>
      <c r="E266" s="9" t="n">
        <v>6</v>
      </c>
      <c r="F266" s="8" t="inlineStr">
        <is>
          <t>trays</t>
        </is>
      </c>
      <c r="G266" s="8" t="inlineStr">
        <is>
          <t>Prep room equipment</t>
        </is>
      </c>
      <c r="H266" s="8" t="inlineStr">
        <is>
          <t>Both plans</t>
        </is>
      </c>
      <c r="I266" s="8" t="inlineStr">
        <is>
          <t>1 per group</t>
        </is>
      </c>
    </row>
    <row r="267">
      <c r="A267" s="8" t="inlineStr">
        <is>
          <t>Week 6</t>
        </is>
      </c>
      <c r="B267" s="8" t="inlineStr">
        <is>
          <t>Year 9</t>
        </is>
      </c>
      <c r="C267" s="8" t="inlineStr">
        <is>
          <t>Electric kettle</t>
        </is>
      </c>
      <c r="D267" s="8" t="inlineStr">
        <is>
          <t>电水壶</t>
        </is>
      </c>
      <c r="E267" s="9" t="n">
        <v>1</v>
      </c>
      <c r="F267" s="8" t="inlineStr">
        <is>
          <t>kettle</t>
        </is>
      </c>
      <c r="G267" s="8" t="inlineStr">
        <is>
          <t>Canteen and kitchen</t>
        </is>
      </c>
      <c r="H267" s="8" t="inlineStr">
        <is>
          <t>Both plans</t>
        </is>
      </c>
      <c r="I267" s="8" t="inlineStr">
        <is>
          <t>For making warm water at about 60 °C</t>
        </is>
      </c>
    </row>
    <row r="268">
      <c r="A268" s="8" t="inlineStr">
        <is>
          <t>Week 6</t>
        </is>
      </c>
      <c r="B268" s="8" t="inlineStr">
        <is>
          <t>Year 9</t>
        </is>
      </c>
      <c r="C268" s="8" t="inlineStr">
        <is>
          <t>Ice cubes</t>
        </is>
      </c>
      <c r="D268" s="8" t="inlineStr">
        <is>
          <t>冰块</t>
        </is>
      </c>
      <c r="E268" s="9" t="n">
        <v>3</v>
      </c>
      <c r="F268" s="8" t="inlineStr">
        <is>
          <t>kg</t>
        </is>
      </c>
      <c r="G268" s="8" t="inlineStr">
        <is>
          <t>Canteen and kitchen</t>
        </is>
      </c>
      <c r="H268" s="8" t="inlineStr">
        <is>
          <t>Plan A (freezer)</t>
        </is>
      </c>
      <c r="I268" s="8" t="inlineStr">
        <is>
          <t>2 to 3 kg kept in an insulated box: about 300 g per group cup, plus top-ups</t>
        </is>
      </c>
    </row>
    <row r="269">
      <c r="A269" s="8" t="inlineStr">
        <is>
          <t>Week 6</t>
        </is>
      </c>
      <c r="B269" s="8" t="inlineStr">
        <is>
          <t>Year 9</t>
        </is>
      </c>
      <c r="C269" s="8" t="inlineStr">
        <is>
          <t>Jugs, plastic, about 2 litres</t>
        </is>
      </c>
      <c r="D269" s="8" t="inlineStr">
        <is>
          <t>塑料水壶（约2升）</t>
        </is>
      </c>
      <c r="E269" s="9" t="n">
        <v>1</v>
      </c>
      <c r="F269" s="8" t="inlineStr">
        <is>
          <t>jug</t>
        </is>
      </c>
      <c r="G269" s="8" t="inlineStr">
        <is>
          <t>Canteen and kitchen</t>
        </is>
      </c>
      <c r="H269" s="8" t="inlineStr">
        <is>
          <t>Both plans</t>
        </is>
      </c>
      <c r="I269" s="8" t="inlineStr">
        <is>
          <t>Water at about 60 °C</t>
        </is>
      </c>
    </row>
    <row r="270">
      <c r="A270" s="8" t="inlineStr">
        <is>
          <t>Week 6</t>
        </is>
      </c>
      <c r="B270" s="8" t="inlineStr">
        <is>
          <t>Year 9</t>
        </is>
      </c>
      <c r="C270" s="8" t="inlineStr">
        <is>
          <t>Jugs, plastic, about 2 litres</t>
        </is>
      </c>
      <c r="D270" s="8" t="inlineStr">
        <is>
          <t>塑料水壶（约2升）</t>
        </is>
      </c>
      <c r="E270" s="9" t="n">
        <v>1</v>
      </c>
      <c r="F270" s="8" t="inlineStr">
        <is>
          <t>jug</t>
        </is>
      </c>
      <c r="G270" s="8" t="inlineStr">
        <is>
          <t>Canteen and kitchen</t>
        </is>
      </c>
      <c r="H270" s="8" t="inlineStr">
        <is>
          <t>Plan B (no freezer)</t>
        </is>
      </c>
      <c r="I270" s="8" t="inlineStr">
        <is>
          <t>Plan B: water at about 35 °C for the W cups</t>
        </is>
      </c>
    </row>
    <row r="271">
      <c r="A271" s="8" t="inlineStr">
        <is>
          <t>Week 6</t>
        </is>
      </c>
      <c r="B271" s="8" t="inlineStr">
        <is>
          <t>Year 9</t>
        </is>
      </c>
      <c r="C271" s="8" t="inlineStr">
        <is>
          <t>Rolling pin</t>
        </is>
      </c>
      <c r="D271" s="8" t="inlineStr">
        <is>
          <t>擀面杖</t>
        </is>
      </c>
      <c r="E271" s="9" t="n">
        <v>1</v>
      </c>
      <c r="F271" s="8" t="inlineStr">
        <is>
          <t>rolling pin</t>
        </is>
      </c>
      <c r="G271" s="8" t="inlineStr">
        <is>
          <t>Canteen and kitchen</t>
        </is>
      </c>
      <c r="H271" s="8" t="inlineStr">
        <is>
          <t>Plan A (freezer)</t>
        </is>
      </c>
      <c r="I271" s="8" t="inlineStr">
        <is>
          <t>For crushing large ice cubes inside a clean bag</t>
        </is>
      </c>
    </row>
    <row r="272">
      <c r="A272" s="8" t="inlineStr">
        <is>
          <t>Week 6</t>
        </is>
      </c>
      <c r="B272" s="8" t="inlineStr">
        <is>
          <t>Year 9</t>
        </is>
      </c>
      <c r="C272" s="8" t="inlineStr">
        <is>
          <t>Salt, table salt</t>
        </is>
      </c>
      <c r="D272" s="8" t="inlineStr">
        <is>
          <t>食盐</t>
        </is>
      </c>
      <c r="E272" s="9" t="n">
        <v>1</v>
      </c>
      <c r="F272" s="8" t="inlineStr">
        <is>
          <t>kg</t>
        </is>
      </c>
      <c r="G272" s="8" t="inlineStr">
        <is>
          <t>Canteen and kitchen</t>
        </is>
      </c>
      <c r="H272" s="8" t="inlineStr">
        <is>
          <t>Plan A (freezer)</t>
        </is>
      </c>
      <c r="I272" s="8" t="inlineStr">
        <is>
          <t>Plan A: about 100 g per group cup, plus spoonfuls for top-ups</t>
        </is>
      </c>
    </row>
    <row r="273">
      <c r="A273" s="8" t="inlineStr">
        <is>
          <t>Week 6</t>
        </is>
      </c>
      <c r="B273" s="8" t="inlineStr">
        <is>
          <t>Year 9</t>
        </is>
      </c>
      <c r="C273" s="8" t="inlineStr">
        <is>
          <t>Teaspoons, metal</t>
        </is>
      </c>
      <c r="D273" s="8" t="inlineStr">
        <is>
          <t>茶匙（不锈钢）</t>
        </is>
      </c>
      <c r="E273" s="9" t="n">
        <v>1</v>
      </c>
      <c r="F273" s="8" t="inlineStr">
        <is>
          <t>spoon</t>
        </is>
      </c>
      <c r="G273" s="8" t="inlineStr">
        <is>
          <t>Canteen and kitchen</t>
        </is>
      </c>
      <c r="H273" s="8" t="inlineStr">
        <is>
          <t>Both plans</t>
        </is>
      </c>
      <c r="I273" s="8" t="inlineStr">
        <is>
          <t>Plan A: teacher stirs the freezing mixture and adds salt</t>
        </is>
      </c>
    </row>
    <row r="274">
      <c r="A274" s="8" t="inlineStr">
        <is>
          <t>Week 6</t>
        </is>
      </c>
      <c r="B274" s="8" t="inlineStr">
        <is>
          <t>Year 9</t>
        </is>
      </c>
      <c r="C274" s="8" t="inlineStr">
        <is>
          <t>Vacuum flask</t>
        </is>
      </c>
      <c r="D274" s="8" t="inlineStr">
        <is>
          <t>保温瓶</t>
        </is>
      </c>
      <c r="E274" s="9" t="n">
        <v>1</v>
      </c>
      <c r="F274" s="8" t="inlineStr">
        <is>
          <t>flask</t>
        </is>
      </c>
      <c r="G274" s="8" t="inlineStr">
        <is>
          <t>Canteen and kitchen</t>
        </is>
      </c>
      <c r="H274" s="8" t="inlineStr">
        <is>
          <t>Both plans</t>
        </is>
      </c>
      <c r="I274" s="8" t="inlineStr">
        <is>
          <t>Keeps water at about 60 °C through the lesson</t>
        </is>
      </c>
    </row>
    <row r="275">
      <c r="A275" s="8" t="inlineStr">
        <is>
          <t>Week 6</t>
        </is>
      </c>
      <c r="B275" s="8" t="inlineStr">
        <is>
          <t>Year 9</t>
        </is>
      </c>
      <c r="C275" s="8" t="inlineStr">
        <is>
          <t>Freezing mixture (ice and salt)</t>
        </is>
      </c>
      <c r="D275" s="8" t="inlineStr">
        <is>
          <t>冰盐冷冻混合物（教师配制）</t>
        </is>
      </c>
      <c r="E275" s="9" t="n">
        <v>6</v>
      </c>
      <c r="F275" s="8" t="inlineStr">
        <is>
          <t>cups</t>
        </is>
      </c>
      <c r="G275" s="8" t="inlineStr">
        <is>
          <t>Teacher made</t>
        </is>
      </c>
      <c r="H275" s="8" t="inlineStr">
        <is>
          <t>Plan A (freezer)</t>
        </is>
      </c>
      <c r="I275" s="8" t="inlineStr">
        <is>
          <t>Teacher makes one per group 10 minutes before the lesson. Top up with ice and a spoonful of salt halfway if it warms up</t>
        </is>
      </c>
    </row>
    <row r="276">
      <c r="A276" s="8" t="inlineStr">
        <is>
          <t>Week 6</t>
        </is>
      </c>
      <c r="B276" s="8" t="inlineStr">
        <is>
          <t>Year 9</t>
        </is>
      </c>
      <c r="C276" s="8" t="inlineStr">
        <is>
          <t>Warm water, about 50 to 60 °C (teacher-prepared)</t>
        </is>
      </c>
      <c r="D276" s="8" t="inlineStr">
        <is>
          <t>温水（约50至60°C，教师配制）</t>
        </is>
      </c>
      <c r="E276" s="9" t="n">
        <v>1</v>
      </c>
      <c r="F276" s="8" t="inlineStr">
        <is>
          <t>jug or flask</t>
        </is>
      </c>
      <c r="G276" s="8" t="inlineStr">
        <is>
          <t>Teacher made</t>
        </is>
      </c>
      <c r="H276" s="8" t="inlineStr">
        <is>
          <t>Both plans</t>
        </is>
      </c>
      <c r="I276" s="8" t="inlineStr">
        <is>
          <t>About 60 °C. Plan A: fills the H tubes (3 ml each). Plan B: 100 ml into each H cup (about 600 ml in all)</t>
        </is>
      </c>
    </row>
    <row r="277">
      <c r="A277" s="8" t="inlineStr">
        <is>
          <t>Week 6</t>
        </is>
      </c>
      <c r="B277" s="8" t="inlineStr">
        <is>
          <t>Year 9</t>
        </is>
      </c>
      <c r="C277" s="8" t="inlineStr">
        <is>
          <t>Water at about 35 °C (teacher-prepared)</t>
        </is>
      </c>
      <c r="D277" s="8" t="inlineStr">
        <is>
          <t>约35°C温水（教师配制）</t>
        </is>
      </c>
      <c r="E277" s="9" t="n">
        <v>1</v>
      </c>
      <c r="F277" s="8" t="inlineStr">
        <is>
          <t>jug</t>
        </is>
      </c>
      <c r="G277" s="8" t="inlineStr">
        <is>
          <t>Teacher made</t>
        </is>
      </c>
      <c r="H277" s="8" t="inlineStr">
        <is>
          <t>Plan B (no freezer)</t>
        </is>
      </c>
      <c r="I277" s="8" t="inlineStr">
        <is>
          <t>Plan B: 100 ml into each W cup (about 600 ml in all)</t>
        </is>
      </c>
    </row>
    <row r="278">
      <c r="A278" s="8" t="inlineStr">
        <is>
          <t>Week 7</t>
        </is>
      </c>
      <c r="B278" s="8" t="inlineStr">
        <is>
          <t>Year 7</t>
        </is>
      </c>
      <c r="C278" s="8" t="inlineStr">
        <is>
          <t>Aluminium foil, kitchen roll</t>
        </is>
      </c>
      <c r="D278" s="8" t="inlineStr">
        <is>
          <t>铝箔纸（厨房用）</t>
        </is>
      </c>
      <c r="E278" s="9" t="n">
        <v>60</v>
      </c>
      <c r="F278" s="8" t="inlineStr">
        <is>
          <t>pieces 20 x 10 cm</t>
        </is>
      </c>
      <c r="G278" s="8" t="inlineStr">
        <is>
          <t>Buy: used up</t>
        </is>
      </c>
      <c r="H278" s="8" t="inlineStr">
        <is>
          <t>Both plans</t>
        </is>
      </c>
      <c r="I278" s="8" t="inlineStr">
        <is>
          <t>60 foil troughs, both plans (10 per group)</t>
        </is>
      </c>
    </row>
    <row r="279">
      <c r="A279" s="8" t="inlineStr">
        <is>
          <t>Week 7</t>
        </is>
      </c>
      <c r="B279" s="8" t="inlineStr">
        <is>
          <t>Year 7</t>
        </is>
      </c>
      <c r="C279" s="8" t="inlineStr">
        <is>
          <t>Cotton wool</t>
        </is>
      </c>
      <c r="D279" s="8" t="inlineStr">
        <is>
          <t>棉花（脱脂棉）</t>
        </is>
      </c>
      <c r="E279" s="9" t="n">
        <v>12</v>
      </c>
      <c r="F279" s="8" t="inlineStr">
        <is>
          <t>g</t>
        </is>
      </c>
      <c r="G279" s="8" t="inlineStr">
        <is>
          <t>Buy: used up</t>
        </is>
      </c>
      <c r="H279" s="8" t="inlineStr">
        <is>
          <t>Both plans</t>
        </is>
      </c>
      <c r="I279" s="8" t="inlineStr">
        <is>
          <t>Fibre, pulled apart: up to 18 portions of 0.6 g, pre-portioned in batches of 6 g split into 10 (actual amount depends on approved plans)</t>
        </is>
      </c>
    </row>
    <row r="280">
      <c r="A280" s="8" t="inlineStr">
        <is>
          <t>Week 7</t>
        </is>
      </c>
      <c r="B280" s="8" t="inlineStr">
        <is>
          <t>Year 7</t>
        </is>
      </c>
      <c r="C280" s="8" t="inlineStr">
        <is>
          <t>Kitchen roll (shop-bought paper towels)</t>
        </is>
      </c>
      <c r="D280" s="8" t="inlineStr">
        <is>
          <t>厨房纸（卷筒）</t>
        </is>
      </c>
      <c r="E280" s="9" t="n">
        <v>24</v>
      </c>
      <c r="F280" s="8" t="inlineStr">
        <is>
          <t>sheets</t>
        </is>
      </c>
      <c r="G280" s="8" t="inlineStr">
        <is>
          <t>Buy: used up</t>
        </is>
      </c>
      <c r="H280" s="8" t="inlineStr">
        <is>
          <t>Both plans</t>
        </is>
      </c>
      <c r="I280" s="8" t="inlineStr">
        <is>
          <t>4 per group</t>
        </is>
      </c>
    </row>
    <row r="281">
      <c r="A281" s="8" t="inlineStr">
        <is>
          <t>Week 7</t>
        </is>
      </c>
      <c r="B281" s="8" t="inlineStr">
        <is>
          <t>Year 7</t>
        </is>
      </c>
      <c r="C281" s="8" t="inlineStr">
        <is>
          <t>Paper cups, opaque</t>
        </is>
      </c>
      <c r="D281" s="8" t="inlineStr">
        <is>
          <t>纸杯（不透明）</t>
        </is>
      </c>
      <c r="E281" s="9" t="n">
        <v>36</v>
      </c>
      <c r="F281" s="8" t="inlineStr">
        <is>
          <t>cups</t>
        </is>
      </c>
      <c r="G281" s="8" t="inlineStr">
        <is>
          <t>Buy: used up</t>
        </is>
      </c>
      <c r="H281" s="8" t="inlineStr">
        <is>
          <t>Both plans</t>
        </is>
      </c>
      <c r="I281" s="8" t="inlineStr">
        <is>
          <t>Small paper cups (or paper twists) for pre-portioned fibre: up to 36 portions</t>
        </is>
      </c>
    </row>
    <row r="282">
      <c r="A282" s="8" t="inlineStr">
        <is>
          <t>Week 7</t>
        </is>
      </c>
      <c r="B282" s="8" t="inlineStr">
        <is>
          <t>Year 7</t>
        </is>
      </c>
      <c r="C282" s="8" t="inlineStr">
        <is>
          <t>Paper tissues (facial tissues)</t>
        </is>
      </c>
      <c r="D282" s="8" t="inlineStr">
        <is>
          <t>面巾纸</t>
        </is>
      </c>
      <c r="E282" s="9" t="n">
        <v>12</v>
      </c>
      <c r="F282" s="8" t="inlineStr">
        <is>
          <t>g</t>
        </is>
      </c>
      <c r="G282" s="8" t="inlineStr">
        <is>
          <t>Buy: used up</t>
        </is>
      </c>
      <c r="H282" s="8" t="inlineStr">
        <is>
          <t>Both plans</t>
        </is>
      </c>
      <c r="I282" s="8" t="inlineStr">
        <is>
          <t>Fibre, torn into 5 mm pieces: up to 18 portions of 0.6 g (actual amount depends on approved plans)</t>
        </is>
      </c>
    </row>
    <row r="283">
      <c r="A283" s="8" t="inlineStr">
        <is>
          <t>Week 7</t>
        </is>
      </c>
      <c r="B283" s="8" t="inlineStr">
        <is>
          <t>Year 7</t>
        </is>
      </c>
      <c r="C283" s="8" t="inlineStr">
        <is>
          <t>Sawdust, untreated natural wood</t>
        </is>
      </c>
      <c r="D283" s="8" t="inlineStr">
        <is>
          <t>未经处理的木屑</t>
        </is>
      </c>
      <c r="E283" s="9" t="n">
        <v>30</v>
      </c>
      <c r="F283" s="8" t="inlineStr">
        <is>
          <t>g</t>
        </is>
      </c>
      <c r="G283" s="8" t="inlineStr">
        <is>
          <t>Buy: used up</t>
        </is>
      </c>
      <c r="H283" s="8" t="inlineStr">
        <is>
          <t>Both plans</t>
        </is>
      </c>
      <c r="I283" s="8" t="inlineStr">
        <is>
          <t>Upper limit for the portions: at most 18 x 0.9 g and 18 x 0.6 g, pre-portioned in batches of 10 (9 g and 6 g batches), plus spare fibre in a labelled bag. Buy in Week 6</t>
        </is>
      </c>
    </row>
    <row r="284">
      <c r="A284" s="8" t="inlineStr">
        <is>
          <t>Week 7</t>
        </is>
      </c>
      <c r="B284" s="8" t="inlineStr">
        <is>
          <t>Year 7</t>
        </is>
      </c>
      <c r="C284" s="8" t="inlineStr">
        <is>
          <t>Zip-lock bags, small (sandwich size)</t>
        </is>
      </c>
      <c r="D284" s="8" t="inlineStr">
        <is>
          <t>小号自封袋（三明治袋大小）</t>
        </is>
      </c>
      <c r="E284" s="9" t="n">
        <v>58</v>
      </c>
      <c r="F284" s="8" t="inlineStr">
        <is>
          <t>bags</t>
        </is>
      </c>
      <c r="G284" s="8" t="inlineStr">
        <is>
          <t>Buy: used up</t>
        </is>
      </c>
      <c r="H284" s="8" t="inlineStr">
        <is>
          <t>Both plans</t>
        </is>
      </c>
      <c r="I284" s="8" t="inlineStr">
        <is>
          <t>Plan B: 54 (one per 18 g dough ball). Both plans: 4 labelled bags for spare fibre, one per fibre type (sawdust kept damp in its sealed bag). Plan A needs only the 4</t>
        </is>
      </c>
    </row>
    <row r="285">
      <c r="A285" s="8" t="inlineStr">
        <is>
          <t>Week 7</t>
        </is>
      </c>
      <c r="B285" s="8" t="inlineStr">
        <is>
          <t>Year 7</t>
        </is>
      </c>
      <c r="C285" s="8" t="inlineStr">
        <is>
          <t>A3 paper, white, 80 gsm</t>
        </is>
      </c>
      <c r="D285" s="8" t="inlineStr">
        <is>
          <t>A3复印纸（白色，80克）</t>
        </is>
      </c>
      <c r="E285" s="9" t="n">
        <v>1</v>
      </c>
      <c r="F285" s="8" t="inlineStr">
        <is>
          <t>sheets</t>
        </is>
      </c>
      <c r="G285" s="8" t="inlineStr">
        <is>
          <t>Stationery and card</t>
        </is>
      </c>
      <c r="H285" s="8" t="inlineStr">
        <is>
          <t>Both plans</t>
        </is>
      </c>
      <c r="I285" s="8" t="inlineStr">
        <is>
          <t>Class project board (Plan A or Plan B version)</t>
        </is>
      </c>
    </row>
    <row r="286">
      <c r="A286" s="8" t="inlineStr">
        <is>
          <t>Week 7</t>
        </is>
      </c>
      <c r="B286" s="8" t="inlineStr">
        <is>
          <t>Year 7</t>
        </is>
      </c>
      <c r="C286" s="8" t="inlineStr">
        <is>
          <t>Group folders, A3</t>
        </is>
      </c>
      <c r="D286" s="8" t="inlineStr">
        <is>
          <t>A3文件夹（小组用）</t>
        </is>
      </c>
      <c r="E286" s="9" t="n">
        <v>6</v>
      </c>
      <c r="F286" s="8" t="inlineStr">
        <is>
          <t>folders</t>
        </is>
      </c>
      <c r="G286" s="8" t="inlineStr">
        <is>
          <t>Stationery and card</t>
        </is>
      </c>
      <c r="H286" s="8" t="inlineStr">
        <is>
          <t>Both plans</t>
        </is>
      </c>
      <c r="I286" s="8" t="inlineStr">
        <is>
          <t>Planning frame returned in the folder</t>
        </is>
      </c>
    </row>
    <row r="287">
      <c r="A287" s="8" t="inlineStr">
        <is>
          <t>Week 7</t>
        </is>
      </c>
      <c r="B287" s="8" t="inlineStr">
        <is>
          <t>Year 7</t>
        </is>
      </c>
      <c r="C287" s="8" t="inlineStr">
        <is>
          <t>Laminating pouches, A3</t>
        </is>
      </c>
      <c r="D287" s="8" t="inlineStr">
        <is>
          <t>塑封膜 A3</t>
        </is>
      </c>
      <c r="E287" s="9" t="n">
        <v>1</v>
      </c>
      <c r="F287" s="8" t="inlineStr">
        <is>
          <t>pouches</t>
        </is>
      </c>
      <c r="G287" s="8" t="inlineStr">
        <is>
          <t>Stationery and card</t>
        </is>
      </c>
      <c r="H287" s="8" t="inlineStr">
        <is>
          <t>Both plans</t>
        </is>
      </c>
      <c r="I287" s="8" t="inlineStr">
        <is>
          <t>Class project board, A3, 'laminated if possible' (teacher writes on it in marker; used Weeks 7 to 9)</t>
        </is>
      </c>
    </row>
    <row r="288">
      <c r="A288" s="8" t="inlineStr">
        <is>
          <t>Week 7</t>
        </is>
      </c>
      <c r="B288" s="8" t="inlineStr">
        <is>
          <t>Year 7</t>
        </is>
      </c>
      <c r="C288" s="8" t="inlineStr">
        <is>
          <t>Masking tape</t>
        </is>
      </c>
      <c r="D288" s="8" t="inlineStr">
        <is>
          <t>美纹纸胶带</t>
        </is>
      </c>
      <c r="E288" s="9" t="n">
        <v>6</v>
      </c>
      <c r="F288" s="8" t="inlineStr">
        <is>
          <t>rolls</t>
        </is>
      </c>
      <c r="G288" s="8" t="inlineStr">
        <is>
          <t>Stationery and card</t>
        </is>
      </c>
      <c r="H288" s="8" t="inlineStr">
        <is>
          <t>Both plans</t>
        </is>
      </c>
      <c r="I288" s="8" t="inlineStr">
        <is>
          <t>Kit card lists masking tape per group to fix sample labels to the foil tabs (fewer rolls if shared)</t>
        </is>
      </c>
    </row>
    <row r="289">
      <c r="A289" s="8" t="inlineStr">
        <is>
          <t>Week 7</t>
        </is>
      </c>
      <c r="B289" s="8" t="inlineStr">
        <is>
          <t>Year 7</t>
        </is>
      </c>
      <c r="C289" s="8" t="inlineStr">
        <is>
          <t>Pencils, HB</t>
        </is>
      </c>
      <c r="D289" s="8" t="inlineStr">
        <is>
          <t>铅笔（HB）</t>
        </is>
      </c>
      <c r="E289" s="9" t="n">
        <v>6</v>
      </c>
      <c r="F289" s="8" t="inlineStr">
        <is>
          <t>pencils</t>
        </is>
      </c>
      <c r="G289" s="8" t="inlineStr">
        <is>
          <t>Stationery and card</t>
        </is>
      </c>
      <c r="H289" s="8" t="inlineStr">
        <is>
          <t>Both plans</t>
        </is>
      </c>
      <c r="I289" s="8" t="inlineStr">
        <is>
          <t>Pencils with the sample labels; at least 1 per group (number not given)</t>
        </is>
      </c>
    </row>
    <row r="290">
      <c r="A290" s="8" t="inlineStr">
        <is>
          <t>Week 7</t>
        </is>
      </c>
      <c r="B290" s="8" t="inlineStr">
        <is>
          <t>Year 7</t>
        </is>
      </c>
      <c r="C290" s="8" t="inlineStr">
        <is>
          <t>Permanent marker pens, black</t>
        </is>
      </c>
      <c r="D290" s="8" t="inlineStr">
        <is>
          <t>黑色油性记号笔</t>
        </is>
      </c>
      <c r="E290" s="9" t="n">
        <v>1</v>
      </c>
      <c r="F290" s="8" t="inlineStr">
        <is>
          <t>pens</t>
        </is>
      </c>
      <c r="G290" s="8" t="inlineStr">
        <is>
          <t>Stationery and card</t>
        </is>
      </c>
      <c r="H290" s="8" t="inlineStr">
        <is>
          <t>Both plans</t>
        </is>
      </c>
      <c r="I290" s="8" t="inlineStr">
        <is>
          <t>Teacher writes on the class project board; label fibre portions and spare-fibre bags</t>
        </is>
      </c>
    </row>
    <row r="291">
      <c r="A291" s="8" t="inlineStr">
        <is>
          <t>Week 7</t>
        </is>
      </c>
      <c r="B291" s="8" t="inlineStr">
        <is>
          <t>Year 7</t>
        </is>
      </c>
      <c r="C291" s="8" t="inlineStr">
        <is>
          <t>Cloths for wiping tables</t>
        </is>
      </c>
      <c r="D291" s="8" t="inlineStr">
        <is>
          <t>抹布</t>
        </is>
      </c>
      <c r="E291" s="9" t="n">
        <v>1</v>
      </c>
      <c r="F291" s="8" t="inlineStr">
        <is>
          <t>cloths</t>
        </is>
      </c>
      <c r="G291" s="8" t="inlineStr">
        <is>
          <t>Prep room equipment</t>
        </is>
      </c>
      <c r="H291" s="8" t="inlineStr">
        <is>
          <t>Plan B (no freezer)</t>
        </is>
      </c>
      <c r="I291" s="8" t="inlineStr">
        <is>
          <t>Clean-up: tables wiped with a damp cloth after the dough work (quantity not given)</t>
        </is>
      </c>
    </row>
    <row r="292">
      <c r="A292" s="8" t="inlineStr">
        <is>
          <t>Week 7</t>
        </is>
      </c>
      <c r="B292" s="8" t="inlineStr">
        <is>
          <t>Year 7</t>
        </is>
      </c>
      <c r="C292" s="8" t="inlineStr">
        <is>
          <t>Drying shelf space for dough strips</t>
        </is>
      </c>
      <c r="D292" s="8" t="inlineStr">
        <is>
          <t>晾干架（晾面团条用）</t>
        </is>
      </c>
      <c r="E292" s="9" t="n">
        <v>1</v>
      </c>
      <c r="F292" s="8" t="inlineStr">
        <is>
          <t>shelf</t>
        </is>
      </c>
      <c r="G292" s="8" t="inlineStr">
        <is>
          <t>Prep room equipment</t>
        </is>
      </c>
      <c r="H292" s="8" t="inlineStr">
        <is>
          <t>Plan B (no freezer)</t>
        </is>
      </c>
      <c r="I292" s="8" t="inlineStr">
        <is>
          <t>Class trays dry until Week 8; teacher peels foil and turns strips on day 3</t>
        </is>
      </c>
    </row>
    <row r="293">
      <c r="A293" s="8" t="inlineStr">
        <is>
          <t>Week 7</t>
        </is>
      </c>
      <c r="B293" s="8" t="inlineStr">
        <is>
          <t>Year 7</t>
        </is>
      </c>
      <c r="C293" s="8" t="inlineStr">
        <is>
          <t>Kitchen scale, reads to 1 g</t>
        </is>
      </c>
      <c r="D293" s="8" t="inlineStr">
        <is>
          <t>电子秤（精度1克）</t>
        </is>
      </c>
      <c r="E293" s="9" t="n">
        <v>1</v>
      </c>
      <c r="F293" s="8" t="inlineStr">
        <is>
          <t>scales</t>
        </is>
      </c>
      <c r="G293" s="8" t="inlineStr">
        <is>
          <t>Prep room equipment</t>
        </is>
      </c>
      <c r="H293" s="8" t="inlineStr">
        <is>
          <t>Both plans</t>
        </is>
      </c>
      <c r="I293" s="8" t="inlineStr">
        <is>
          <t>Pre-portion fibres (both plans); Plan B: weigh 54 dough balls at 18 g</t>
        </is>
      </c>
    </row>
    <row r="294">
      <c r="A294" s="8" t="inlineStr">
        <is>
          <t>Week 7</t>
        </is>
      </c>
      <c r="B294" s="8" t="inlineStr">
        <is>
          <t>Year 7</t>
        </is>
      </c>
      <c r="C294" s="8" t="inlineStr">
        <is>
          <t>Measuring cylinder, 25 ml</t>
        </is>
      </c>
      <c r="D294" s="8" t="inlineStr">
        <is>
          <t>量筒 25毫升</t>
        </is>
      </c>
      <c r="E294" s="9" t="n">
        <v>12</v>
      </c>
      <c r="F294" s="8" t="inlineStr">
        <is>
          <t>cylinders</t>
        </is>
      </c>
      <c r="G294" s="8" t="inlineStr">
        <is>
          <t>Prep room equipment</t>
        </is>
      </c>
      <c r="H294" s="8" t="inlineStr">
        <is>
          <t>Both plans</t>
        </is>
      </c>
      <c r="I294" s="8" t="inlineStr">
        <is>
          <t>Plan A only: 2 per group to measure 12 ml per strip</t>
        </is>
      </c>
    </row>
    <row r="295">
      <c r="A295" s="8" t="inlineStr">
        <is>
          <t>Week 7</t>
        </is>
      </c>
      <c r="B295" s="8" t="inlineStr">
        <is>
          <t>Year 7</t>
        </is>
      </c>
      <c r="C295" s="8" t="inlineStr">
        <is>
          <t>Mop and bucket</t>
        </is>
      </c>
      <c r="D295" s="8" t="inlineStr">
        <is>
          <t>拖把和拖把桶</t>
        </is>
      </c>
      <c r="E295" s="9" t="n">
        <v>1</v>
      </c>
      <c r="F295" s="8" t="inlineStr">
        <is>
          <t>sets</t>
        </is>
      </c>
      <c r="G295" s="8" t="inlineStr">
        <is>
          <t>Prep room equipment</t>
        </is>
      </c>
      <c r="H295" s="8" t="inlineStr">
        <is>
          <t>Both plans</t>
        </is>
      </c>
      <c r="I295" s="8" t="inlineStr">
        <is>
          <t>Plan A: hazard line says mop up spills straight away; floor wiped at clean-up</t>
        </is>
      </c>
    </row>
    <row r="296">
      <c r="A296" s="8" t="inlineStr">
        <is>
          <t>Week 7</t>
        </is>
      </c>
      <c r="B296" s="8" t="inlineStr">
        <is>
          <t>Year 7</t>
        </is>
      </c>
      <c r="C296" s="8" t="inlineStr">
        <is>
          <t>Plastic cups, clear, identical, about 250 ml</t>
        </is>
      </c>
      <c r="D296" s="8" t="inlineStr">
        <is>
          <t>透明塑料杯（同款，约250毫升）</t>
        </is>
      </c>
      <c r="E296" s="9" t="n">
        <v>24</v>
      </c>
      <c r="F296" s="8" t="inlineStr">
        <is>
          <t>cups</t>
        </is>
      </c>
      <c r="G296" s="8" t="inlineStr">
        <is>
          <t>Prep room equipment</t>
        </is>
      </c>
      <c r="H296" s="8" t="inlineStr">
        <is>
          <t>Both plans</t>
        </is>
      </c>
      <c r="I296" s="8" t="inlineStr">
        <is>
          <t>Plan A only: 3 small mixing cups per group (18) + 1 cup of about 200 ml water per group (6)</t>
        </is>
      </c>
    </row>
    <row r="297">
      <c r="A297" s="8" t="inlineStr">
        <is>
          <t>Week 7</t>
        </is>
      </c>
      <c r="B297" s="8" t="inlineStr">
        <is>
          <t>Year 7</t>
        </is>
      </c>
      <c r="C297" s="8" t="inlineStr">
        <is>
          <t>Trays, flat (kit trays)</t>
        </is>
      </c>
      <c r="D297" s="8" t="inlineStr">
        <is>
          <t>托盘（平底）</t>
        </is>
      </c>
      <c r="E297" s="9" t="n">
        <v>6</v>
      </c>
      <c r="F297" s="8" t="inlineStr">
        <is>
          <t>trays</t>
        </is>
      </c>
      <c r="G297" s="8" t="inlineStr">
        <is>
          <t>Prep room equipment</t>
        </is>
      </c>
      <c r="H297" s="8" t="inlineStr">
        <is>
          <t>Both plans</t>
        </is>
      </c>
      <c r="I297" s="8" t="inlineStr">
        <is>
          <t>1 flat tray per group for 9 troughs; goes into the freezer (Plan A) or onto the drying shelf (Plan B)</t>
        </is>
      </c>
    </row>
    <row r="298">
      <c r="A298" s="8" t="inlineStr">
        <is>
          <t>Week 7</t>
        </is>
      </c>
      <c r="B298" s="8" t="inlineStr">
        <is>
          <t>Year 7</t>
        </is>
      </c>
      <c r="C298" s="8" t="inlineStr">
        <is>
          <t>Freezer space</t>
        </is>
      </c>
      <c r="D298" s="8" t="inlineStr">
        <is>
          <t>冰柜空间</t>
        </is>
      </c>
      <c r="E298" s="9" t="n">
        <v>1</v>
      </c>
      <c r="F298" s="8" t="inlineStr">
        <is>
          <t>drawer</t>
        </is>
      </c>
      <c r="G298" s="8" t="inlineStr">
        <is>
          <t>Canteen and kitchen</t>
        </is>
      </c>
      <c r="H298" s="8" t="inlineStr">
        <is>
          <t>Plan A (freezer)</t>
        </is>
      </c>
      <c r="I298" s="8" t="inlineStr">
        <is>
          <t>54 thin strips on trays for at least 24 hours, until the Week 8 lesson (Teacher Guide Week 6 row says about 36; the kit card's 54 is used)</t>
        </is>
      </c>
    </row>
    <row r="299">
      <c r="A299" s="8" t="inlineStr">
        <is>
          <t>Week 7</t>
        </is>
      </c>
      <c r="B299" s="8" t="inlineStr">
        <is>
          <t>Year 7</t>
        </is>
      </c>
      <c r="C299" s="8" t="inlineStr">
        <is>
          <t>Jugs, plastic, about 2 litres</t>
        </is>
      </c>
      <c r="D299" s="8" t="inlineStr">
        <is>
          <t>塑料水壶（约2升）</t>
        </is>
      </c>
      <c r="E299" s="9" t="n">
        <v>1</v>
      </c>
      <c r="F299" s="8" t="inlineStr">
        <is>
          <t>jugs</t>
        </is>
      </c>
      <c r="G299" s="8" t="inlineStr">
        <is>
          <t>Canteen and kitchen</t>
        </is>
      </c>
      <c r="H299" s="8" t="inlineStr">
        <is>
          <t>Both plans</t>
        </is>
      </c>
      <c r="I299" s="8" t="inlineStr">
        <is>
          <t>Plan A: measuring jug to fill the cups of water</t>
        </is>
      </c>
    </row>
    <row r="300">
      <c r="A300" s="8" t="inlineStr">
        <is>
          <t>Week 7</t>
        </is>
      </c>
      <c r="B300" s="8" t="inlineStr">
        <is>
          <t>Year 7</t>
        </is>
      </c>
      <c r="C300" s="8" t="inlineStr">
        <is>
          <t>Plain flour (wheat)</t>
        </is>
      </c>
      <c r="D300" s="8" t="inlineStr">
        <is>
          <t>面粉（普通小麦粉）</t>
        </is>
      </c>
      <c r="E300" s="9" t="n">
        <v>500</v>
      </c>
      <c r="F300" s="8" t="inlineStr">
        <is>
          <t>g</t>
        </is>
      </c>
      <c r="G300" s="8" t="inlineStr">
        <is>
          <t>Canteen and kitchen</t>
        </is>
      </c>
      <c r="H300" s="8" t="inlineStr">
        <is>
          <t>Plan B (no freezer)</t>
        </is>
      </c>
      <c r="I300" s="8" t="inlineStr">
        <is>
          <t>2 batches, each 2 cups (about 250 g), for 54 balls of 18 g plus spares</t>
        </is>
      </c>
    </row>
    <row r="301">
      <c r="A301" s="8" t="inlineStr">
        <is>
          <t>Week 7</t>
        </is>
      </c>
      <c r="B301" s="8" t="inlineStr">
        <is>
          <t>Year 7</t>
        </is>
      </c>
      <c r="C301" s="8" t="inlineStr">
        <is>
          <t>Salt, table salt</t>
        </is>
      </c>
      <c r="D301" s="8" t="inlineStr">
        <is>
          <t>食盐</t>
        </is>
      </c>
      <c r="E301" s="9" t="n">
        <v>580</v>
      </c>
      <c r="F301" s="8" t="inlineStr">
        <is>
          <t>g</t>
        </is>
      </c>
      <c r="G301" s="8" t="inlineStr">
        <is>
          <t>Canteen and kitchen</t>
        </is>
      </c>
      <c r="H301" s="8" t="inlineStr">
        <is>
          <t>Plan B (no freezer)</t>
        </is>
      </c>
      <c r="I301" s="8" t="inlineStr">
        <is>
          <t>2 batches, each 1 cup (about 290 g)</t>
        </is>
      </c>
    </row>
    <row r="302">
      <c r="A302" s="8" t="inlineStr">
        <is>
          <t>Week 7</t>
        </is>
      </c>
      <c r="B302" s="8" t="inlineStr">
        <is>
          <t>Year 7</t>
        </is>
      </c>
      <c r="C302" s="8" t="inlineStr">
        <is>
          <t>Teaspoons, metal</t>
        </is>
      </c>
      <c r="D302" s="8" t="inlineStr">
        <is>
          <t>茶匙（不锈钢）</t>
        </is>
      </c>
      <c r="E302" s="9" t="n">
        <v>18</v>
      </c>
      <c r="F302" s="8" t="inlineStr">
        <is>
          <t>teaspoons</t>
        </is>
      </c>
      <c r="G302" s="8" t="inlineStr">
        <is>
          <t>Canteen and kitchen</t>
        </is>
      </c>
      <c r="H302" s="8" t="inlineStr">
        <is>
          <t>Both plans</t>
        </is>
      </c>
      <c r="I302" s="8" t="inlineStr">
        <is>
          <t>3 per group (Plan A mixing; Plan B pressing and smoothing dough)</t>
        </is>
      </c>
    </row>
    <row r="303">
      <c r="A303" s="8" t="inlineStr">
        <is>
          <t>Week 7</t>
        </is>
      </c>
      <c r="B303" s="8" t="inlineStr">
        <is>
          <t>Year 7</t>
        </is>
      </c>
      <c r="C303" s="8" t="inlineStr">
        <is>
          <t>Shredded paper, finely shredded</t>
        </is>
      </c>
      <c r="D303" s="8" t="inlineStr">
        <is>
          <t>碎纸（细碎）</t>
        </is>
      </c>
      <c r="E303" s="9" t="n">
        <v>12</v>
      </c>
      <c r="F303" s="8" t="inlineStr">
        <is>
          <t>g</t>
        </is>
      </c>
      <c r="G303" s="8" t="inlineStr">
        <is>
          <t>Collect or borrow</t>
        </is>
      </c>
      <c r="H303" s="8" t="inlineStr">
        <is>
          <t>Both plans</t>
        </is>
      </c>
      <c r="I303" s="8" t="inlineStr">
        <is>
          <t>Fibre: up to 18 portions of 0.6 g (actual amount depends on approved plans)</t>
        </is>
      </c>
    </row>
    <row r="304">
      <c r="A304" s="8" t="inlineStr">
        <is>
          <t>Week 7</t>
        </is>
      </c>
      <c r="B304" s="8" t="inlineStr">
        <is>
          <t>Year 7</t>
        </is>
      </c>
      <c r="C304" s="8" t="inlineStr">
        <is>
          <t>Wood offcut for the trough template block, 12 x 2 cm</t>
        </is>
      </c>
      <c r="D304" s="8" t="inlineStr">
        <is>
          <t>铝箔槽模具木块（12×2厘米）</t>
        </is>
      </c>
      <c r="E304" s="9" t="n">
        <v>1</v>
      </c>
      <c r="F304" s="8" t="inlineStr">
        <is>
          <t>blocks</t>
        </is>
      </c>
      <c r="G304" s="8" t="inlineStr">
        <is>
          <t>Collect or borrow</t>
        </is>
      </c>
      <c r="H304" s="8" t="inlineStr">
        <is>
          <t>Both plans</t>
        </is>
      </c>
      <c r="I304" s="8" t="inlineStr">
        <is>
          <t>Same block for all 60 troughs; keep for next year</t>
        </is>
      </c>
    </row>
    <row r="305">
      <c r="A305" s="8" t="inlineStr">
        <is>
          <t>Week 7</t>
        </is>
      </c>
      <c r="B305" s="8" t="inlineStr">
        <is>
          <t>Year 7</t>
        </is>
      </c>
      <c r="C305" s="8" t="inlineStr">
        <is>
          <t>Wood offcut for the trough template block, 12 x 2 cm</t>
        </is>
      </c>
      <c r="D305" s="8" t="inlineStr">
        <is>
          <t>铝箔槽模具木块（12×2厘米）</t>
        </is>
      </c>
      <c r="E305" s="9" t="n">
        <v>1</v>
      </c>
      <c r="F305" s="8" t="inlineStr">
        <is>
          <t>blocks</t>
        </is>
      </c>
      <c r="G305" s="8" t="inlineStr">
        <is>
          <t>Collect or borrow</t>
        </is>
      </c>
      <c r="H305" s="8" t="inlineStr">
        <is>
          <t>Both plans</t>
        </is>
      </c>
      <c r="I305" s="8" t="inlineStr">
        <is>
          <t>Every trough folded round the same block; keep for next year</t>
        </is>
      </c>
    </row>
    <row r="306">
      <c r="A306" s="8" t="inlineStr">
        <is>
          <t>Week 7</t>
        </is>
      </c>
      <c r="B306" s="8" t="inlineStr">
        <is>
          <t>Year 7</t>
        </is>
      </c>
      <c r="C306" s="8" t="inlineStr">
        <is>
          <t>Foil troughs</t>
        </is>
      </c>
      <c r="D306" s="8" t="inlineStr">
        <is>
          <t>铝箔槽</t>
        </is>
      </c>
      <c r="E306" s="9" t="n">
        <v>60</v>
      </c>
      <c r="F306" s="8" t="inlineStr">
        <is>
          <t>troughs</t>
        </is>
      </c>
      <c r="G306" s="8" t="inlineStr">
        <is>
          <t>Teacher made</t>
        </is>
      </c>
      <c r="H306" s="8" t="inlineStr">
        <is>
          <t>Both plans</t>
        </is>
      </c>
      <c r="I306" s="8" t="inlineStr">
        <is>
          <t>10 per group (9 + 1 spare); about 25 min to fold</t>
        </is>
      </c>
    </row>
    <row r="307">
      <c r="A307" s="8" t="inlineStr">
        <is>
          <t>Week 7</t>
        </is>
      </c>
      <c r="B307" s="8" t="inlineStr">
        <is>
          <t>Year 7</t>
        </is>
      </c>
      <c r="C307" s="8" t="inlineStr">
        <is>
          <t>Pre-portioned fibre packets</t>
        </is>
      </c>
      <c r="D307" s="8" t="inlineStr">
        <is>
          <t>预分装纤维包</t>
        </is>
      </c>
      <c r="E307" s="9" t="n">
        <v>36</v>
      </c>
      <c r="F307" s="8" t="inlineStr">
        <is>
          <t>portions</t>
        </is>
      </c>
      <c r="G307" s="8" t="inlineStr">
        <is>
          <t>Teacher made</t>
        </is>
      </c>
      <c r="H307" s="8" t="inlineStr">
        <is>
          <t>Both plans</t>
        </is>
      </c>
      <c r="I307" s="8" t="inlineStr">
        <is>
          <t>At most 36 (every group's 9 strips include 3 controls with no fibre); made from sawdust, tissue, shredded paper, cotton wool in small paper cups or paper twists</t>
        </is>
      </c>
    </row>
    <row r="308">
      <c r="A308" s="8" t="inlineStr">
        <is>
          <t>Week 7</t>
        </is>
      </c>
      <c r="B308" s="8" t="inlineStr">
        <is>
          <t>Year 7</t>
        </is>
      </c>
      <c r="C308" s="8" t="inlineStr">
        <is>
          <t>Salt dough balls, 18 g, bagged</t>
        </is>
      </c>
      <c r="D308" s="8" t="inlineStr">
        <is>
          <t>盐面团球（18克，袋装）</t>
        </is>
      </c>
      <c r="E308" s="9" t="n">
        <v>54</v>
      </c>
      <c r="F308" s="8" t="inlineStr">
        <is>
          <t>balls</t>
        </is>
      </c>
      <c r="G308" s="8" t="inlineStr">
        <is>
          <t>Teacher made</t>
        </is>
      </c>
      <c r="H308" s="8" t="inlineStr">
        <is>
          <t>Plan B (no freezer)</t>
        </is>
      </c>
      <c r="I308" s="8" t="inlineStr">
        <is>
          <t>9 per group, made the morning of the lesson (2 batches give spares)</t>
        </is>
      </c>
    </row>
    <row r="309">
      <c r="A309" s="8" t="inlineStr">
        <is>
          <t>Week 7</t>
        </is>
      </c>
      <c r="B309" s="8" t="inlineStr">
        <is>
          <t>Year 8</t>
        </is>
      </c>
      <c r="C309" s="8" t="inlineStr">
        <is>
          <t>White coffee filters (for chromatography strips)</t>
        </is>
      </c>
      <c r="D309" s="8" t="inlineStr">
        <is>
          <t>白色咖啡滤纸（用于色谱滤纸条）</t>
        </is>
      </c>
      <c r="E309" s="9" t="n">
        <v>2</v>
      </c>
      <c r="F309" s="8" t="inlineStr">
        <is>
          <t>strips (2 cm x 10 cm)</t>
        </is>
      </c>
      <c r="G309" s="8" t="inlineStr">
        <is>
          <t>Buy: used up</t>
        </is>
      </c>
      <c r="H309" s="8" t="inlineStr">
        <is>
          <t>Both plans</t>
        </is>
      </c>
      <c r="I309" s="8" t="inlineStr">
        <is>
          <t>N strips for the Ink 2 groups to look at in a clear sleeve, 1 per Ink 2 group, 2 groups maximum (or use the 2 spare N strips from Week 3)</t>
        </is>
      </c>
    </row>
    <row r="310">
      <c r="A310" s="8" t="inlineStr">
        <is>
          <t>Week 7</t>
        </is>
      </c>
      <c r="B310" s="8" t="inlineStr">
        <is>
          <t>Year 8</t>
        </is>
      </c>
      <c r="C310" s="8" t="inlineStr">
        <is>
          <t>Zip-lock bags, small (sandwich size)</t>
        </is>
      </c>
      <c r="D310" s="8" t="inlineStr">
        <is>
          <t>小号自封袋（三明治袋大小）</t>
        </is>
      </c>
      <c r="E310" s="9" t="n">
        <v>6</v>
      </c>
      <c r="F310" s="8" t="inlineStr">
        <is>
          <t>bags</t>
        </is>
      </c>
      <c r="G310" s="8" t="inlineStr">
        <is>
          <t>Buy: used up</t>
        </is>
      </c>
      <c r="H310" s="8" t="inlineStr">
        <is>
          <t>Both plans</t>
        </is>
      </c>
      <c r="I310" s="8" t="inlineStr">
        <is>
          <t>Sealed evidence bags, 1 per group: Soil groups (Evidence 6), Paper groups (Evidence 7) and Powder 2 groups (Evidence 3), 2 groups each maximum. The Week 4 Evidence 3 bags will usually have been opened; reuse one only if it is still sealed</t>
        </is>
      </c>
    </row>
    <row r="311">
      <c r="A311" s="8" t="inlineStr">
        <is>
          <t>Week 7</t>
        </is>
      </c>
      <c r="B311" s="8" t="inlineStr">
        <is>
          <t>Year 8</t>
        </is>
      </c>
      <c r="C311" s="8" t="inlineStr">
        <is>
          <t>Mini whiteboards</t>
        </is>
      </c>
      <c r="D311" s="8" t="inlineStr">
        <is>
          <t>小白板（学生用）</t>
        </is>
      </c>
      <c r="E311" s="9" t="n">
        <v>24</v>
      </c>
      <c r="F311" s="8" t="inlineStr">
        <is>
          <t>boards</t>
        </is>
      </c>
      <c r="G311" s="8" t="inlineStr">
        <is>
          <t>Buy: reusable</t>
        </is>
      </c>
      <c r="H311" s="8" t="inlineStr">
        <is>
          <t>Both plans</t>
        </is>
      </c>
      <c r="I311" s="8" t="inlineStr">
        <is>
          <t>4 per group for the Do Now recap (students may answer in the logbook instead)</t>
        </is>
      </c>
    </row>
    <row r="312">
      <c r="A312" s="8" t="inlineStr">
        <is>
          <t>Week 7</t>
        </is>
      </c>
      <c r="B312" s="8" t="inlineStr">
        <is>
          <t>Year 8</t>
        </is>
      </c>
      <c r="C312" s="8" t="inlineStr">
        <is>
          <t>Clear plastic sleeves, A4</t>
        </is>
      </c>
      <c r="D312" s="8" t="inlineStr">
        <is>
          <t>A4透明文件套</t>
        </is>
      </c>
      <c r="E312" s="9" t="n">
        <v>2</v>
      </c>
      <c r="F312" s="8" t="inlineStr">
        <is>
          <t>sleeves</t>
        </is>
      </c>
      <c r="G312" s="8" t="inlineStr">
        <is>
          <t>Stationery and card</t>
        </is>
      </c>
      <c r="H312" s="8" t="inlineStr">
        <is>
          <t>Both plans</t>
        </is>
      </c>
      <c r="I312" s="8" t="inlineStr">
        <is>
          <t>Ink 2 groups see a note ink strip N in a clear sleeve; 1 per Ink 2 group, 2 groups maximum</t>
        </is>
      </c>
    </row>
    <row r="313">
      <c r="A313" s="8" t="inlineStr">
        <is>
          <t>Week 7</t>
        </is>
      </c>
      <c r="B313" s="8" t="inlineStr">
        <is>
          <t>Year 8</t>
        </is>
      </c>
      <c r="C313" s="8" t="inlineStr">
        <is>
          <t>Dry-wipe pens, fine tip</t>
        </is>
      </c>
      <c r="D313" s="8" t="inlineStr">
        <is>
          <t>白板笔（细头）</t>
        </is>
      </c>
      <c r="E313" s="9" t="n">
        <v>24</v>
      </c>
      <c r="F313" s="8" t="inlineStr">
        <is>
          <t>pens</t>
        </is>
      </c>
      <c r="G313" s="8" t="inlineStr">
        <is>
          <t>Stationery and card</t>
        </is>
      </c>
      <c r="H313" s="8" t="inlineStr">
        <is>
          <t>Both plans</t>
        </is>
      </c>
      <c r="I313" s="8" t="inlineStr">
        <is>
          <t>4 per group</t>
        </is>
      </c>
    </row>
    <row r="314">
      <c r="A314" s="8" t="inlineStr">
        <is>
          <t>Week 7</t>
        </is>
      </c>
      <c r="B314" s="8" t="inlineStr">
        <is>
          <t>Year 8</t>
        </is>
      </c>
      <c r="C314" s="8" t="inlineStr">
        <is>
          <t>Laminating pouches, A4</t>
        </is>
      </c>
      <c r="D314" s="8" t="inlineStr">
        <is>
          <t>塑封膜 A4</t>
        </is>
      </c>
      <c r="E314" s="9" t="n">
        <v>10</v>
      </c>
      <c r="F314" s="8" t="inlineStr">
        <is>
          <t>pouches</t>
        </is>
      </c>
      <c r="G314" s="8" t="inlineStr">
        <is>
          <t>Stationery and card</t>
        </is>
      </c>
      <c r="H314" s="8" t="inlineStr">
        <is>
          <t>Both plans</t>
        </is>
      </c>
      <c r="I314" s="8" t="inlineStr">
        <is>
          <t>Option cards (Soil, Paper, Ink 2, Powder 2): 1 per group plus 1 spare of each option, laminated if possible</t>
        </is>
      </c>
    </row>
    <row r="315">
      <c r="A315" s="8" t="inlineStr">
        <is>
          <t>Week 7</t>
        </is>
      </c>
      <c r="B315" s="8" t="inlineStr">
        <is>
          <t>Year 8</t>
        </is>
      </c>
      <c r="C315" s="8" t="inlineStr">
        <is>
          <t>Sticky labels</t>
        </is>
      </c>
      <c r="D315" s="8" t="inlineStr">
        <is>
          <t>不干胶标签</t>
        </is>
      </c>
      <c r="E315" s="9" t="n">
        <v>6</v>
      </c>
      <c r="F315" s="8" t="inlineStr">
        <is>
          <t>labels</t>
        </is>
      </c>
      <c r="G315" s="8" t="inlineStr">
        <is>
          <t>Stationery and card</t>
        </is>
      </c>
      <c r="H315" s="8" t="inlineStr">
        <is>
          <t>Both plans</t>
        </is>
      </c>
      <c r="I315" s="8" t="inlineStr">
        <is>
          <t>Evidence 6, Evidence 7 and Evidence 3 bags, up to 2 of each</t>
        </is>
      </c>
    </row>
    <row r="316">
      <c r="A316" s="8" t="inlineStr">
        <is>
          <t>Week 7</t>
        </is>
      </c>
      <c r="B316" s="8" t="inlineStr">
        <is>
          <t>Year 8</t>
        </is>
      </c>
      <c r="C316" s="8" t="inlineStr">
        <is>
          <t>Paper towels, the lab's own dispenser roll</t>
        </is>
      </c>
      <c r="D316" s="8" t="inlineStr">
        <is>
          <t>实验室纸巾（水槽抽取式擦手纸）</t>
        </is>
      </c>
      <c r="E316" s="9" t="n">
        <v>2</v>
      </c>
      <c r="F316" s="8" t="inlineStr">
        <is>
          <t>sheets</t>
        </is>
      </c>
      <c r="G316" s="8" t="inlineStr">
        <is>
          <t>Prep room equipment</t>
        </is>
      </c>
      <c r="H316" s="8" t="inlineStr">
        <is>
          <t>Both plans</t>
        </is>
      </c>
      <c r="I316" s="8" t="inlineStr">
        <is>
          <t>Evidence 7: one sheet from the lab roll per Paper group (see Evidence 7)</t>
        </is>
      </c>
    </row>
    <row r="317">
      <c r="A317" s="8" t="inlineStr">
        <is>
          <t>Week 7</t>
        </is>
      </c>
      <c r="B317" s="8" t="inlineStr">
        <is>
          <t>Year 8</t>
        </is>
      </c>
      <c r="C317" s="8" t="inlineStr">
        <is>
          <t>Baking soda (bicarbonate of soda)</t>
        </is>
      </c>
      <c r="D317" s="8" t="inlineStr">
        <is>
          <t>小苏打</t>
        </is>
      </c>
      <c r="E317" s="9" t="n">
        <v>6</v>
      </c>
      <c r="F317" s="8" t="inlineStr">
        <is>
          <t>teaspoons</t>
        </is>
      </c>
      <c r="G317" s="8" t="inlineStr">
        <is>
          <t>Canteen and kitchen</t>
        </is>
      </c>
      <c r="H317" s="8" t="inlineStr">
        <is>
          <t>Both plans</t>
        </is>
      </c>
      <c r="I317" s="8" t="inlineStr">
        <is>
          <t>Only if new sealed Evidence 3 bags are made for the Powder 2 groups (about 3 teaspoons per bag, as in Week 4; 2 groups maximum); skip if unopened Week 4 bags are left</t>
        </is>
      </c>
    </row>
    <row r="318">
      <c r="A318" s="8" t="inlineStr">
        <is>
          <t>Week 7</t>
        </is>
      </c>
      <c r="B318" s="8" t="inlineStr">
        <is>
          <t>Year 8</t>
        </is>
      </c>
      <c r="C318" s="8" t="inlineStr">
        <is>
          <t>Evidence 3: scene powder</t>
        </is>
      </c>
      <c r="D318" s="8" t="inlineStr">
        <is>
          <t>证据3：现场白色粉末</t>
        </is>
      </c>
      <c r="E318" s="9" t="n">
        <v>2</v>
      </c>
      <c r="F318" s="8" t="inlineStr">
        <is>
          <t>bags</t>
        </is>
      </c>
      <c r="G318" s="8" t="inlineStr">
        <is>
          <t>Teacher made</t>
        </is>
      </c>
      <c r="H318" s="8" t="inlineStr">
        <is>
          <t>Both plans</t>
        </is>
      </c>
      <c r="I318" s="8" t="inlineStr">
        <is>
          <t>1 sealed Evidence 3 bag per Powder 2 group, 2 groups maximum: an unopened Week 4 bag if one is left, otherwise a new bag of about 3 teaspoons of baking soda. Ingredients: baking soda, zip bags, labels</t>
        </is>
      </c>
    </row>
    <row r="319">
      <c r="A319" s="8" t="inlineStr">
        <is>
          <t>Week 7</t>
        </is>
      </c>
      <c r="B319" s="8" t="inlineStr">
        <is>
          <t>Year 8</t>
        </is>
      </c>
      <c r="C319" s="8" t="inlineStr">
        <is>
          <t>Evidence 6: scene soil</t>
        </is>
      </c>
      <c r="D319" s="8" t="inlineStr">
        <is>
          <t>证据6：现场土壤</t>
        </is>
      </c>
      <c r="E319" s="9" t="n">
        <v>2</v>
      </c>
      <c r="F319" s="8" t="inlineStr">
        <is>
          <t>sealed bags</t>
        </is>
      </c>
      <c r="G319" s="8" t="inlineStr">
        <is>
          <t>Teacher made</t>
        </is>
      </c>
      <c r="H319" s="8" t="inlineStr">
        <is>
          <t>Both plans</t>
        </is>
      </c>
      <c r="I319" s="8" t="inlineStr">
        <is>
          <t>1 labelled 'Evidence 6' bag per Soil group to look at (Week 7 kit card); the Case Bible and the prep calendar say a labelled jar instead; 2 groups maximum</t>
        </is>
      </c>
    </row>
    <row r="320">
      <c r="A320" s="8" t="inlineStr">
        <is>
          <t>Week 7</t>
        </is>
      </c>
      <c r="B320" s="8" t="inlineStr">
        <is>
          <t>Year 8</t>
        </is>
      </c>
      <c r="C320" s="8" t="inlineStr">
        <is>
          <t>Evidence 7: scene paper towel</t>
        </is>
      </c>
      <c r="D320" s="8" t="inlineStr">
        <is>
          <t>证据7：现场纸巾</t>
        </is>
      </c>
      <c r="E320" s="9" t="n">
        <v>2</v>
      </c>
      <c r="F320" s="8" t="inlineStr">
        <is>
          <t>sealed bags</t>
        </is>
      </c>
      <c r="G320" s="8" t="inlineStr">
        <is>
          <t>Teacher made</t>
        </is>
      </c>
      <c r="H320" s="8" t="inlineStr">
        <is>
          <t>Both plans</t>
        </is>
      </c>
      <c r="I320" s="8" t="inlineStr">
        <is>
          <t>1 labelled 'Evidence 7' bag per Paper group; 2 groups maximum</t>
        </is>
      </c>
    </row>
    <row r="321">
      <c r="A321" s="8" t="inlineStr">
        <is>
          <t>Week 7</t>
        </is>
      </c>
      <c r="B321" s="8" t="inlineStr">
        <is>
          <t>Year 8</t>
        </is>
      </c>
      <c r="C321" s="8" t="inlineStr">
        <is>
          <t>Note ink strips 'N'</t>
        </is>
      </c>
      <c r="D321" s="8" t="inlineStr">
        <is>
          <t>纸条墨水N滤纸条</t>
        </is>
      </c>
      <c r="E321" s="9" t="n">
        <v>2</v>
      </c>
      <c r="F321" s="8" t="inlineStr">
        <is>
          <t>strips</t>
        </is>
      </c>
      <c r="G321" s="8" t="inlineStr">
        <is>
          <t>Teacher made</t>
        </is>
      </c>
      <c r="H321" s="8" t="inlineStr">
        <is>
          <t>Both plans</t>
        </is>
      </c>
      <c r="I321" s="8" t="inlineStr">
        <is>
          <t>Ink 2 groups: 1 N strip each shown in a clear sleeve; 2 groups maximum (the 2 Week 3 spares can be used)</t>
        </is>
      </c>
    </row>
    <row r="322">
      <c r="A322" s="8" t="inlineStr">
        <is>
          <t>Week 7</t>
        </is>
      </c>
      <c r="B322" s="8" t="inlineStr">
        <is>
          <t>Year 9</t>
        </is>
      </c>
      <c r="C322" s="8" t="inlineStr">
        <is>
          <t>A3 paper, white, 80 gsm</t>
        </is>
      </c>
      <c r="D322" s="8" t="inlineStr">
        <is>
          <t>A3复印纸（白色，80克）</t>
        </is>
      </c>
      <c r="E322" s="9" t="n">
        <v>8</v>
      </c>
      <c r="F322" s="8" t="inlineStr">
        <is>
          <t>sheets</t>
        </is>
      </c>
      <c r="G322" s="8" t="inlineStr">
        <is>
          <t>Stationery and card</t>
        </is>
      </c>
      <c r="H322" s="8" t="inlineStr">
        <is>
          <t>Both plans</t>
        </is>
      </c>
      <c r="I322" s="8" t="inlineStr">
        <is>
          <t>Planning frames: 6 plus 2 spares. Without A3, print on both sides of A4</t>
        </is>
      </c>
    </row>
    <row r="323">
      <c r="A323" s="8" t="inlineStr">
        <is>
          <t>Week 7</t>
        </is>
      </c>
      <c r="B323" s="8" t="inlineStr">
        <is>
          <t>Year 9</t>
        </is>
      </c>
      <c r="C323" s="8" t="inlineStr">
        <is>
          <t>Envelopes, C6 (for small card sets)</t>
        </is>
      </c>
      <c r="D323" s="8" t="inlineStr">
        <is>
          <t>C6信封（可装A6及名片大小卡片）</t>
        </is>
      </c>
      <c r="E323" s="9" t="n">
        <v>6</v>
      </c>
      <c r="F323" s="8" t="inlineStr">
        <is>
          <t>envelopes</t>
        </is>
      </c>
      <c r="G323" s="8" t="inlineStr">
        <is>
          <t>Stationery and card</t>
        </is>
      </c>
      <c r="H323" s="8" t="inlineStr">
        <is>
          <t>Both plans</t>
        </is>
      </c>
      <c r="I323" s="8" t="inlineStr">
        <is>
          <t>One per claim bank card set (at clean-up, the cards are counted back into the envelope)</t>
        </is>
      </c>
    </row>
    <row r="324">
      <c r="A324" s="8" t="inlineStr">
        <is>
          <t>Week 7</t>
        </is>
      </c>
      <c r="B324" s="8" t="inlineStr">
        <is>
          <t>Year 9</t>
        </is>
      </c>
      <c r="C324" s="8" t="inlineStr">
        <is>
          <t>Pencils, HB</t>
        </is>
      </c>
      <c r="D324" s="8" t="inlineStr">
        <is>
          <t>铅笔（HB）</t>
        </is>
      </c>
      <c r="E324" s="9" t="n">
        <v>24</v>
      </c>
      <c r="F324" s="8" t="inlineStr">
        <is>
          <t>pencils</t>
        </is>
      </c>
      <c r="G324" s="8" t="inlineStr">
        <is>
          <t>Stationery and card</t>
        </is>
      </c>
      <c r="H324" s="8" t="inlineStr">
        <is>
          <t>Both plans</t>
        </is>
      </c>
      <c r="I324" s="8" t="inlineStr">
        <is>
          <t>4 per group</t>
        </is>
      </c>
    </row>
    <row r="325">
      <c r="A325" s="8" t="inlineStr">
        <is>
          <t>Week 7</t>
        </is>
      </c>
      <c r="B325" s="8" t="inlineStr">
        <is>
          <t>Year 9</t>
        </is>
      </c>
      <c r="C325" s="8" t="inlineStr">
        <is>
          <t>White card, A4, 160 gsm</t>
        </is>
      </c>
      <c r="D325" s="8" t="inlineStr">
        <is>
          <t>160克白卡纸 A4</t>
        </is>
      </c>
      <c r="E325" s="9" t="n">
        <v>18</v>
      </c>
      <c r="F325" s="8" t="inlineStr">
        <is>
          <t>sheets</t>
        </is>
      </c>
      <c r="G325" s="8" t="inlineStr">
        <is>
          <t>Stationery and card</t>
        </is>
      </c>
      <c r="H325" s="8" t="inlineStr">
        <is>
          <t>Both plans</t>
        </is>
      </c>
      <c r="I325" s="8" t="inlineStr">
        <is>
          <t>Claim bank cards: 6 sets x 3 sheets (4 A6 cards per sheet). Plan B needs only 12 sheets, because sheet 1 (claims 1, 2, 5 and 6) is not printed</t>
        </is>
      </c>
    </row>
    <row r="326">
      <c r="A326" s="8" t="inlineStr">
        <is>
          <t>Week 8</t>
        </is>
      </c>
      <c r="B326" s="8" t="inlineStr">
        <is>
          <t>Year 7</t>
        </is>
      </c>
      <c r="C326" s="8" t="inlineStr">
        <is>
          <t>Disposable gloves</t>
        </is>
      </c>
      <c r="D326" s="8" t="inlineStr">
        <is>
          <t>一次性手套</t>
        </is>
      </c>
      <c r="E326" s="9" t="n">
        <v>18</v>
      </c>
      <c r="F326" s="8" t="inlineStr">
        <is>
          <t>pairs</t>
        </is>
      </c>
      <c r="G326" s="8" t="inlineStr">
        <is>
          <t>Buy: used up</t>
        </is>
      </c>
      <c r="H326" s="8" t="inlineStr">
        <is>
          <t>Plan A (freezer)</t>
        </is>
      </c>
      <c r="I326" s="8" t="inlineStr">
        <is>
          <t>3 pairs per group (peeling and handling ice strips)</t>
        </is>
      </c>
    </row>
    <row r="327">
      <c r="A327" s="8" t="inlineStr">
        <is>
          <t>Week 8</t>
        </is>
      </c>
      <c r="B327" s="8" t="inlineStr">
        <is>
          <t>Year 7</t>
        </is>
      </c>
      <c r="C327" s="8" t="inlineStr">
        <is>
          <t>Kitchen roll (shop-bought paper towels)</t>
        </is>
      </c>
      <c r="D327" s="8" t="inlineStr">
        <is>
          <t>厨房纸（卷筒）</t>
        </is>
      </c>
      <c r="E327" s="9" t="n">
        <v>1</v>
      </c>
      <c r="F327" s="8" t="inlineStr">
        <is>
          <t>rolls</t>
        </is>
      </c>
      <c r="G327" s="8" t="inlineStr">
        <is>
          <t>Buy: used up</t>
        </is>
      </c>
      <c r="H327" s="8" t="inlineStr">
        <is>
          <t>Both plans</t>
        </is>
      </c>
      <c r="I327" s="8" t="inlineStr">
        <is>
          <t>'Plus paper towels' with the cloth towels (quantity not given)</t>
        </is>
      </c>
    </row>
    <row r="328">
      <c r="A328" s="8" t="inlineStr">
        <is>
          <t>Week 8</t>
        </is>
      </c>
      <c r="B328" s="8" t="inlineStr">
        <is>
          <t>Year 7</t>
        </is>
      </c>
      <c r="C328" s="8" t="inlineStr">
        <is>
          <t>Cool box, insulated, with lid</t>
        </is>
      </c>
      <c r="D328" s="8" t="inlineStr">
        <is>
          <t>保温箱（带盖）</t>
        </is>
      </c>
      <c r="E328" s="9" t="n">
        <v>6</v>
      </c>
      <c r="F328" s="8" t="inlineStr">
        <is>
          <t>boxes</t>
        </is>
      </c>
      <c r="G328" s="8" t="inlineStr">
        <is>
          <t>Buy: reusable</t>
        </is>
      </c>
      <c r="H328" s="8" t="inlineStr">
        <is>
          <t>Plan A (freezer)</t>
        </is>
      </c>
      <c r="I328" s="8" t="inlineStr">
        <is>
          <t>1 per group to hold its tray of ice strips (cool box or bubble-wrapped box)</t>
        </is>
      </c>
    </row>
    <row r="329">
      <c r="A329" s="8" t="inlineStr">
        <is>
          <t>Week 8</t>
        </is>
      </c>
      <c r="B329" s="8" t="inlineStr">
        <is>
          <t>Year 7</t>
        </is>
      </c>
      <c r="C329" s="8" t="inlineStr">
        <is>
          <t>Waste bowl</t>
        </is>
      </c>
      <c r="D329" s="8" t="inlineStr">
        <is>
          <t>废料盆</t>
        </is>
      </c>
      <c r="E329" s="9" t="n">
        <v>6</v>
      </c>
      <c r="F329" s="8" t="inlineStr">
        <is>
          <t>bowls</t>
        </is>
      </c>
      <c r="G329" s="8" t="inlineStr">
        <is>
          <t>Buy: reusable</t>
        </is>
      </c>
      <c r="H329" s="8" t="inlineStr">
        <is>
          <t>Both plans</t>
        </is>
      </c>
      <c r="I329" s="8" t="inlineStr">
        <is>
          <t>1 per group (strength or melting)</t>
        </is>
      </c>
    </row>
    <row r="330">
      <c r="A330" s="8" t="inlineStr">
        <is>
          <t>Week 8</t>
        </is>
      </c>
      <c r="B330" s="8" t="inlineStr">
        <is>
          <t>Year 7</t>
        </is>
      </c>
      <c r="C330" s="8" t="inlineStr">
        <is>
          <t>A3 paper, white, 80 gsm</t>
        </is>
      </c>
      <c r="D330" s="8" t="inlineStr">
        <is>
          <t>A3复印纸（白色，80克）</t>
        </is>
      </c>
      <c r="E330" s="9" t="n">
        <v>1</v>
      </c>
      <c r="F330" s="8" t="inlineStr">
        <is>
          <t>sheets</t>
        </is>
      </c>
      <c r="G330" s="8" t="inlineStr">
        <is>
          <t>Stationery and card</t>
        </is>
      </c>
      <c r="H330" s="8" t="inlineStr">
        <is>
          <t>Both plans</t>
        </is>
      </c>
      <c r="I330" s="8" t="inlineStr">
        <is>
          <t>Strength test rig diagram, A3 copy for the board</t>
        </is>
      </c>
    </row>
    <row r="331">
      <c r="A331" s="8" t="inlineStr">
        <is>
          <t>Week 8</t>
        </is>
      </c>
      <c r="B331" s="8" t="inlineStr">
        <is>
          <t>Year 7</t>
        </is>
      </c>
      <c r="C331" s="8" t="inlineStr">
        <is>
          <t>Group folders, A3</t>
        </is>
      </c>
      <c r="D331" s="8" t="inlineStr">
        <is>
          <t>A3文件夹（小组用）</t>
        </is>
      </c>
      <c r="E331" s="9" t="n">
        <v>6</v>
      </c>
      <c r="F331" s="8" t="inlineStr">
        <is>
          <t>folders</t>
        </is>
      </c>
      <c r="G331" s="8" t="inlineStr">
        <is>
          <t>Stationery and card</t>
        </is>
      </c>
      <c r="H331" s="8" t="inlineStr">
        <is>
          <t>Both plans</t>
        </is>
      </c>
      <c r="I331" s="8" t="inlineStr">
        <is>
          <t>Planning frame and results sheet</t>
        </is>
      </c>
    </row>
    <row r="332">
      <c r="A332" s="8" t="inlineStr">
        <is>
          <t>Week 8</t>
        </is>
      </c>
      <c r="B332" s="8" t="inlineStr">
        <is>
          <t>Year 7</t>
        </is>
      </c>
      <c r="C332" s="8" t="inlineStr">
        <is>
          <t>Laminating pouches, A4</t>
        </is>
      </c>
      <c r="D332" s="8" t="inlineStr">
        <is>
          <t>塑封膜 A4</t>
        </is>
      </c>
      <c r="E332" s="9" t="n">
        <v>6</v>
      </c>
      <c r="F332" s="8" t="inlineStr">
        <is>
          <t>pouches</t>
        </is>
      </c>
      <c r="G332" s="8" t="inlineStr">
        <is>
          <t>Stationery and card</t>
        </is>
      </c>
      <c r="H332" s="8" t="inlineStr">
        <is>
          <t>Both plans</t>
        </is>
      </c>
      <c r="I332" s="8" t="inlineStr">
        <is>
          <t>Strength test rig diagram, 1 A4 copy per group, laminated and reusable in future years</t>
        </is>
      </c>
    </row>
    <row r="333">
      <c r="A333" s="8" t="inlineStr">
        <is>
          <t>Week 8</t>
        </is>
      </c>
      <c r="B333" s="8" t="inlineStr">
        <is>
          <t>Year 7</t>
        </is>
      </c>
      <c r="C333" s="8" t="inlineStr">
        <is>
          <t>Laminating pouches, A5</t>
        </is>
      </c>
      <c r="D333" s="8" t="inlineStr">
        <is>
          <t>塑封膜 A5</t>
        </is>
      </c>
      <c r="E333" s="9" t="n">
        <v>2</v>
      </c>
      <c r="F333" s="8" t="inlineStr">
        <is>
          <t>pouches</t>
        </is>
      </c>
      <c r="G333" s="8" t="inlineStr">
        <is>
          <t>Stationery and card</t>
        </is>
      </c>
      <c r="H333" s="8" t="inlineStr">
        <is>
          <t>Both plans</t>
        </is>
      </c>
      <c r="I333" s="8" t="inlineStr">
        <is>
          <t>Plan A only: melting test station cards, 2 per class, laminated</t>
        </is>
      </c>
    </row>
    <row r="334">
      <c r="A334" s="8" t="inlineStr">
        <is>
          <t>Week 8</t>
        </is>
      </c>
      <c r="B334" s="8" t="inlineStr">
        <is>
          <t>Year 7</t>
        </is>
      </c>
      <c r="C334" s="8" t="inlineStr">
        <is>
          <t>Permanent marker pens, black</t>
        </is>
      </c>
      <c r="D334" s="8" t="inlineStr">
        <is>
          <t>黑色油性记号笔</t>
        </is>
      </c>
      <c r="E334" s="9" t="n">
        <v>1</v>
      </c>
      <c r="F334" s="8" t="inlineStr">
        <is>
          <t>pens</t>
        </is>
      </c>
      <c r="G334" s="8" t="inlineStr">
        <is>
          <t>Stationery and card</t>
        </is>
      </c>
      <c r="H334" s="8" t="inlineStr">
        <is>
          <t>Both plans</t>
        </is>
      </c>
      <c r="I334" s="8" t="inlineStr">
        <is>
          <t>Mark the 25 ml line on 12 pour cups; Recorders write results on the class project board</t>
        </is>
      </c>
    </row>
    <row r="335">
      <c r="A335" s="8" t="inlineStr">
        <is>
          <t>Week 8</t>
        </is>
      </c>
      <c r="B335" s="8" t="inlineStr">
        <is>
          <t>Year 7</t>
        </is>
      </c>
      <c r="C335" s="8" t="inlineStr">
        <is>
          <t>String, strong</t>
        </is>
      </c>
      <c r="D335" s="8" t="inlineStr">
        <is>
          <t>结实的细绳</t>
        </is>
      </c>
      <c r="E335" s="9" t="n">
        <v>13</v>
      </c>
      <c r="F335" s="8" t="inlineStr">
        <is>
          <t>hanger strings</t>
        </is>
      </c>
      <c r="G335" s="8" t="inlineStr">
        <is>
          <t>Stationery and card</t>
        </is>
      </c>
      <c r="H335" s="8" t="inlineStr">
        <is>
          <t>Both plans</t>
        </is>
      </c>
      <c r="I335" s="8" t="inlineStr">
        <is>
          <t>2 per group (12) + 1 for the teacher demo rig: loop about 20 cm round with a tail so the bag hangs about 5 cm above the bucket bottom</t>
        </is>
      </c>
    </row>
    <row r="336">
      <c r="A336" s="8" t="inlineStr">
        <is>
          <t>Week 8</t>
        </is>
      </c>
      <c r="B336" s="8" t="inlineStr">
        <is>
          <t>Year 7</t>
        </is>
      </c>
      <c r="C336" s="8" t="inlineStr">
        <is>
          <t>Bucket, plastic</t>
        </is>
      </c>
      <c r="D336" s="8" t="inlineStr">
        <is>
          <t>塑料水桶</t>
        </is>
      </c>
      <c r="E336" s="9" t="n">
        <v>13</v>
      </c>
      <c r="F336" s="8" t="inlineStr">
        <is>
          <t>buckets</t>
        </is>
      </c>
      <c r="G336" s="8" t="inlineStr">
        <is>
          <t>Prep room equipment</t>
        </is>
      </c>
      <c r="H336" s="8" t="inlineStr">
        <is>
          <t>Both plans</t>
        </is>
      </c>
      <c r="I336" s="8" t="inlineStr">
        <is>
          <t>2 per group (12) + 1 under the teacher demo rig. Week 10 close-out treats buckets as borrowed; buy deep washing-up bowls only if short</t>
        </is>
      </c>
    </row>
    <row r="337">
      <c r="A337" s="8" t="inlineStr">
        <is>
          <t>Week 8</t>
        </is>
      </c>
      <c r="B337" s="8" t="inlineStr">
        <is>
          <t>Year 7</t>
        </is>
      </c>
      <c r="C337" s="8" t="inlineStr">
        <is>
          <t>Drying shelf space for dough strips</t>
        </is>
      </c>
      <c r="D337" s="8" t="inlineStr">
        <is>
          <t>晾干架（晾面团条用）</t>
        </is>
      </c>
      <c r="E337" s="9" t="n">
        <v>1</v>
      </c>
      <c r="F337" s="8" t="inlineStr">
        <is>
          <t>shelf</t>
        </is>
      </c>
      <c r="G337" s="8" t="inlineStr">
        <is>
          <t>Prep room equipment</t>
        </is>
      </c>
      <c r="H337" s="8" t="inlineStr">
        <is>
          <t>Plan B (no freezer)</t>
        </is>
      </c>
      <c r="I337" s="8" t="inlineStr">
        <is>
          <t>Strips stay on the shelf until they are handed out at the start of the lesson</t>
        </is>
      </c>
    </row>
    <row r="338">
      <c r="A338" s="8" t="inlineStr">
        <is>
          <t>Week 8</t>
        </is>
      </c>
      <c r="B338" s="8" t="inlineStr">
        <is>
          <t>Year 7</t>
        </is>
      </c>
      <c r="C338" s="8" t="inlineStr">
        <is>
          <t>Measuring cylinder, 10 ml</t>
        </is>
      </c>
      <c r="D338" s="8" t="inlineStr">
        <is>
          <t>量筒 10毫升</t>
        </is>
      </c>
      <c r="E338" s="9" t="n">
        <v>2</v>
      </c>
      <c r="F338" s="8" t="inlineStr">
        <is>
          <t>cylinders</t>
        </is>
      </c>
      <c r="G338" s="8" t="inlineStr">
        <is>
          <t>Prep room equipment</t>
        </is>
      </c>
      <c r="H338" s="8" t="inlineStr">
        <is>
          <t>Plan A (freezer)</t>
        </is>
      </c>
      <c r="I338" s="8" t="inlineStr">
        <is>
          <t>1 per melting-test group (up to 2)</t>
        </is>
      </c>
    </row>
    <row r="339">
      <c r="A339" s="8" t="inlineStr">
        <is>
          <t>Week 8</t>
        </is>
      </c>
      <c r="B339" s="8" t="inlineStr">
        <is>
          <t>Year 7</t>
        </is>
      </c>
      <c r="C339" s="8" t="inlineStr">
        <is>
          <t>Measuring cylinder, 25 ml</t>
        </is>
      </c>
      <c r="D339" s="8" t="inlineStr">
        <is>
          <t>量筒 25毫升</t>
        </is>
      </c>
      <c r="E339" s="9" t="n">
        <v>1</v>
      </c>
      <c r="F339" s="8" t="inlineStr">
        <is>
          <t>cylinders</t>
        </is>
      </c>
      <c r="G339" s="8" t="inlineStr">
        <is>
          <t>Prep room equipment</t>
        </is>
      </c>
      <c r="H339" s="8" t="inlineStr">
        <is>
          <t>Both plans</t>
        </is>
      </c>
      <c r="I339" s="8" t="inlineStr">
        <is>
          <t>Teacher marks the 25 ml line on 12 pour cups (both plans)</t>
        </is>
      </c>
    </row>
    <row r="340">
      <c r="A340" s="8" t="inlineStr">
        <is>
          <t>Week 8</t>
        </is>
      </c>
      <c r="B340" s="8" t="inlineStr">
        <is>
          <t>Year 7</t>
        </is>
      </c>
      <c r="C340" s="8" t="inlineStr">
        <is>
          <t>Mop and bucket</t>
        </is>
      </c>
      <c r="D340" s="8" t="inlineStr">
        <is>
          <t>拖把和拖把桶</t>
        </is>
      </c>
      <c r="E340" s="9" t="n">
        <v>1</v>
      </c>
      <c r="F340" s="8" t="inlineStr">
        <is>
          <t>sets</t>
        </is>
      </c>
      <c r="G340" s="8" t="inlineStr">
        <is>
          <t>Prep room equipment</t>
        </is>
      </c>
      <c r="H340" s="8" t="inlineStr">
        <is>
          <t>Both plans</t>
        </is>
      </c>
      <c r="I340" s="8" t="inlineStr">
        <is>
          <t>Near the door</t>
        </is>
      </c>
    </row>
    <row r="341">
      <c r="A341" s="8" t="inlineStr">
        <is>
          <t>Week 8</t>
        </is>
      </c>
      <c r="B341" s="8" t="inlineStr">
        <is>
          <t>Year 7</t>
        </is>
      </c>
      <c r="C341" s="8" t="inlineStr">
        <is>
          <t>Plastic cups, clear, identical, about 250 ml</t>
        </is>
      </c>
      <c r="D341" s="8" t="inlineStr">
        <is>
          <t>透明塑料杯（同款，约250毫升）</t>
        </is>
      </c>
      <c r="E341" s="9" t="n">
        <v>12</v>
      </c>
      <c r="F341" s="8" t="inlineStr">
        <is>
          <t>cups</t>
        </is>
      </c>
      <c r="G341" s="8" t="inlineStr">
        <is>
          <t>Prep room equipment</t>
        </is>
      </c>
      <c r="H341" s="8" t="inlineStr">
        <is>
          <t>Both plans</t>
        </is>
      </c>
      <c r="I341" s="8" t="inlineStr">
        <is>
          <t>Pour cups marked at 25 ml, 2 per group</t>
        </is>
      </c>
    </row>
    <row r="342">
      <c r="A342" s="8" t="inlineStr">
        <is>
          <t>Week 8</t>
        </is>
      </c>
      <c r="B342" s="8" t="inlineStr">
        <is>
          <t>Year 7</t>
        </is>
      </c>
      <c r="C342" s="8" t="inlineStr">
        <is>
          <t>Ruler, 30 cm</t>
        </is>
      </c>
      <c r="D342" s="8" t="inlineStr">
        <is>
          <t>直尺 30厘米</t>
        </is>
      </c>
      <c r="E342" s="9" t="n">
        <v>6</v>
      </c>
      <c r="F342" s="8" t="inlineStr">
        <is>
          <t>rulers</t>
        </is>
      </c>
      <c r="G342" s="8" t="inlineStr">
        <is>
          <t>Prep room equipment</t>
        </is>
      </c>
      <c r="H342" s="8" t="inlineStr">
        <is>
          <t>Both plans</t>
        </is>
      </c>
      <c r="I342" s="8" t="inlineStr">
        <is>
          <t>1 per group to check the 10 cm span</t>
        </is>
      </c>
    </row>
    <row r="343">
      <c r="A343" s="8" t="inlineStr">
        <is>
          <t>Week 8</t>
        </is>
      </c>
      <c r="B343" s="8" t="inlineStr">
        <is>
          <t>Year 7</t>
        </is>
      </c>
      <c r="C343" s="8" t="inlineStr">
        <is>
          <t>Stopwatch</t>
        </is>
      </c>
      <c r="D343" s="8" t="inlineStr">
        <is>
          <t>秒表</t>
        </is>
      </c>
      <c r="E343" s="9" t="n">
        <v>2</v>
      </c>
      <c r="F343" s="8" t="inlineStr">
        <is>
          <t>stopwatches</t>
        </is>
      </c>
      <c r="G343" s="8" t="inlineStr">
        <is>
          <t>Prep room equipment</t>
        </is>
      </c>
      <c r="H343" s="8" t="inlineStr">
        <is>
          <t>Both plans</t>
        </is>
      </c>
      <c r="I343" s="8" t="inlineStr">
        <is>
          <t>Plan A only: 1 per melting-test group (up to 2)</t>
        </is>
      </c>
    </row>
    <row r="344">
      <c r="A344" s="8" t="inlineStr">
        <is>
          <t>Week 8</t>
        </is>
      </c>
      <c r="B344" s="8" t="inlineStr">
        <is>
          <t>Year 7</t>
        </is>
      </c>
      <c r="C344" s="8" t="inlineStr">
        <is>
          <t>Trays, flat (kit trays)</t>
        </is>
      </c>
      <c r="D344" s="8" t="inlineStr">
        <is>
          <t>托盘（平底）</t>
        </is>
      </c>
      <c r="E344" s="9" t="n">
        <v>6</v>
      </c>
      <c r="F344" s="8" t="inlineStr">
        <is>
          <t>trays</t>
        </is>
      </c>
      <c r="G344" s="8" t="inlineStr">
        <is>
          <t>Prep room equipment</t>
        </is>
      </c>
      <c r="H344" s="8" t="inlineStr">
        <is>
          <t>Both plans</t>
        </is>
      </c>
      <c r="I344" s="8" t="inlineStr">
        <is>
          <t>Same trays, carrying each group's samples</t>
        </is>
      </c>
    </row>
    <row r="345">
      <c r="A345" s="8" t="inlineStr">
        <is>
          <t>Week 8</t>
        </is>
      </c>
      <c r="B345" s="8" t="inlineStr">
        <is>
          <t>Year 7</t>
        </is>
      </c>
      <c r="C345" s="8" t="inlineStr">
        <is>
          <t>Freezer space</t>
        </is>
      </c>
      <c r="D345" s="8" t="inlineStr">
        <is>
          <t>冰柜空间</t>
        </is>
      </c>
      <c r="E345" s="9" t="n">
        <v>1</v>
      </c>
      <c r="F345" s="8" t="inlineStr">
        <is>
          <t>drawer</t>
        </is>
      </c>
      <c r="G345" s="8" t="inlineStr">
        <is>
          <t>Canteen and kitchen</t>
        </is>
      </c>
      <c r="H345" s="8" t="inlineStr">
        <is>
          <t>Plan A (freezer)</t>
        </is>
      </c>
      <c r="I345" s="8" t="inlineStr">
        <is>
          <t>Strips stay frozen until just before the lesson, then move into the insulated boxes</t>
        </is>
      </c>
    </row>
    <row r="346">
      <c r="A346" s="8" t="inlineStr">
        <is>
          <t>Week 8</t>
        </is>
      </c>
      <c r="B346" s="8" t="inlineStr">
        <is>
          <t>Year 7</t>
        </is>
      </c>
      <c r="C346" s="8" t="inlineStr">
        <is>
          <t>Jugs, plastic, about 2 litres</t>
        </is>
      </c>
      <c r="D346" s="8" t="inlineStr">
        <is>
          <t>塑料水壶（约2升）</t>
        </is>
      </c>
      <c r="E346" s="9" t="n">
        <v>6</v>
      </c>
      <c r="F346" s="8" t="inlineStr">
        <is>
          <t>jugs</t>
        </is>
      </c>
      <c r="G346" s="8" t="inlineStr">
        <is>
          <t>Canteen and kitchen</t>
        </is>
      </c>
      <c r="H346" s="8" t="inlineStr">
        <is>
          <t>Both plans</t>
        </is>
      </c>
      <c r="I346" s="8" t="inlineStr">
        <is>
          <t>1 jug of water (about 2 litres) per group; water goes back into the jug, then the sink</t>
        </is>
      </c>
    </row>
    <row r="347">
      <c r="A347" s="8" t="inlineStr">
        <is>
          <t>Week 8</t>
        </is>
      </c>
      <c r="B347" s="8" t="inlineStr">
        <is>
          <t>Year 7</t>
        </is>
      </c>
      <c r="C347" s="8" t="inlineStr">
        <is>
          <t>Saucers, small, identical</t>
        </is>
      </c>
      <c r="D347" s="8" t="inlineStr">
        <is>
          <t>小碟子（同款）</t>
        </is>
      </c>
      <c r="E347" s="9" t="n">
        <v>20</v>
      </c>
      <c r="F347" s="8" t="inlineStr">
        <is>
          <t>lids</t>
        </is>
      </c>
      <c r="G347" s="8" t="inlineStr">
        <is>
          <t>Canteen and kitchen</t>
        </is>
      </c>
      <c r="H347" s="8" t="inlineStr">
        <is>
          <t>Plan A (freezer)</t>
        </is>
      </c>
      <c r="I347" s="8" t="inlineStr">
        <is>
          <t>10 per melting-test group, up to 2 groups</t>
        </is>
      </c>
    </row>
    <row r="348">
      <c r="A348" s="8" t="inlineStr">
        <is>
          <t>Week 8</t>
        </is>
      </c>
      <c r="B348" s="8" t="inlineStr">
        <is>
          <t>Year 7</t>
        </is>
      </c>
      <c r="C348" s="8" t="inlineStr">
        <is>
          <t>Box with a lid (to wrap in bubble wrap)</t>
        </is>
      </c>
      <c r="D348" s="8" t="inlineStr">
        <is>
          <t>带盖纸箱（外包气泡膜）</t>
        </is>
      </c>
      <c r="E348" s="9" t="n">
        <v>6</v>
      </c>
      <c r="F348" s="8" t="inlineStr">
        <is>
          <t>boxes</t>
        </is>
      </c>
      <c r="G348" s="8" t="inlineStr">
        <is>
          <t>Collect or borrow</t>
        </is>
      </c>
      <c r="H348" s="8" t="inlineStr">
        <is>
          <t>Plan A (freezer)</t>
        </is>
      </c>
      <c r="I348" s="8" t="inlineStr">
        <is>
          <t>Only if cool boxes are short: the kit card's alternative insulated box, wrapped in Week 6 bubble wrap, 1 per group</t>
        </is>
      </c>
    </row>
    <row r="349">
      <c r="A349" s="8" t="inlineStr">
        <is>
          <t>Week 8</t>
        </is>
      </c>
      <c r="B349" s="8" t="inlineStr">
        <is>
          <t>Year 7</t>
        </is>
      </c>
      <c r="C349" s="8" t="inlineStr">
        <is>
          <t>Bubble wrap</t>
        </is>
      </c>
      <c r="D349" s="8" t="inlineStr">
        <is>
          <t>气泡膜</t>
        </is>
      </c>
      <c r="E349" s="9" t="n">
        <v>6</v>
      </c>
      <c r="F349" s="8" t="inlineStr">
        <is>
          <t>box wraps</t>
        </is>
      </c>
      <c r="G349" s="8" t="inlineStr">
        <is>
          <t>Collect or borrow</t>
        </is>
      </c>
      <c r="H349" s="8" t="inlineStr">
        <is>
          <t>Both plans</t>
        </is>
      </c>
      <c r="I349" s="8" t="inlineStr">
        <is>
          <t>Plan A only, and only if cool boxes are short: wrap a box with a lid per group to make an insulated box (amount not given)</t>
        </is>
      </c>
    </row>
    <row r="350">
      <c r="A350" s="8" t="inlineStr">
        <is>
          <t>Week 8</t>
        </is>
      </c>
      <c r="B350" s="8" t="inlineStr">
        <is>
          <t>Year 7</t>
        </is>
      </c>
      <c r="C350" s="8" t="inlineStr">
        <is>
          <t>Small carrier bags or freezer bags with handles</t>
        </is>
      </c>
      <c r="D350" s="8" t="inlineStr">
        <is>
          <t>带提手的小塑料袋或冷冻袋</t>
        </is>
      </c>
      <c r="E350" s="9" t="n">
        <v>13</v>
      </c>
      <c r="F350" s="8" t="inlineStr">
        <is>
          <t>bags</t>
        </is>
      </c>
      <c r="G350" s="8" t="inlineStr">
        <is>
          <t>Collect or borrow</t>
        </is>
      </c>
      <c r="H350" s="8" t="inlineStr">
        <is>
          <t>Both plans</t>
        </is>
      </c>
      <c r="I350" s="8" t="inlineStr">
        <is>
          <t>2 per group (12) + 1 for the teacher demo rig</t>
        </is>
      </c>
    </row>
    <row r="351">
      <c r="A351" s="8" t="inlineStr">
        <is>
          <t>Week 8</t>
        </is>
      </c>
      <c r="B351" s="8" t="inlineStr">
        <is>
          <t>Year 7</t>
        </is>
      </c>
      <c r="C351" s="8" t="inlineStr">
        <is>
          <t>Textbooks for book stacks</t>
        </is>
      </c>
      <c r="D351" s="8" t="inlineStr">
        <is>
          <t>课本（叠成书堆用）</t>
        </is>
      </c>
      <c r="E351" s="9" t="n">
        <v>78</v>
      </c>
      <c r="F351" s="8" t="inlineStr">
        <is>
          <t>books</t>
        </is>
      </c>
      <c r="G351" s="8" t="inlineStr">
        <is>
          <t>Collect or borrow</t>
        </is>
      </c>
      <c r="H351" s="8" t="inlineStr">
        <is>
          <t>Both plans</t>
        </is>
      </c>
      <c r="I351" s="8" t="inlineStr">
        <is>
          <t>About 12 per group for 4 stacks (72) + 6 for the teacher demo rig; dried and returned after</t>
        </is>
      </c>
    </row>
    <row r="352">
      <c r="A352" s="8" t="inlineStr">
        <is>
          <t>Week 8</t>
        </is>
      </c>
      <c r="B352" s="8" t="inlineStr">
        <is>
          <t>Year 7</t>
        </is>
      </c>
      <c r="C352" s="8" t="inlineStr">
        <is>
          <t>Thin plastic bags (to cover books)</t>
        </is>
      </c>
      <c r="D352" s="8" t="inlineStr">
        <is>
          <t>薄塑料袋（包书用）</t>
        </is>
      </c>
      <c r="E352" s="9" t="n">
        <v>12</v>
      </c>
      <c r="F352" s="8" t="inlineStr">
        <is>
          <t>bags</t>
        </is>
      </c>
      <c r="G352" s="8" t="inlineStr">
        <is>
          <t>Collect or borrow</t>
        </is>
      </c>
      <c r="H352" s="8" t="inlineStr">
        <is>
          <t>Plan A (freezer)</t>
        </is>
      </c>
      <c r="I352" s="8" t="inlineStr">
        <is>
          <t>2 per group</t>
        </is>
      </c>
    </row>
    <row r="353">
      <c r="A353" s="8" t="inlineStr">
        <is>
          <t>Week 8</t>
        </is>
      </c>
      <c r="B353" s="8" t="inlineStr">
        <is>
          <t>Year 7</t>
        </is>
      </c>
      <c r="C353" s="8" t="inlineStr">
        <is>
          <t>Towels, cloth</t>
        </is>
      </c>
      <c r="D353" s="8" t="inlineStr">
        <is>
          <t>毛巾</t>
        </is>
      </c>
      <c r="E353" s="9" t="n">
        <v>13</v>
      </c>
      <c r="F353" s="8" t="inlineStr">
        <is>
          <t>towels</t>
        </is>
      </c>
      <c r="G353" s="8" t="inlineStr">
        <is>
          <t>Collect or borrow</t>
        </is>
      </c>
      <c r="H353" s="8" t="inlineStr">
        <is>
          <t>Both plans</t>
        </is>
      </c>
      <c r="I353" s="8" t="inlineStr">
        <is>
          <t>2 per group (12) + 1 for the teacher, who circulates with a towel during the Do phase</t>
        </is>
      </c>
    </row>
    <row r="354">
      <c r="A354" s="8" t="inlineStr">
        <is>
          <t>Week 8</t>
        </is>
      </c>
      <c r="B354" s="8" t="inlineStr">
        <is>
          <t>Year 7</t>
        </is>
      </c>
      <c r="C354" s="8" t="inlineStr">
        <is>
          <t>Hanger strings, pre-tied</t>
        </is>
      </c>
      <c r="D354" s="8" t="inlineStr">
        <is>
          <t>预先系好的挂绳（绳圈）</t>
        </is>
      </c>
      <c r="E354" s="9" t="n">
        <v>13</v>
      </c>
      <c r="F354" s="8" t="inlineStr">
        <is>
          <t>strings</t>
        </is>
      </c>
      <c r="G354" s="8" t="inlineStr">
        <is>
          <t>Teacher made</t>
        </is>
      </c>
      <c r="H354" s="8" t="inlineStr">
        <is>
          <t>Both plans</t>
        </is>
      </c>
      <c r="I354" s="8" t="inlineStr">
        <is>
          <t>2 per group + 1 demo rig</t>
        </is>
      </c>
    </row>
    <row r="355">
      <c r="A355" s="8" t="inlineStr">
        <is>
          <t>Week 8</t>
        </is>
      </c>
      <c r="B355" s="8" t="inlineStr">
        <is>
          <t>Year 7</t>
        </is>
      </c>
      <c r="C355" s="8" t="inlineStr">
        <is>
          <t>Plain trial strips</t>
        </is>
      </c>
      <c r="D355" s="8" t="inlineStr">
        <is>
          <t>普通试验样品条</t>
        </is>
      </c>
      <c r="E355" s="9" t="n">
        <v>2</v>
      </c>
      <c r="F355" s="8" t="inlineStr">
        <is>
          <t>strips</t>
        </is>
      </c>
      <c r="G355" s="8" t="inlineStr">
        <is>
          <t>Teacher made</t>
        </is>
      </c>
      <c r="H355" s="8" t="inlineStr">
        <is>
          <t>Both plans</t>
        </is>
      </c>
      <c r="I355" s="8" t="inlineStr">
        <is>
          <t>2 spare plain strips held up in the Hook</t>
        </is>
      </c>
    </row>
    <row r="356">
      <c r="A356" s="8" t="inlineStr">
        <is>
          <t>Week 8</t>
        </is>
      </c>
      <c r="B356" s="8" t="inlineStr">
        <is>
          <t>Year 7</t>
        </is>
      </c>
      <c r="C356" s="8" t="inlineStr">
        <is>
          <t>Pour cups marked at 25 ml</t>
        </is>
      </c>
      <c r="D356" s="8" t="inlineStr">
        <is>
          <t>标有25毫升刻线的倒水杯</t>
        </is>
      </c>
      <c r="E356" s="9" t="n">
        <v>12</v>
      </c>
      <c r="F356" s="8" t="inlineStr">
        <is>
          <t>cups</t>
        </is>
      </c>
      <c r="G356" s="8" t="inlineStr">
        <is>
          <t>Teacher made</t>
        </is>
      </c>
      <c r="H356" s="8" t="inlineStr">
        <is>
          <t>Both plans</t>
        </is>
      </c>
      <c r="I356" s="8" t="inlineStr">
        <is>
          <t>2 per group</t>
        </is>
      </c>
    </row>
    <row r="357">
      <c r="A357" s="8" t="inlineStr">
        <is>
          <t>Week 8</t>
        </is>
      </c>
      <c r="B357" s="8" t="inlineStr">
        <is>
          <t>Year 8</t>
        </is>
      </c>
      <c r="C357" s="8" t="inlineStr">
        <is>
          <t>Bags for soil samples, about 1 litre (holds about 2 cups of soil)</t>
        </is>
      </c>
      <c r="D357" s="8" t="inlineStr">
        <is>
          <t>土壤采样袋（约1升）</t>
        </is>
      </c>
      <c r="E357" s="9" t="n">
        <v>5</v>
      </c>
      <c r="F357" s="8" t="inlineStr">
        <is>
          <t>bags</t>
        </is>
      </c>
      <c r="G357" s="8" t="inlineStr">
        <is>
          <t>Buy: used up</t>
        </is>
      </c>
      <c r="H357" s="8" t="inlineStr">
        <is>
          <t>Both plans</t>
        </is>
      </c>
      <c r="I357" s="8" t="inlineStr">
        <is>
          <t>About 2 cups from each of the 4 locations, plus a separate bag 'Evidence 6: soil from footprint tread' (collect earlier in the week, or in Week 7)</t>
        </is>
      </c>
    </row>
    <row r="358">
      <c r="A358" s="8" t="inlineStr">
        <is>
          <t>Week 8</t>
        </is>
      </c>
      <c r="B358" s="8" t="inlineStr">
        <is>
          <t>Year 8</t>
        </is>
      </c>
      <c r="C358" s="8" t="inlineStr">
        <is>
          <t>Disposable gloves</t>
        </is>
      </c>
      <c r="D358" s="8" t="inlineStr">
        <is>
          <t>一次性手套</t>
        </is>
      </c>
      <c r="E358" s="9" t="n">
        <v>1</v>
      </c>
      <c r="F358" s="8" t="inlineStr">
        <is>
          <t>box (shared)</t>
        </is>
      </c>
      <c r="G358" s="8" t="inlineStr">
        <is>
          <t>Buy: used up</t>
        </is>
      </c>
      <c r="H358" s="8" t="inlineStr">
        <is>
          <t>Both plans</t>
        </is>
      </c>
      <c r="I358" s="8" t="inlineStr">
        <is>
          <t>Soil option: for anyone with cuts or skin problems</t>
        </is>
      </c>
    </row>
    <row r="359">
      <c r="A359" s="8" t="inlineStr">
        <is>
          <t>Week 8</t>
        </is>
      </c>
      <c r="B359" s="8" t="inlineStr">
        <is>
          <t>Year 8</t>
        </is>
      </c>
      <c r="C359" s="8" t="inlineStr">
        <is>
          <t>Flat sticks for levelling spoonfuls</t>
        </is>
      </c>
      <c r="D359" s="8" t="inlineStr">
        <is>
          <t>刮平用扁木棒</t>
        </is>
      </c>
      <c r="E359" s="9" t="n">
        <v>2</v>
      </c>
      <c r="F359" s="8" t="inlineStr">
        <is>
          <t>sticks</t>
        </is>
      </c>
      <c r="G359" s="8" t="inlineStr">
        <is>
          <t>Buy: used up</t>
        </is>
      </c>
      <c r="H359" s="8" t="inlineStr">
        <is>
          <t>Both plans</t>
        </is>
      </c>
      <c r="I359" s="8" t="inlineStr">
        <is>
          <t>Soil: 1 per group; 2 groups maximum</t>
        </is>
      </c>
    </row>
    <row r="360">
      <c r="A360" s="8" t="inlineStr">
        <is>
          <t>Week 8</t>
        </is>
      </c>
      <c r="B360" s="8" t="inlineStr">
        <is>
          <t>Year 8</t>
        </is>
      </c>
      <c r="C360" s="8" t="inlineStr">
        <is>
          <t>Kitchen roll (shop-bought paper towels)</t>
        </is>
      </c>
      <c r="D360" s="8" t="inlineStr">
        <is>
          <t>厨房纸（卷筒）</t>
        </is>
      </c>
      <c r="E360" s="9" t="n">
        <v>2</v>
      </c>
      <c r="F360" s="8" t="inlineStr">
        <is>
          <t>sheets</t>
        </is>
      </c>
      <c r="G360" s="8" t="inlineStr">
        <is>
          <t>Buy: used up</t>
        </is>
      </c>
      <c r="H360" s="8" t="inlineStr">
        <is>
          <t>Both plans</t>
        </is>
      </c>
      <c r="I360" s="8" t="inlineStr">
        <is>
          <t>Paper option reference P4, 1 sheet per group; 2 groups maximum</t>
        </is>
      </c>
    </row>
    <row r="361">
      <c r="A361" s="8" t="inlineStr">
        <is>
          <t>Week 8</t>
        </is>
      </c>
      <c r="B361" s="8" t="inlineStr">
        <is>
          <t>Year 8</t>
        </is>
      </c>
      <c r="C361" s="8" t="inlineStr">
        <is>
          <t>Paper tissues (facial tissues)</t>
        </is>
      </c>
      <c r="D361" s="8" t="inlineStr">
        <is>
          <t>面巾纸</t>
        </is>
      </c>
      <c r="E361" s="9" t="n">
        <v>2</v>
      </c>
      <c r="F361" s="8" t="inlineStr">
        <is>
          <t>tissues</t>
        </is>
      </c>
      <c r="G361" s="8" t="inlineStr">
        <is>
          <t>Buy: used up</t>
        </is>
      </c>
      <c r="H361" s="8" t="inlineStr">
        <is>
          <t>Both plans</t>
        </is>
      </c>
      <c r="I361" s="8" t="inlineStr">
        <is>
          <t>Paper option reference P3, enough for 3 strips 2 cm by 12 cm per group; 2 groups maximum</t>
        </is>
      </c>
    </row>
    <row r="362">
      <c r="A362" s="8" t="inlineStr">
        <is>
          <t>Week 8</t>
        </is>
      </c>
      <c r="B362" s="8" t="inlineStr">
        <is>
          <t>Year 8</t>
        </is>
      </c>
      <c r="C362" s="8" t="inlineStr">
        <is>
          <t>Stirring sticks</t>
        </is>
      </c>
      <c r="D362" s="8" t="inlineStr">
        <is>
          <t>搅拌棒（一次性）</t>
        </is>
      </c>
      <c r="E362" s="9" t="n">
        <v>22</v>
      </c>
      <c r="F362" s="8" t="inlineStr">
        <is>
          <t>sticks</t>
        </is>
      </c>
      <c r="G362" s="8" t="inlineStr">
        <is>
          <t>Buy: used up</t>
        </is>
      </c>
      <c r="H362" s="8" t="inlineStr">
        <is>
          <t>Both plans</t>
        </is>
      </c>
      <c r="I362" s="8" t="inlineStr">
        <is>
          <t>Powder 2 10 per group and Ink 2 1 per group; 2 groups each maximum</t>
        </is>
      </c>
    </row>
    <row r="363">
      <c r="A363" s="8" t="inlineStr">
        <is>
          <t>Week 8</t>
        </is>
      </c>
      <c r="B363" s="8" t="inlineStr">
        <is>
          <t>Year 8</t>
        </is>
      </c>
      <c r="C363" s="8" t="inlineStr">
        <is>
          <t>White coffee filters (for chromatography strips)</t>
        </is>
      </c>
      <c r="D363" s="8" t="inlineStr">
        <is>
          <t>白色咖啡滤纸（用于色谱滤纸条）</t>
        </is>
      </c>
      <c r="E363" s="9" t="n">
        <v>50</v>
      </c>
      <c r="F363" s="8" t="inlineStr">
        <is>
          <t>strips (2 cm x 10 cm)</t>
        </is>
      </c>
      <c r="G363" s="8" t="inlineStr">
        <is>
          <t>Buy: used up</t>
        </is>
      </c>
      <c r="H363" s="8" t="inlineStr">
        <is>
          <t>Both plans</t>
        </is>
      </c>
      <c r="I363" s="8" t="inlineStr">
        <is>
          <t>Ink 2: 16 strips plus 6 N strips per group, 2 groups maximum (44); teacher pre-test of pens A, B and N in salt water and vinegar (6). Kit card also says 'plus spares' without a number</t>
        </is>
      </c>
    </row>
    <row r="364">
      <c r="A364" s="8" t="inlineStr">
        <is>
          <t>Week 8</t>
        </is>
      </c>
      <c r="B364" s="8" t="inlineStr">
        <is>
          <t>Year 8</t>
        </is>
      </c>
      <c r="C364" s="8" t="inlineStr">
        <is>
          <t>Black washable felt-tip pens, four different brands</t>
        </is>
      </c>
      <c r="D364" s="8" t="inlineStr">
        <is>
          <t>黑色可水洗水彩笔（水性墨水，4个不同品牌）</t>
        </is>
      </c>
      <c r="E364" s="9" t="n">
        <v>8</v>
      </c>
      <c r="F364" s="8" t="inlineStr">
        <is>
          <t>pens</t>
        </is>
      </c>
      <c r="G364" s="8" t="inlineStr">
        <is>
          <t>Buy: reusable</t>
        </is>
      </c>
      <c r="H364" s="8" t="inlineStr">
        <is>
          <t>Both plans</t>
        </is>
      </c>
      <c r="I364" s="8" t="inlineStr">
        <is>
          <t>Ink 2 option: 1 set per group (A and B essential, C and D if available), 2 groups maximum. Same pens as Week 3; keep the spares (the prep calendar asks for spare pens A to D before Week 7)</t>
        </is>
      </c>
    </row>
    <row r="365">
      <c r="A365" s="8" t="inlineStr">
        <is>
          <t>Week 8</t>
        </is>
      </c>
      <c r="B365" s="8" t="inlineStr">
        <is>
          <t>Year 8</t>
        </is>
      </c>
      <c r="C365" s="8" t="inlineStr">
        <is>
          <t>Small lidded pots</t>
        </is>
      </c>
      <c r="D365" s="8" t="inlineStr">
        <is>
          <t>带盖小样品盒</t>
        </is>
      </c>
      <c r="E365" s="9" t="n">
        <v>23</v>
      </c>
      <c r="F365" s="8" t="inlineStr">
        <is>
          <t>pots</t>
        </is>
      </c>
      <c r="G365" s="8" t="inlineStr">
        <is>
          <t>Buy: reusable</t>
        </is>
      </c>
      <c r="H365" s="8" t="inlineStr">
        <is>
          <t>Both plans</t>
        </is>
      </c>
      <c r="I365" s="8" t="inlineStr">
        <is>
          <t>Soil 5 per group and Powder 2 5 per group (2 groups each maximum), plus 3 for the teacher to mix K1, K2 and X</t>
        </is>
      </c>
    </row>
    <row r="366">
      <c r="A366" s="8" t="inlineStr">
        <is>
          <t>Week 8</t>
        </is>
      </c>
      <c r="B366" s="8" t="inlineStr">
        <is>
          <t>Year 8</t>
        </is>
      </c>
      <c r="C366" s="8" t="inlineStr">
        <is>
          <t>A3 paper, white, 80 gsm</t>
        </is>
      </c>
      <c r="D366" s="8" t="inlineStr">
        <is>
          <t>A3复印纸（白色，80克）</t>
        </is>
      </c>
      <c r="E366" s="9" t="n">
        <v>1</v>
      </c>
      <c r="F366" s="8" t="inlineStr">
        <is>
          <t>A3 sheets</t>
        </is>
      </c>
      <c r="G366" s="8" t="inlineStr">
        <is>
          <t>Stationery and card</t>
        </is>
      </c>
      <c r="H366" s="8" t="inlineStr">
        <is>
          <t>Both plans</t>
        </is>
      </c>
      <c r="I366" s="8" t="inlineStr">
        <is>
          <t>Lab day run sheet, enlarged copy for the wall</t>
        </is>
      </c>
    </row>
    <row r="367">
      <c r="A367" s="8" t="inlineStr">
        <is>
          <t>Week 8</t>
        </is>
      </c>
      <c r="B367" s="8" t="inlineStr">
        <is>
          <t>Year 8</t>
        </is>
      </c>
      <c r="C367" s="8" t="inlineStr">
        <is>
          <t>A4 paper, plain white, 80 gsm</t>
        </is>
      </c>
      <c r="D367" s="8" t="inlineStr">
        <is>
          <t>A4复印纸（白色，80克）</t>
        </is>
      </c>
      <c r="E367" s="9" t="n">
        <v>4</v>
      </c>
      <c r="F367" s="8" t="inlineStr">
        <is>
          <t>sheets</t>
        </is>
      </c>
      <c r="G367" s="8" t="inlineStr">
        <is>
          <t>Stationery and card</t>
        </is>
      </c>
      <c r="H367" s="8" t="inlineStr">
        <is>
          <t>Both plans</t>
        </is>
      </c>
      <c r="I367" s="8" t="inlineStr">
        <is>
          <t>Soil option, 2 per group, for looking at soil colour; 2 groups maximum</t>
        </is>
      </c>
    </row>
    <row r="368">
      <c r="A368" s="8" t="inlineStr">
        <is>
          <t>Week 8</t>
        </is>
      </c>
      <c r="B368" s="8" t="inlineStr">
        <is>
          <t>Year 8</t>
        </is>
      </c>
      <c r="C368" s="8" t="inlineStr">
        <is>
          <t>Black card, small pieces</t>
        </is>
      </c>
      <c r="D368" s="8" t="inlineStr">
        <is>
          <t>黑色卡纸（小张）</t>
        </is>
      </c>
      <c r="E368" s="9" t="n">
        <v>2</v>
      </c>
      <c r="F368" s="8" t="inlineStr">
        <is>
          <t>pieces</t>
        </is>
      </c>
      <c r="G368" s="8" t="inlineStr">
        <is>
          <t>Stationery and card</t>
        </is>
      </c>
      <c r="H368" s="8" t="inlineStr">
        <is>
          <t>Both plans</t>
        </is>
      </c>
      <c r="I368" s="8" t="inlineStr">
        <is>
          <t>Powder 2 option, 1 per group, 2 groups maximum</t>
        </is>
      </c>
    </row>
    <row r="369">
      <c r="A369" s="8" t="inlineStr">
        <is>
          <t>Week 8</t>
        </is>
      </c>
      <c r="B369" s="8" t="inlineStr">
        <is>
          <t>Year 8</t>
        </is>
      </c>
      <c r="C369" s="8" t="inlineStr">
        <is>
          <t>Clear sticky tape</t>
        </is>
      </c>
      <c r="D369" s="8" t="inlineStr">
        <is>
          <t>透明胶带</t>
        </is>
      </c>
      <c r="E369" s="9" t="n">
        <v>4</v>
      </c>
      <c r="F369" s="8" t="inlineStr">
        <is>
          <t>rolls</t>
        </is>
      </c>
      <c r="G369" s="8" t="inlineStr">
        <is>
          <t>Stationery and card</t>
        </is>
      </c>
      <c r="H369" s="8" t="inlineStr">
        <is>
          <t>Both plans</t>
        </is>
      </c>
      <c r="I369" s="8" t="inlineStr">
        <is>
          <t>Paper option 1 roll per group and Ink 2 option tape per group, 2 groups each maximum; also for sticking dry strips onto the recording sheets</t>
        </is>
      </c>
    </row>
    <row r="370">
      <c r="A370" s="8" t="inlineStr">
        <is>
          <t>Week 8</t>
        </is>
      </c>
      <c r="B370" s="8" t="inlineStr">
        <is>
          <t>Year 8</t>
        </is>
      </c>
      <c r="C370" s="8" t="inlineStr">
        <is>
          <t>Pencils, HB</t>
        </is>
      </c>
      <c r="D370" s="8" t="inlineStr">
        <is>
          <t>铅笔（HB）</t>
        </is>
      </c>
      <c r="E370" s="9" t="n">
        <v>20</v>
      </c>
      <c r="F370" s="8" t="inlineStr">
        <is>
          <t>pencils</t>
        </is>
      </c>
      <c r="G370" s="8" t="inlineStr">
        <is>
          <t>Stationery and card</t>
        </is>
      </c>
      <c r="H370" s="8" t="inlineStr">
        <is>
          <t>Both plans</t>
        </is>
      </c>
      <c r="I370" s="8" t="inlineStr">
        <is>
          <t>Paper option 4 per group and Ink 2 option 6 per group, for hanging strips; 2 groups each maximum</t>
        </is>
      </c>
    </row>
    <row r="371">
      <c r="A371" s="8" t="inlineStr">
        <is>
          <t>Week 8</t>
        </is>
      </c>
      <c r="B371" s="8" t="inlineStr">
        <is>
          <t>Year 8</t>
        </is>
      </c>
      <c r="C371" s="8" t="inlineStr">
        <is>
          <t>Permanent marker pens, black</t>
        </is>
      </c>
      <c r="D371" s="8" t="inlineStr">
        <is>
          <t>黑色油性记号笔</t>
        </is>
      </c>
      <c r="E371" s="9" t="n">
        <v>2</v>
      </c>
      <c r="F371" s="8" t="inlineStr">
        <is>
          <t>markers</t>
        </is>
      </c>
      <c r="G371" s="8" t="inlineStr">
        <is>
          <t>Stationery and card</t>
        </is>
      </c>
      <c r="H371" s="8" t="inlineStr">
        <is>
          <t>Both plans</t>
        </is>
      </c>
      <c r="I371" s="8" t="inlineStr">
        <is>
          <t>Soil option, 1 per group, for labelling bottles; 2 groups maximum</t>
        </is>
      </c>
    </row>
    <row r="372">
      <c r="A372" s="8" t="inlineStr">
        <is>
          <t>Week 8</t>
        </is>
      </c>
      <c r="B372" s="8" t="inlineStr">
        <is>
          <t>Year 8</t>
        </is>
      </c>
      <c r="C372" s="8" t="inlineStr">
        <is>
          <t>Sticky labels</t>
        </is>
      </c>
      <c r="D372" s="8" t="inlineStr">
        <is>
          <t>不干胶标签</t>
        </is>
      </c>
      <c r="E372" s="9" t="n">
        <v>49</v>
      </c>
      <c r="F372" s="8" t="inlineStr">
        <is>
          <t>labels</t>
        </is>
      </c>
      <c r="G372" s="8" t="inlineStr">
        <is>
          <t>Stationery and card</t>
        </is>
      </c>
      <c r="H372" s="8" t="inlineStr">
        <is>
          <t>Both plans</t>
        </is>
      </c>
      <c r="I372" s="8" t="inlineStr">
        <is>
          <t>Soil pots (10) and soil collection bags (5); Paper samples (10); Ink 2 cups (12); Powder 2 pots (10) and vinegar cups (2); 2 groups per option maximum</t>
        </is>
      </c>
    </row>
    <row r="373">
      <c r="A373" s="8" t="inlineStr">
        <is>
          <t>Week 8</t>
        </is>
      </c>
      <c r="B373" s="8" t="inlineStr">
        <is>
          <t>Year 8</t>
        </is>
      </c>
      <c r="C373" s="8" t="inlineStr">
        <is>
          <t>Bucket, plastic</t>
        </is>
      </c>
      <c r="D373" s="8" t="inlineStr">
        <is>
          <t>塑料水桶</t>
        </is>
      </c>
      <c r="E373" s="9" t="n">
        <v>1</v>
      </c>
      <c r="F373" s="8" t="inlineStr">
        <is>
          <t>bucket</t>
        </is>
      </c>
      <c r="G373" s="8" t="inlineStr">
        <is>
          <t>Prep room equipment</t>
        </is>
      </c>
      <c r="H373" s="8" t="inlineStr">
        <is>
          <t>Both plans</t>
        </is>
      </c>
      <c r="I373" s="8" t="inlineStr">
        <is>
          <t>Soil waste: pour soil and water onto a flowerbed or into a bucket, never down the sink</t>
        </is>
      </c>
    </row>
    <row r="374">
      <c r="A374" s="8" t="inlineStr">
        <is>
          <t>Week 8</t>
        </is>
      </c>
      <c r="B374" s="8" t="inlineStr">
        <is>
          <t>Year 8</t>
        </is>
      </c>
      <c r="C374" s="8" t="inlineStr">
        <is>
          <t>Cloths for wiping tables</t>
        </is>
      </c>
      <c r="D374" s="8" t="inlineStr">
        <is>
          <t>抹布</t>
        </is>
      </c>
      <c r="E374" s="9" t="n">
        <v>6</v>
      </c>
      <c r="F374" s="8" t="inlineStr">
        <is>
          <t>cloths</t>
        </is>
      </c>
      <c r="G374" s="8" t="inlineStr">
        <is>
          <t>Prep room equipment</t>
        </is>
      </c>
      <c r="H374" s="8" t="inlineStr">
        <is>
          <t>Both plans</t>
        </is>
      </c>
      <c r="I374" s="8" t="inlineStr">
        <is>
          <t>Wipe tables</t>
        </is>
      </c>
    </row>
    <row r="375">
      <c r="A375" s="8" t="inlineStr">
        <is>
          <t>Week 8</t>
        </is>
      </c>
      <c r="B375" s="8" t="inlineStr">
        <is>
          <t>Year 8</t>
        </is>
      </c>
      <c r="C375" s="8" t="inlineStr">
        <is>
          <t>Droppers (plastic pipettes)</t>
        </is>
      </c>
      <c r="D375" s="8" t="inlineStr">
        <is>
          <t>塑料滴管</t>
        </is>
      </c>
      <c r="E375" s="9" t="n">
        <v>2</v>
      </c>
      <c r="F375" s="8" t="inlineStr">
        <is>
          <t>droppers</t>
        </is>
      </c>
      <c r="G375" s="8" t="inlineStr">
        <is>
          <t>Prep room equipment</t>
        </is>
      </c>
      <c r="H375" s="8" t="inlineStr">
        <is>
          <t>Both plans</t>
        </is>
      </c>
      <c r="I375" s="8" t="inlineStr">
        <is>
          <t>Powder 2 vinegar, 1 per group; 2 groups maximum</t>
        </is>
      </c>
    </row>
    <row r="376">
      <c r="A376" s="8" t="inlineStr">
        <is>
          <t>Week 8</t>
        </is>
      </c>
      <c r="B376" s="8" t="inlineStr">
        <is>
          <t>Year 8</t>
        </is>
      </c>
      <c r="C376" s="8" t="inlineStr">
        <is>
          <t>Iodine solution, dropper bottles</t>
        </is>
      </c>
      <c r="D376" s="8" t="inlineStr">
        <is>
          <t>碘液（滴瓶装）</t>
        </is>
      </c>
      <c r="E376" s="9" t="n">
        <v>2</v>
      </c>
      <c r="F376" s="8" t="inlineStr">
        <is>
          <t>dropper bottles</t>
        </is>
      </c>
      <c r="G376" s="8" t="inlineStr">
        <is>
          <t>Prep room equipment</t>
        </is>
      </c>
      <c r="H376" s="8" t="inlineStr">
        <is>
          <t>Both plans</t>
        </is>
      </c>
      <c r="I376" s="8" t="inlineStr">
        <is>
          <t>Powder 2 option, optional, Safety Officer only; 2 groups maximum</t>
        </is>
      </c>
    </row>
    <row r="377">
      <c r="A377" s="8" t="inlineStr">
        <is>
          <t>Week 8</t>
        </is>
      </c>
      <c r="B377" s="8" t="inlineStr">
        <is>
          <t>Year 8</t>
        </is>
      </c>
      <c r="C377" s="8" t="inlineStr">
        <is>
          <t>Magnifying glasses, hand-held</t>
        </is>
      </c>
      <c r="D377" s="8" t="inlineStr">
        <is>
          <t>放大镜（手持）</t>
        </is>
      </c>
      <c r="E377" s="9" t="n">
        <v>6</v>
      </c>
      <c r="F377" s="8" t="inlineStr">
        <is>
          <t>magnifiers</t>
        </is>
      </c>
      <c r="G377" s="8" t="inlineStr">
        <is>
          <t>Prep room equipment</t>
        </is>
      </c>
      <c r="H377" s="8" t="inlineStr">
        <is>
          <t>Both plans</t>
        </is>
      </c>
      <c r="I377" s="8" t="inlineStr">
        <is>
          <t>Soil, Paper and Powder 2 options, 1 per group; 2 groups each maximum</t>
        </is>
      </c>
    </row>
    <row r="378">
      <c r="A378" s="8" t="inlineStr">
        <is>
          <t>Week 8</t>
        </is>
      </c>
      <c r="B378" s="8" t="inlineStr">
        <is>
          <t>Year 8</t>
        </is>
      </c>
      <c r="C378" s="8" t="inlineStr">
        <is>
          <t>Measuring jug, 200 ml</t>
        </is>
      </c>
      <c r="D378" s="8" t="inlineStr">
        <is>
          <t>量杯 200毫升</t>
        </is>
      </c>
      <c r="E378" s="9" t="n">
        <v>4</v>
      </c>
      <c r="F378" s="8" t="inlineStr">
        <is>
          <t>jugs or cylinders</t>
        </is>
      </c>
      <c r="G378" s="8" t="inlineStr">
        <is>
          <t>Prep room equipment</t>
        </is>
      </c>
      <c r="H378" s="8" t="inlineStr">
        <is>
          <t>Both plans</t>
        </is>
      </c>
      <c r="I378" s="8" t="inlineStr">
        <is>
          <t>Soil (150 ml water per bottle) and Ink 2 (salt water), 1 per group; 2 groups each maximum</t>
        </is>
      </c>
    </row>
    <row r="379">
      <c r="A379" s="8" t="inlineStr">
        <is>
          <t>Week 8</t>
        </is>
      </c>
      <c r="B379" s="8" t="inlineStr">
        <is>
          <t>Year 8</t>
        </is>
      </c>
      <c r="C379" s="8" t="inlineStr">
        <is>
          <t>Paper towels, the lab's own dispenser roll</t>
        </is>
      </c>
      <c r="D379" s="8" t="inlineStr">
        <is>
          <t>实验室纸巾（水槽抽取式擦手纸）</t>
        </is>
      </c>
      <c r="E379" s="9" t="n">
        <v>26</v>
      </c>
      <c r="F379" s="8" t="inlineStr">
        <is>
          <t>sheets</t>
        </is>
      </c>
      <c r="G379" s="8" t="inlineStr">
        <is>
          <t>Prep room equipment</t>
        </is>
      </c>
      <c r="H379" s="8" t="inlineStr">
        <is>
          <t>Both plans</t>
        </is>
      </c>
      <c r="I379" s="8" t="inlineStr">
        <is>
          <t>3 per group assumed for all options, 2 groups per option maximum (24); P1 reference samples for 2 Paper groups (2)</t>
        </is>
      </c>
    </row>
    <row r="380">
      <c r="A380" s="8" t="inlineStr">
        <is>
          <t>Week 8</t>
        </is>
      </c>
      <c r="B380" s="8" t="inlineStr">
        <is>
          <t>Year 8</t>
        </is>
      </c>
      <c r="C380" s="8" t="inlineStr">
        <is>
          <t>Plastic cups, small, clear</t>
        </is>
      </c>
      <c r="D380" s="8" t="inlineStr">
        <is>
          <t>透明小塑料杯</t>
        </is>
      </c>
      <c r="E380" s="9" t="n">
        <v>48</v>
      </c>
      <c r="F380" s="8" t="inlineStr">
        <is>
          <t>cups</t>
        </is>
      </c>
      <c r="G380" s="8" t="inlineStr">
        <is>
          <t>Prep room equipment</t>
        </is>
      </c>
      <c r="H380" s="8" t="inlineStr">
        <is>
          <t>Both plans</t>
        </is>
      </c>
      <c r="I380" s="8" t="inlineStr">
        <is>
          <t>Paper 4, Ink 2 6, Powder 2 10 water cups plus 1 vinegar cup, per group; 2 groups each maximum (42); teacher's Ink 2 pre-test earlier in the week, one strip per cup as in Case Bible Section 11 (6; 2 if strips hang side by side)</t>
        </is>
      </c>
    </row>
    <row r="381">
      <c r="A381" s="8" t="inlineStr">
        <is>
          <t>Week 8</t>
        </is>
      </c>
      <c r="B381" s="8" t="inlineStr">
        <is>
          <t>Year 8</t>
        </is>
      </c>
      <c r="C381" s="8" t="inlineStr">
        <is>
          <t>Ruler, 30 cm</t>
        </is>
      </c>
      <c r="D381" s="8" t="inlineStr">
        <is>
          <t>直尺 30厘米</t>
        </is>
      </c>
      <c r="E381" s="9" t="n">
        <v>8</v>
      </c>
      <c r="F381" s="8" t="inlineStr">
        <is>
          <t>rulers</t>
        </is>
      </c>
      <c r="G381" s="8" t="inlineStr">
        <is>
          <t>Prep room equipment</t>
        </is>
      </c>
      <c r="H381" s="8" t="inlineStr">
        <is>
          <t>Both plans</t>
        </is>
      </c>
      <c r="I381" s="8" t="inlineStr">
        <is>
          <t>Soil 1, Paper 2, Ink 2 1 per group; 2 groups each maximum</t>
        </is>
      </c>
    </row>
    <row r="382">
      <c r="A382" s="8" t="inlineStr">
        <is>
          <t>Week 8</t>
        </is>
      </c>
      <c r="B382" s="8" t="inlineStr">
        <is>
          <t>Year 8</t>
        </is>
      </c>
      <c r="C382" s="8" t="inlineStr">
        <is>
          <t>Safety goggles</t>
        </is>
      </c>
      <c r="D382" s="8" t="inlineStr">
        <is>
          <t>护目镜</t>
        </is>
      </c>
      <c r="E382" s="9" t="n">
        <v>24</v>
      </c>
      <c r="F382" s="8" t="inlineStr">
        <is>
          <t>pairs</t>
        </is>
      </c>
      <c r="G382" s="8" t="inlineStr">
        <is>
          <t>Prep room equipment</t>
        </is>
      </c>
      <c r="H382" s="8" t="inlineStr">
        <is>
          <t>Both plans</t>
        </is>
      </c>
      <c r="I382" s="8" t="inlineStr">
        <is>
          <t>4 per group for Soil (shaking bottles), Ink 2 (vinegar) and Powder 2 (vinegar, iodine); not needed for Paper; 2 groups per option maximum</t>
        </is>
      </c>
    </row>
    <row r="383">
      <c r="A383" s="8" t="inlineStr">
        <is>
          <t>Week 8</t>
        </is>
      </c>
      <c r="B383" s="8" t="inlineStr">
        <is>
          <t>Year 8</t>
        </is>
      </c>
      <c r="C383" s="8" t="inlineStr">
        <is>
          <t>Scissors</t>
        </is>
      </c>
      <c r="D383" s="8" t="inlineStr">
        <is>
          <t>剪刀</t>
        </is>
      </c>
      <c r="E383" s="9" t="n">
        <v>4</v>
      </c>
      <c r="F383" s="8" t="inlineStr">
        <is>
          <t>pairs</t>
        </is>
      </c>
      <c r="G383" s="8" t="inlineStr">
        <is>
          <t>Prep room equipment</t>
        </is>
      </c>
      <c r="H383" s="8" t="inlineStr">
        <is>
          <t>Both plans</t>
        </is>
      </c>
      <c r="I383" s="8" t="inlineStr">
        <is>
          <t>Paper option: 2 per group; 2 groups maximum</t>
        </is>
      </c>
    </row>
    <row r="384">
      <c r="A384" s="8" t="inlineStr">
        <is>
          <t>Week 8</t>
        </is>
      </c>
      <c r="B384" s="8" t="inlineStr">
        <is>
          <t>Year 8</t>
        </is>
      </c>
      <c r="C384" s="8" t="inlineStr">
        <is>
          <t>Small bottle, about 60 ml (for vinegar)</t>
        </is>
      </c>
      <c r="D384" s="8" t="inlineStr">
        <is>
          <t>小瓶（约60毫升，装白醋）</t>
        </is>
      </c>
      <c r="E384" s="9" t="n">
        <v>2</v>
      </c>
      <c r="F384" s="8" t="inlineStr">
        <is>
          <t>bottles</t>
        </is>
      </c>
      <c r="G384" s="8" t="inlineStr">
        <is>
          <t>Prep room equipment</t>
        </is>
      </c>
      <c r="H384" s="8" t="inlineStr">
        <is>
          <t>Both plans</t>
        </is>
      </c>
      <c r="I384" s="8" t="inlineStr">
        <is>
          <t>Ink 2 teacher prep says 'fill the vinegar bottle'; 1 per Ink 2 group assumed (about 60 ml each), 2 groups maximum</t>
        </is>
      </c>
    </row>
    <row r="385">
      <c r="A385" s="8" t="inlineStr">
        <is>
          <t>Week 8</t>
        </is>
      </c>
      <c r="B385" s="8" t="inlineStr">
        <is>
          <t>Year 8</t>
        </is>
      </c>
      <c r="C385" s="8" t="inlineStr">
        <is>
          <t>Small spoons or lolly sticks (one per powder)</t>
        </is>
      </c>
      <c r="D385" s="8" t="inlineStr">
        <is>
          <t>药匙（小号）或冰棒棍</t>
        </is>
      </c>
      <c r="E385" s="9" t="n">
        <v>10</v>
      </c>
      <c r="F385" s="8" t="inlineStr">
        <is>
          <t>spoons</t>
        </is>
      </c>
      <c r="G385" s="8" t="inlineStr">
        <is>
          <t>Prep room equipment</t>
        </is>
      </c>
      <c r="H385" s="8" t="inlineStr">
        <is>
          <t>Both plans</t>
        </is>
      </c>
      <c r="I385" s="8" t="inlineStr">
        <is>
          <t>Powder 2: 5 per group; 2 groups maximum</t>
        </is>
      </c>
    </row>
    <row r="386">
      <c r="A386" s="8" t="inlineStr">
        <is>
          <t>Week 8</t>
        </is>
      </c>
      <c r="B386" s="8" t="inlineStr">
        <is>
          <t>Year 8</t>
        </is>
      </c>
      <c r="C386" s="8" t="inlineStr">
        <is>
          <t>Spotting tiles, white, 12 wells</t>
        </is>
      </c>
      <c r="D386" s="8" t="inlineStr">
        <is>
          <t>白色点滴板（12孔）</t>
        </is>
      </c>
      <c r="E386" s="9" t="n">
        <v>4</v>
      </c>
      <c r="F386" s="8" t="inlineStr">
        <is>
          <t>tiles</t>
        </is>
      </c>
      <c r="G386" s="8" t="inlineStr">
        <is>
          <t>Prep room equipment</t>
        </is>
      </c>
      <c r="H386" s="8" t="inlineStr">
        <is>
          <t>Both plans</t>
        </is>
      </c>
      <c r="I386" s="8" t="inlineStr">
        <is>
          <t>Powder 2: 2 per group; 2 groups maximum</t>
        </is>
      </c>
    </row>
    <row r="387">
      <c r="A387" s="8" t="inlineStr">
        <is>
          <t>Week 8</t>
        </is>
      </c>
      <c r="B387" s="8" t="inlineStr">
        <is>
          <t>Year 8</t>
        </is>
      </c>
      <c r="C387" s="8" t="inlineStr">
        <is>
          <t>Stopwatch</t>
        </is>
      </c>
      <c r="D387" s="8" t="inlineStr">
        <is>
          <t>秒表</t>
        </is>
      </c>
      <c r="E387" s="9" t="n">
        <v>6</v>
      </c>
      <c r="F387" s="8" t="inlineStr">
        <is>
          <t>timers</t>
        </is>
      </c>
      <c r="G387" s="8" t="inlineStr">
        <is>
          <t>Prep room equipment</t>
        </is>
      </c>
      <c r="H387" s="8" t="inlineStr">
        <is>
          <t>Both plans</t>
        </is>
      </c>
      <c r="I387" s="8" t="inlineStr">
        <is>
          <t>Soil, Paper and Ink 2, 1 per group; 2 groups each maximum</t>
        </is>
      </c>
    </row>
    <row r="388">
      <c r="A388" s="8" t="inlineStr">
        <is>
          <t>Week 8</t>
        </is>
      </c>
      <c r="B388" s="8" t="inlineStr">
        <is>
          <t>Year 8</t>
        </is>
      </c>
      <c r="C388" s="8" t="inlineStr">
        <is>
          <t>Trays, flat (kit trays)</t>
        </is>
      </c>
      <c r="D388" s="8" t="inlineStr">
        <is>
          <t>托盘（平底）</t>
        </is>
      </c>
      <c r="E388" s="9" t="n">
        <v>8</v>
      </c>
      <c r="F388" s="8" t="inlineStr">
        <is>
          <t>trays</t>
        </is>
      </c>
      <c r="G388" s="8" t="inlineStr">
        <is>
          <t>Prep room equipment</t>
        </is>
      </c>
      <c r="H388" s="8" t="inlineStr">
        <is>
          <t>Both plans</t>
        </is>
      </c>
      <c r="I388" s="8" t="inlineStr">
        <is>
          <t>1 per group set out before students arrive, plus a tray to stand bottles in for each Soil group (2 maximum)</t>
        </is>
      </c>
    </row>
    <row r="389">
      <c r="A389" s="8" t="inlineStr">
        <is>
          <t>Week 8</t>
        </is>
      </c>
      <c r="B389" s="8" t="inlineStr">
        <is>
          <t>Year 8</t>
        </is>
      </c>
      <c r="C389" s="8" t="inlineStr">
        <is>
          <t>Baking soda (bicarbonate of soda)</t>
        </is>
      </c>
      <c r="D389" s="8" t="inlineStr">
        <is>
          <t>小苏打</t>
        </is>
      </c>
      <c r="E389" s="9" t="n">
        <v>12</v>
      </c>
      <c r="F389" s="8" t="inlineStr">
        <is>
          <t>teaspoons</t>
        </is>
      </c>
      <c r="G389" s="8" t="inlineStr">
        <is>
          <t>Canteen and kitchen</t>
        </is>
      </c>
      <c r="H389" s="8" t="inlineStr">
        <is>
          <t>Both plans</t>
        </is>
      </c>
      <c r="I389" s="8" t="inlineStr">
        <is>
          <t>Powder 2 per group: pure baking soda 2, K1 1, X 1, Evidence 3 2; 2 groups maximum</t>
        </is>
      </c>
    </row>
    <row r="390">
      <c r="A390" s="8" t="inlineStr">
        <is>
          <t>Week 8</t>
        </is>
      </c>
      <c r="B390" s="8" t="inlineStr">
        <is>
          <t>Year 8</t>
        </is>
      </c>
      <c r="C390" s="8" t="inlineStr">
        <is>
          <t>Canteen napkins</t>
        </is>
      </c>
      <c r="D390" s="8" t="inlineStr">
        <is>
          <t>食堂餐巾纸</t>
        </is>
      </c>
      <c r="E390" s="9" t="n">
        <v>2</v>
      </c>
      <c r="F390" s="8" t="inlineStr">
        <is>
          <t>napkins</t>
        </is>
      </c>
      <c r="G390" s="8" t="inlineStr">
        <is>
          <t>Canteen and kitchen</t>
        </is>
      </c>
      <c r="H390" s="8" t="inlineStr">
        <is>
          <t>Both plans</t>
        </is>
      </c>
      <c r="I390" s="8" t="inlineStr">
        <is>
          <t>Paper option reference P2, 1 per group; 2 groups maximum</t>
        </is>
      </c>
    </row>
    <row r="391">
      <c r="A391" s="8" t="inlineStr">
        <is>
          <t>Week 8</t>
        </is>
      </c>
      <c r="B391" s="8" t="inlineStr">
        <is>
          <t>Year 8</t>
        </is>
      </c>
      <c r="C391" s="8" t="inlineStr">
        <is>
          <t>Cornflour</t>
        </is>
      </c>
      <c r="D391" s="8" t="inlineStr">
        <is>
          <t>玉米淀粉</t>
        </is>
      </c>
      <c r="E391" s="9" t="n">
        <v>2</v>
      </c>
      <c r="F391" s="8" t="inlineStr">
        <is>
          <t>teaspoons</t>
        </is>
      </c>
      <c r="G391" s="8" t="inlineStr">
        <is>
          <t>Canteen and kitchen</t>
        </is>
      </c>
      <c r="H391" s="8" t="inlineStr">
        <is>
          <t>Both plans</t>
        </is>
      </c>
      <c r="I391" s="8" t="inlineStr">
        <is>
          <t>Powder 2: 1 teaspoon per group for K1 (baking soda + cornflour); 2 groups maximum</t>
        </is>
      </c>
    </row>
    <row r="392">
      <c r="A392" s="8" t="inlineStr">
        <is>
          <t>Week 8</t>
        </is>
      </c>
      <c r="B392" s="8" t="inlineStr">
        <is>
          <t>Year 8</t>
        </is>
      </c>
      <c r="C392" s="8" t="inlineStr">
        <is>
          <t>Food colouring</t>
        </is>
      </c>
      <c r="D392" s="8" t="inlineStr">
        <is>
          <t>食用色素</t>
        </is>
      </c>
      <c r="E392" s="9" t="n">
        <v>6</v>
      </c>
      <c r="F392" s="8" t="inlineStr">
        <is>
          <t>drops</t>
        </is>
      </c>
      <c r="G392" s="8" t="inlineStr">
        <is>
          <t>Canteen and kitchen</t>
        </is>
      </c>
      <c r="H392" s="8" t="inlineStr">
        <is>
          <t>Both plans</t>
        </is>
      </c>
      <c r="I392" s="8" t="inlineStr">
        <is>
          <t>Paper option: 1 drop per 100 ml in about 300 ml of water per group; 2 groups maximum</t>
        </is>
      </c>
    </row>
    <row r="393">
      <c r="A393" s="8" t="inlineStr">
        <is>
          <t>Week 8</t>
        </is>
      </c>
      <c r="B393" s="8" t="inlineStr">
        <is>
          <t>Year 8</t>
        </is>
      </c>
      <c r="C393" s="8" t="inlineStr">
        <is>
          <t>Jugs, plastic, about 2 litres</t>
        </is>
      </c>
      <c r="D393" s="8" t="inlineStr">
        <is>
          <t>塑料水壶（约2升）</t>
        </is>
      </c>
      <c r="E393" s="9" t="n">
        <v>4</v>
      </c>
      <c r="F393" s="8" t="inlineStr">
        <is>
          <t>jugs</t>
        </is>
      </c>
      <c r="G393" s="8" t="inlineStr">
        <is>
          <t>Canteen and kitchen</t>
        </is>
      </c>
      <c r="H393" s="8" t="inlineStr">
        <is>
          <t>Both plans</t>
        </is>
      </c>
      <c r="I393" s="8" t="inlineStr">
        <is>
          <t>Soil: jug of about 1.6 litres per group; Paper: jug of about 300 ml coloured water per group; 2 groups each maximum</t>
        </is>
      </c>
    </row>
    <row r="394">
      <c r="A394" s="8" t="inlineStr">
        <is>
          <t>Week 8</t>
        </is>
      </c>
      <c r="B394" s="8" t="inlineStr">
        <is>
          <t>Year 8</t>
        </is>
      </c>
      <c r="C394" s="8" t="inlineStr">
        <is>
          <t>Plain flour (wheat)</t>
        </is>
      </c>
      <c r="D394" s="8" t="inlineStr">
        <is>
          <t>面粉（普通小麦粉）</t>
        </is>
      </c>
      <c r="E394" s="9" t="n">
        <v>2</v>
      </c>
      <c r="F394" s="8" t="inlineStr">
        <is>
          <t>teaspoons</t>
        </is>
      </c>
      <c r="G394" s="8" t="inlineStr">
        <is>
          <t>Canteen and kitchen</t>
        </is>
      </c>
      <c r="H394" s="8" t="inlineStr">
        <is>
          <t>Both plans</t>
        </is>
      </c>
      <c r="I394" s="8" t="inlineStr">
        <is>
          <t>Powder 2: 1 teaspoon per group for K2 (salt + flour); 2 groups maximum</t>
        </is>
      </c>
    </row>
    <row r="395">
      <c r="A395" s="8" t="inlineStr">
        <is>
          <t>Week 8</t>
        </is>
      </c>
      <c r="B395" s="8" t="inlineStr">
        <is>
          <t>Year 8</t>
        </is>
      </c>
      <c r="C395" s="8" t="inlineStr">
        <is>
          <t>Salt, table salt</t>
        </is>
      </c>
      <c r="D395" s="8" t="inlineStr">
        <is>
          <t>食盐</t>
        </is>
      </c>
      <c r="E395" s="9" t="n">
        <v>7</v>
      </c>
      <c r="F395" s="8" t="inlineStr">
        <is>
          <t>teaspoons</t>
        </is>
      </c>
      <c r="G395" s="8" t="inlineStr">
        <is>
          <t>Canteen and kitchen</t>
        </is>
      </c>
      <c r="H395" s="8" t="inlineStr">
        <is>
          <t>Both plans</t>
        </is>
      </c>
      <c r="I395" s="8" t="inlineStr">
        <is>
          <t>Ink 2: 1 level teaspoon per 100 ml for salt water per group (2) plus the teacher pre-test (1); Powder 2: 1 level teaspoon each for K2 and X per group (4); 2 groups each maximum</t>
        </is>
      </c>
    </row>
    <row r="396">
      <c r="A396" s="8" t="inlineStr">
        <is>
          <t>Week 8</t>
        </is>
      </c>
      <c r="B396" s="8" t="inlineStr">
        <is>
          <t>Year 8</t>
        </is>
      </c>
      <c r="C396" s="8" t="inlineStr">
        <is>
          <t>Tablespoons, kitchen</t>
        </is>
      </c>
      <c r="D396" s="8" t="inlineStr">
        <is>
          <t>汤匙</t>
        </is>
      </c>
      <c r="E396" s="9" t="n">
        <v>10</v>
      </c>
      <c r="F396" s="8" t="inlineStr">
        <is>
          <t>tablespoons</t>
        </is>
      </c>
      <c r="G396" s="8" t="inlineStr">
        <is>
          <t>Canteen and kitchen</t>
        </is>
      </c>
      <c r="H396" s="8" t="inlineStr">
        <is>
          <t>Both plans</t>
        </is>
      </c>
      <c r="I396" s="8" t="inlineStr">
        <is>
          <t>Soil: 5 per group, one per sample; 2 groups maximum</t>
        </is>
      </c>
    </row>
    <row r="397">
      <c r="A397" s="8" t="inlineStr">
        <is>
          <t>Week 8</t>
        </is>
      </c>
      <c r="B397" s="8" t="inlineStr">
        <is>
          <t>Year 8</t>
        </is>
      </c>
      <c r="C397" s="8" t="inlineStr">
        <is>
          <t>Teaspoons, metal</t>
        </is>
      </c>
      <c r="D397" s="8" t="inlineStr">
        <is>
          <t>茶匙（不锈钢）</t>
        </is>
      </c>
      <c r="E397" s="9" t="n">
        <v>3</v>
      </c>
      <c r="F397" s="8" t="inlineStr">
        <is>
          <t>teaspoons</t>
        </is>
      </c>
      <c r="G397" s="8" t="inlineStr">
        <is>
          <t>Canteen and kitchen</t>
        </is>
      </c>
      <c r="H397" s="8" t="inlineStr">
        <is>
          <t>Both plans</t>
        </is>
      </c>
      <c r="I397" s="8" t="inlineStr">
        <is>
          <t>Ink 2: 1 per group to make salt water, named on the kit card (2); teacher's measuring spoon to mix K1, K2 and X (1)</t>
        </is>
      </c>
    </row>
    <row r="398">
      <c r="A398" s="8" t="inlineStr">
        <is>
          <t>Week 8</t>
        </is>
      </c>
      <c r="B398" s="8" t="inlineStr">
        <is>
          <t>Year 8</t>
        </is>
      </c>
      <c r="C398" s="8" t="inlineStr">
        <is>
          <t>White vinegar</t>
        </is>
      </c>
      <c r="D398" s="8" t="inlineStr">
        <is>
          <t>白醋</t>
        </is>
      </c>
      <c r="E398" s="9" t="n">
        <v>180</v>
      </c>
      <c r="F398" s="8" t="inlineStr">
        <is>
          <t>ml</t>
        </is>
      </c>
      <c r="G398" s="8" t="inlineStr">
        <is>
          <t>Canteen and kitchen</t>
        </is>
      </c>
      <c r="H398" s="8" t="inlineStr">
        <is>
          <t>Both plans</t>
        </is>
      </c>
      <c r="I398" s="8" t="inlineStr">
        <is>
          <t>Ink 2 about 60 ml per group and Powder 2 about 30 ml per group, 2 groups each maximum; plus a little for the teacher's Ink 2 pre-test</t>
        </is>
      </c>
    </row>
    <row r="399">
      <c r="A399" s="8" t="inlineStr">
        <is>
          <t>Week 8</t>
        </is>
      </c>
      <c r="B399" s="8" t="inlineStr">
        <is>
          <t>Year 8</t>
        </is>
      </c>
      <c r="C399" s="8" t="inlineStr">
        <is>
          <t>Campus soil samples (references A to D)</t>
        </is>
      </c>
      <c r="D399" s="8" t="inlineStr">
        <is>
          <t>校园土壤样本（参照A至D）</t>
        </is>
      </c>
      <c r="E399" s="9" t="n">
        <v>8</v>
      </c>
      <c r="F399" s="8" t="inlineStr">
        <is>
          <t>cups</t>
        </is>
      </c>
      <c r="G399" s="8" t="inlineStr">
        <is>
          <t>Collect or borrow</t>
        </is>
      </c>
      <c r="H399" s="8" t="inlineStr">
        <is>
          <t>Both plans</t>
        </is>
      </c>
      <c r="I399" s="8" t="inlineStr">
        <is>
          <t>Collected earlier in the week or in Week 7 (30 minutes): remove stones bigger than a pea, glass, litter and anything sharp; dry on newspaper if very wet; about 4 level tablespoons into each labelled pot</t>
        </is>
      </c>
    </row>
    <row r="400">
      <c r="A400" s="8" t="inlineStr">
        <is>
          <t>Week 8</t>
        </is>
      </c>
      <c r="B400" s="8" t="inlineStr">
        <is>
          <t>Year 8</t>
        </is>
      </c>
      <c r="C400" s="8" t="inlineStr">
        <is>
          <t>Clear plastic bottles or jars with screw lids, about 300 ml</t>
        </is>
      </c>
      <c r="D400" s="8" t="inlineStr">
        <is>
          <t>透明塑料瓶或罐（带螺旋盖，约300毫升）</t>
        </is>
      </c>
      <c r="E400" s="9" t="n">
        <v>20</v>
      </c>
      <c r="F400" s="8" t="inlineStr">
        <is>
          <t>bottles</t>
        </is>
      </c>
      <c r="G400" s="8" t="inlineStr">
        <is>
          <t>Collect or borrow</t>
        </is>
      </c>
      <c r="H400" s="8" t="inlineStr">
        <is>
          <t>Both plans</t>
        </is>
      </c>
      <c r="I400" s="8" t="inlineStr">
        <is>
          <t>Soil: 10 per group (two sets of five for the repeat); 2 groups maximum. Bottles stay on the windowsill until Week 9. Start collecting before Week 1</t>
        </is>
      </c>
    </row>
    <row r="401">
      <c r="A401" s="8" t="inlineStr">
        <is>
          <t>Week 8</t>
        </is>
      </c>
      <c r="B401" s="8" t="inlineStr">
        <is>
          <t>Year 8</t>
        </is>
      </c>
      <c r="C401" s="8" t="inlineStr">
        <is>
          <t>Newspaper</t>
        </is>
      </c>
      <c r="D401" s="8" t="inlineStr">
        <is>
          <t>报纸</t>
        </is>
      </c>
      <c r="E401" s="9" t="n">
        <v>4</v>
      </c>
      <c r="F401" s="8" t="inlineStr">
        <is>
          <t>sheets</t>
        </is>
      </c>
      <c r="G401" s="8" t="inlineStr">
        <is>
          <t>Collect or borrow</t>
        </is>
      </c>
      <c r="H401" s="8" t="inlineStr">
        <is>
          <t>Both plans</t>
        </is>
      </c>
      <c r="I401" s="8" t="inlineStr">
        <is>
          <t>Dry soil samples overnight if very wet (one sheet per location assumed)</t>
        </is>
      </c>
    </row>
    <row r="402">
      <c r="A402" s="8" t="inlineStr">
        <is>
          <t>Week 8</t>
        </is>
      </c>
      <c r="B402" s="8" t="inlineStr">
        <is>
          <t>Year 8</t>
        </is>
      </c>
      <c r="C402" s="8" t="inlineStr">
        <is>
          <t>Coloured water (Paper option)</t>
        </is>
      </c>
      <c r="D402" s="8" t="inlineStr">
        <is>
          <t>有色水（纸巾检测用）</t>
        </is>
      </c>
      <c r="E402" s="9" t="n">
        <v>600</v>
      </c>
      <c r="F402" s="8" t="inlineStr">
        <is>
          <t>ml</t>
        </is>
      </c>
      <c r="G402" s="8" t="inlineStr">
        <is>
          <t>Teacher made</t>
        </is>
      </c>
      <c r="H402" s="8" t="inlineStr">
        <is>
          <t>Both plans</t>
        </is>
      </c>
      <c r="I402" s="8" t="inlineStr">
        <is>
          <t>About 300 ml in a jug per Paper group; 2 groups maximum. Ingredients: water, food colouring, jugs</t>
        </is>
      </c>
    </row>
    <row r="403">
      <c r="A403" s="8" t="inlineStr">
        <is>
          <t>Week 8</t>
        </is>
      </c>
      <c r="B403" s="8" t="inlineStr">
        <is>
          <t>Year 8</t>
        </is>
      </c>
      <c r="C403" s="8" t="inlineStr">
        <is>
          <t>Evidence 3: scene powder</t>
        </is>
      </c>
      <c r="D403" s="8" t="inlineStr">
        <is>
          <t>证据3：现场白色粉末</t>
        </is>
      </c>
      <c r="E403" s="9" t="n">
        <v>2</v>
      </c>
      <c r="F403" s="8" t="inlineStr">
        <is>
          <t>pots</t>
        </is>
      </c>
      <c r="G403" s="8" t="inlineStr">
        <is>
          <t>Teacher made</t>
        </is>
      </c>
      <c r="H403" s="8" t="inlineStr">
        <is>
          <t>Both plans</t>
        </is>
      </c>
      <c r="I403" s="8" t="inlineStr">
        <is>
          <t>Powder 2: about 2 teaspoons in a labelled pot per group; check under the magnifier that it shows no salt cubes</t>
        </is>
      </c>
    </row>
    <row r="404">
      <c r="A404" s="8" t="inlineStr">
        <is>
          <t>Week 8</t>
        </is>
      </c>
      <c r="B404" s="8" t="inlineStr">
        <is>
          <t>Year 8</t>
        </is>
      </c>
      <c r="C404" s="8" t="inlineStr">
        <is>
          <t>Evidence 6: scene soil</t>
        </is>
      </c>
      <c r="D404" s="8" t="inlineStr">
        <is>
          <t>证据6：现场土壤</t>
        </is>
      </c>
      <c r="E404" s="9" t="n">
        <v>2</v>
      </c>
      <c r="F404" s="8" t="inlineStr">
        <is>
          <t>pots</t>
        </is>
      </c>
      <c r="G404" s="8" t="inlineStr">
        <is>
          <t>Teacher made</t>
        </is>
      </c>
      <c r="H404" s="8" t="inlineStr">
        <is>
          <t>Both plans</t>
        </is>
      </c>
      <c r="I404" s="8" t="inlineStr">
        <is>
          <t>About 4 level tablespoons in a labelled pot per Soil group. Ingredients: campus soil (location A), bags or jar, pots, labels</t>
        </is>
      </c>
    </row>
    <row r="405">
      <c r="A405" s="8" t="inlineStr">
        <is>
          <t>Week 8</t>
        </is>
      </c>
      <c r="B405" s="8" t="inlineStr">
        <is>
          <t>Year 8</t>
        </is>
      </c>
      <c r="C405" s="8" t="inlineStr">
        <is>
          <t>Evidence 7: scene paper towel</t>
        </is>
      </c>
      <c r="D405" s="8" t="inlineStr">
        <is>
          <t>证据7：现场纸巾</t>
        </is>
      </c>
      <c r="E405" s="9" t="n">
        <v>2</v>
      </c>
      <c r="F405" s="8" t="inlineStr">
        <is>
          <t>sheets</t>
        </is>
      </c>
      <c r="G405" s="8" t="inlineStr">
        <is>
          <t>Teacher made</t>
        </is>
      </c>
      <c r="H405" s="8" t="inlineStr">
        <is>
          <t>Both plans</t>
        </is>
      </c>
      <c r="I405" s="8" t="inlineStr">
        <is>
          <t>Same sheets smoothed flat, enough for 3 strips 2 cm by 12 cm each. Ingredients: lab paper towels, pencil, bags, labels</t>
        </is>
      </c>
    </row>
    <row r="406">
      <c r="A406" s="8" t="inlineStr">
        <is>
          <t>Week 8</t>
        </is>
      </c>
      <c r="B406" s="8" t="inlineStr">
        <is>
          <t>Year 8</t>
        </is>
      </c>
      <c r="C406" s="8" t="inlineStr">
        <is>
          <t>Note ink strips 'N'</t>
        </is>
      </c>
      <c r="D406" s="8" t="inlineStr">
        <is>
          <t>纸条墨水N滤纸条</t>
        </is>
      </c>
      <c r="E406" s="9" t="n">
        <v>14</v>
      </c>
      <c r="F406" s="8" t="inlineStr">
        <is>
          <t>strips</t>
        </is>
      </c>
      <c r="G406" s="8" t="inlineStr">
        <is>
          <t>Teacher made</t>
        </is>
      </c>
      <c r="H406" s="8" t="inlineStr">
        <is>
          <t>Both plans</t>
        </is>
      </c>
      <c r="I406" s="8" t="inlineStr">
        <is>
          <t>Ink 2: 6 per group (2 groups maximum) plus 2 for the teacher's salt water and vinegar pre-test; kit card adds 'plus spares' without a number</t>
        </is>
      </c>
    </row>
    <row r="407">
      <c r="A407" s="8" t="inlineStr">
        <is>
          <t>Week 8</t>
        </is>
      </c>
      <c r="B407" s="8" t="inlineStr">
        <is>
          <t>Year 8</t>
        </is>
      </c>
      <c r="C407" s="8" t="inlineStr">
        <is>
          <t>Paper reference sample sets (P1 to P4)</t>
        </is>
      </c>
      <c r="D407" s="8" t="inlineStr">
        <is>
          <t>纸巾参照样本套装（P1至P4）</t>
        </is>
      </c>
      <c r="E407" s="9" t="n">
        <v>2</v>
      </c>
      <c r="F407" s="8" t="inlineStr">
        <is>
          <t>sets</t>
        </is>
      </c>
      <c r="G407" s="8" t="inlineStr">
        <is>
          <t>Teacher made</t>
        </is>
      </c>
      <c r="H407" s="8" t="inlineStr">
        <is>
          <t>Both plans</t>
        </is>
      </c>
      <c r="I407" s="8" t="inlineStr">
        <is>
          <t>1 set per Paper group, 2 groups maximum (about 15 minutes). Ingredients: lab paper towels, canteen napkins, tissues, kitchen roll, pencil, labels</t>
        </is>
      </c>
    </row>
    <row r="408">
      <c r="A408" s="8" t="inlineStr">
        <is>
          <t>Week 8</t>
        </is>
      </c>
      <c r="B408" s="8" t="inlineStr">
        <is>
          <t>Year 8</t>
        </is>
      </c>
      <c r="C408" s="8" t="inlineStr">
        <is>
          <t>Pen pre-test strips (answer key)</t>
        </is>
      </c>
      <c r="D408" s="8" t="inlineStr">
        <is>
          <t>A号笔到D号笔预测试滤纸条（答案）</t>
        </is>
      </c>
      <c r="E408" s="9" t="n">
        <v>6</v>
      </c>
      <c r="F408" s="8" t="inlineStr">
        <is>
          <t>strips</t>
        </is>
      </c>
      <c r="G408" s="8" t="inlineStr">
        <is>
          <t>Teacher made</t>
        </is>
      </c>
      <c r="H408" s="8" t="inlineStr">
        <is>
          <t>Both plans</t>
        </is>
      </c>
      <c r="I408" s="8" t="inlineStr">
        <is>
          <t>Ink 2 pre-test: pens A, B and an N strip in salt water and in vinegar; kept as backup lab report and answer key. Ingredients: coffee-filter strips, pens A and B, N strips, cups, salt, vinegar</t>
        </is>
      </c>
    </row>
    <row r="409">
      <c r="A409" s="8" t="inlineStr">
        <is>
          <t>Week 8</t>
        </is>
      </c>
      <c r="B409" s="8" t="inlineStr">
        <is>
          <t>Year 8</t>
        </is>
      </c>
      <c r="C409" s="8" t="inlineStr">
        <is>
          <t>Powder 2 mixtures K1, K2 and X</t>
        </is>
      </c>
      <c r="D409" s="8" t="inlineStr">
        <is>
          <t>粉末2混合物（已知混合物K1、K2和神秘混合物X）</t>
        </is>
      </c>
      <c r="E409" s="9" t="n">
        <v>2</v>
      </c>
      <c r="F409" s="8" t="inlineStr">
        <is>
          <t>sets of 3 pots</t>
        </is>
      </c>
      <c r="G409" s="8" t="inlineStr">
        <is>
          <t>Teacher made</t>
        </is>
      </c>
      <c r="H409" s="8" t="inlineStr">
        <is>
          <t>Both plans</t>
        </is>
      </c>
      <c r="I409" s="8" t="inlineStr">
        <is>
          <t>Made the day before (20 minutes); about 2 teaspoons per pot per Powder 2 group, 2 groups maximum. Check salt cubes are visible in X under the magnifier. Ingredients: baking soda, cornflour, salt, plain flour, lidded pots, labels</t>
        </is>
      </c>
    </row>
    <row r="410">
      <c r="A410" s="8" t="inlineStr">
        <is>
          <t>Week 8</t>
        </is>
      </c>
      <c r="B410" s="8" t="inlineStr">
        <is>
          <t>Year 9</t>
        </is>
      </c>
      <c r="C410" s="8" t="inlineStr">
        <is>
          <t>Disposable gloves</t>
        </is>
      </c>
      <c r="D410" s="8" t="inlineStr">
        <is>
          <t>一次性手套</t>
        </is>
      </c>
      <c r="E410" s="9" t="n">
        <v>4</v>
      </c>
      <c r="F410" s="8" t="inlineStr">
        <is>
          <t>pairs</t>
        </is>
      </c>
      <c r="G410" s="8" t="inlineStr">
        <is>
          <t>Buy: used up</t>
        </is>
      </c>
      <c r="H410" s="8" t="inlineStr">
        <is>
          <t>Plan A (freezer)</t>
        </is>
      </c>
      <c r="I410" s="8" t="inlineStr">
        <is>
          <t>Claim 1 needs 2 pairs and claim 5 needs 2 pairs, plus teacher spares (the kit card lists these for every Week 8 lesson; keep a few even in Plan B)</t>
        </is>
      </c>
    </row>
    <row r="411">
      <c r="A411" s="8" t="inlineStr">
        <is>
          <t>Week 8</t>
        </is>
      </c>
      <c r="B411" s="8" t="inlineStr">
        <is>
          <t>Year 9</t>
        </is>
      </c>
      <c r="C411" s="8" t="inlineStr">
        <is>
          <t>Fizzy drink, small bottles</t>
        </is>
      </c>
      <c r="D411" s="8" t="inlineStr">
        <is>
          <t>碳酸饮料（小瓶装）</t>
        </is>
      </c>
      <c r="E411" s="9" t="n">
        <v>4</v>
      </c>
      <c r="F411" s="8" t="inlineStr">
        <is>
          <t>bottles</t>
        </is>
      </c>
      <c r="G411" s="8" t="inlineStr">
        <is>
          <t>Buy: used up</t>
        </is>
      </c>
      <c r="H411" s="8" t="inlineStr">
        <is>
          <t>Both plans</t>
        </is>
      </c>
      <c r="I411" s="8" t="inlineStr">
        <is>
          <t>Claim 10 group. Take them out of the fridge in the morning so they reach room temperature. No extra bottle is counted for the 0.1 g scale test the day before</t>
        </is>
      </c>
    </row>
    <row r="412">
      <c r="A412" s="8" t="inlineStr">
        <is>
          <t>Week 8</t>
        </is>
      </c>
      <c r="B412" s="8" t="inlineStr">
        <is>
          <t>Year 9</t>
        </is>
      </c>
      <c r="C412" s="8" t="inlineStr">
        <is>
          <t>Freezer bags, strong</t>
        </is>
      </c>
      <c r="D412" s="8" t="inlineStr">
        <is>
          <t>冷冻袋（加厚）</t>
        </is>
      </c>
      <c r="E412" s="9" t="n">
        <v>1</v>
      </c>
      <c r="F412" s="8" t="inlineStr">
        <is>
          <t>bag</t>
        </is>
      </c>
      <c r="G412" s="8" t="inlineStr">
        <is>
          <t>Buy: used up</t>
        </is>
      </c>
      <c r="H412" s="8" t="inlineStr">
        <is>
          <t>Plan A (freezer)</t>
        </is>
      </c>
      <c r="I412" s="8" t="inlineStr">
        <is>
          <t>Claim 6 crushed ice. The Week 8 files do not name a bag; the Week 6 method is assumed</t>
        </is>
      </c>
    </row>
    <row r="413">
      <c r="A413" s="8" t="inlineStr">
        <is>
          <t>Week 8</t>
        </is>
      </c>
      <c r="B413" s="8" t="inlineStr">
        <is>
          <t>Year 9</t>
        </is>
      </c>
      <c r="C413" s="8" t="inlineStr">
        <is>
          <t>Kitchen roll (shop-bought paper towels)</t>
        </is>
      </c>
      <c r="D413" s="8" t="inlineStr">
        <is>
          <t>厨房纸（卷筒）</t>
        </is>
      </c>
      <c r="E413" s="9" t="n">
        <v>6</v>
      </c>
      <c r="F413" s="8" t="inlineStr">
        <is>
          <t>group supplies</t>
        </is>
      </c>
      <c r="G413" s="8" t="inlineStr">
        <is>
          <t>Buy: used up</t>
        </is>
      </c>
      <c r="H413" s="8" t="inlineStr">
        <is>
          <t>Both plans</t>
        </is>
      </c>
      <c r="I413" s="8" t="inlineStr">
        <is>
          <t>One per tray, plus teacher spares (no number given). Claim 5 also uses them to pat the ice dry</t>
        </is>
      </c>
    </row>
    <row r="414">
      <c r="A414" s="8" t="inlineStr">
        <is>
          <t>Week 8</t>
        </is>
      </c>
      <c r="B414" s="8" t="inlineStr">
        <is>
          <t>Year 9</t>
        </is>
      </c>
      <c r="C414" s="8" t="inlineStr">
        <is>
          <t>Paper towels, three different brands</t>
        </is>
      </c>
      <c r="D414" s="8" t="inlineStr">
        <is>
          <t>纸巾（3个不同品牌，各1卷或1包）</t>
        </is>
      </c>
      <c r="E414" s="9" t="n">
        <v>3</v>
      </c>
      <c r="F414" s="8" t="inlineStr">
        <is>
          <t>rolls (1 per brand)</t>
        </is>
      </c>
      <c r="G414" s="8" t="inlineStr">
        <is>
          <t>Buy: used up</t>
        </is>
      </c>
      <c r="H414" s="8" t="inlineStr">
        <is>
          <t>Both plans</t>
        </is>
      </c>
      <c r="I414" s="8" t="inlineStr">
        <is>
          <t>Claim 11 group</t>
        </is>
      </c>
    </row>
    <row r="415">
      <c r="A415" s="8" t="inlineStr">
        <is>
          <t>Week 8</t>
        </is>
      </c>
      <c r="B415" s="8" t="inlineStr">
        <is>
          <t>Year 9</t>
        </is>
      </c>
      <c r="C415" s="8" t="inlineStr">
        <is>
          <t>Ballpoint pens, identical</t>
        </is>
      </c>
      <c r="D415" s="8" t="inlineStr">
        <is>
          <t>圆珠笔（同款同色）</t>
        </is>
      </c>
      <c r="E415" s="9" t="n">
        <v>25</v>
      </c>
      <c r="F415" s="8" t="inlineStr">
        <is>
          <t>pens</t>
        </is>
      </c>
      <c r="G415" s="8" t="inlineStr">
        <is>
          <t>Buy: reusable</t>
        </is>
      </c>
      <c r="H415" s="8" t="inlineStr">
        <is>
          <t>Both plans</t>
        </is>
      </c>
      <c r="I415" s="8" t="inlineStr">
        <is>
          <t>4 per group for raw data (pens, not pencils), plus 1 for the teacher's run sheet. The Week 5 pens can be used again</t>
        </is>
      </c>
    </row>
    <row r="416">
      <c r="A416" s="8" t="inlineStr">
        <is>
          <t>Week 8</t>
        </is>
      </c>
      <c r="B416" s="8" t="inlineStr">
        <is>
          <t>Year 9</t>
        </is>
      </c>
      <c r="C416" s="8" t="inlineStr">
        <is>
          <t>Cool box, insulated, with lid</t>
        </is>
      </c>
      <c r="D416" s="8" t="inlineStr">
        <is>
          <t>保温箱（带盖）</t>
        </is>
      </c>
      <c r="E416" s="9" t="n">
        <v>1</v>
      </c>
      <c r="F416" s="8" t="inlineStr">
        <is>
          <t>box</t>
        </is>
      </c>
      <c r="G416" s="8" t="inlineStr">
        <is>
          <t>Buy: reusable</t>
        </is>
      </c>
      <c r="H416" s="8" t="inlineStr">
        <is>
          <t>Plan A (freezer)</t>
        </is>
      </c>
      <c r="I416" s="8" t="inlineStr">
        <is>
          <t>Holds the ice for the ice-claim groups</t>
        </is>
      </c>
    </row>
    <row r="417">
      <c r="A417" s="8" t="inlineStr">
        <is>
          <t>Week 8</t>
        </is>
      </c>
      <c r="B417" s="8" t="inlineStr">
        <is>
          <t>Year 9</t>
        </is>
      </c>
      <c r="C417" s="8" t="inlineStr">
        <is>
          <t>Polystyrene cups (insulated foam cups)</t>
        </is>
      </c>
      <c r="D417" s="8" t="inlineStr">
        <is>
          <t>泡沫杯（聚苯乙烯，隔热）</t>
        </is>
      </c>
      <c r="E417" s="9" t="n">
        <v>1</v>
      </c>
      <c r="F417" s="8" t="inlineStr">
        <is>
          <t>cup</t>
        </is>
      </c>
      <c r="G417" s="8" t="inlineStr">
        <is>
          <t>Buy: reusable</t>
        </is>
      </c>
      <c r="H417" s="8" t="inlineStr">
        <is>
          <t>Plan A (freezer)</t>
        </is>
      </c>
      <c r="I417" s="8" t="inlineStr">
        <is>
          <t>Claim 1 group: a large insulated cup or box</t>
        </is>
      </c>
    </row>
    <row r="418">
      <c r="A418" s="8" t="inlineStr">
        <is>
          <t>Week 8</t>
        </is>
      </c>
      <c r="B418" s="8" t="inlineStr">
        <is>
          <t>Year 9</t>
        </is>
      </c>
      <c r="C418" s="8" t="inlineStr">
        <is>
          <t>A4 paper, plain white, 80 gsm</t>
        </is>
      </c>
      <c r="D418" s="8" t="inlineStr">
        <is>
          <t>A4复印纸（白色，80克）</t>
        </is>
      </c>
      <c r="E418" s="9" t="n">
        <v>10</v>
      </c>
      <c r="F418" s="8" t="inlineStr">
        <is>
          <t>sheets</t>
        </is>
      </c>
      <c r="G418" s="8" t="inlineStr">
        <is>
          <t>Stationery and card</t>
        </is>
      </c>
      <c r="H418" s="8" t="inlineStr">
        <is>
          <t>Both plans</t>
        </is>
      </c>
      <c r="I418" s="8" t="inlineStr">
        <is>
          <t>Claim 9: students stand on it (socks on) to mark the heel and longest toe. No number is given; one sheet per volunteer assumed (the run sheet says 10 or more people)</t>
        </is>
      </c>
    </row>
    <row r="419">
      <c r="A419" s="8" t="inlineStr">
        <is>
          <t>Week 8</t>
        </is>
      </c>
      <c r="B419" s="8" t="inlineStr">
        <is>
          <t>Year 9</t>
        </is>
      </c>
      <c r="C419" s="8" t="inlineStr">
        <is>
          <t>Clipboard, A4</t>
        </is>
      </c>
      <c r="D419" s="8" t="inlineStr">
        <is>
          <t>A4写字板夹</t>
        </is>
      </c>
      <c r="E419" s="9" t="n">
        <v>1</v>
      </c>
      <c r="F419" s="8" t="inlineStr">
        <is>
          <t>clipboard</t>
        </is>
      </c>
      <c r="G419" s="8" t="inlineStr">
        <is>
          <t>Stationery and card</t>
        </is>
      </c>
      <c r="H419" s="8" t="inlineStr">
        <is>
          <t>Both plans</t>
        </is>
      </c>
      <c r="I419" s="8" t="inlineStr">
        <is>
          <t>Teacher's run sheet</t>
        </is>
      </c>
    </row>
    <row r="420">
      <c r="A420" s="8" t="inlineStr">
        <is>
          <t>Week 8</t>
        </is>
      </c>
      <c r="B420" s="8" t="inlineStr">
        <is>
          <t>Year 9</t>
        </is>
      </c>
      <c r="C420" s="8" t="inlineStr">
        <is>
          <t>Dry-wipe pens, fine tip</t>
        </is>
      </c>
      <c r="D420" s="8" t="inlineStr">
        <is>
          <t>白板笔（细头）</t>
        </is>
      </c>
      <c r="E420" s="9" t="n">
        <v>6</v>
      </c>
      <c r="F420" s="8" t="inlineStr">
        <is>
          <t>pens</t>
        </is>
      </c>
      <c r="G420" s="8" t="inlineStr">
        <is>
          <t>Stationery and card</t>
        </is>
      </c>
      <c r="H420" s="8" t="inlineStr">
        <is>
          <t>Both plans</t>
        </is>
      </c>
      <c r="I420" s="8" t="inlineStr">
        <is>
          <t>For ticking the laminated data-quality checklists. No number is given; 1 per group assumed</t>
        </is>
      </c>
    </row>
    <row r="421">
      <c r="A421" s="8" t="inlineStr">
        <is>
          <t>Week 8</t>
        </is>
      </c>
      <c r="B421" s="8" t="inlineStr">
        <is>
          <t>Year 9</t>
        </is>
      </c>
      <c r="C421" s="8" t="inlineStr">
        <is>
          <t>Laminating pouches, A4</t>
        </is>
      </c>
      <c r="D421" s="8" t="inlineStr">
        <is>
          <t>塑封膜 A4</t>
        </is>
      </c>
      <c r="E421" s="9" t="n">
        <v>8</v>
      </c>
      <c r="F421" s="8" t="inlineStr">
        <is>
          <t>pouches</t>
        </is>
      </c>
      <c r="G421" s="8" t="inlineStr">
        <is>
          <t>Stationery and card</t>
        </is>
      </c>
      <c r="H421" s="8" t="inlineStr">
        <is>
          <t>Both plans</t>
        </is>
      </c>
      <c r="I421" s="8" t="inlineStr">
        <is>
          <t>Number hunt sheets for claim 8 only: 6 of layout A and 2 of layout B</t>
        </is>
      </c>
    </row>
    <row r="422">
      <c r="A422" s="8" t="inlineStr">
        <is>
          <t>Week 8</t>
        </is>
      </c>
      <c r="B422" s="8" t="inlineStr">
        <is>
          <t>Year 9</t>
        </is>
      </c>
      <c r="C422" s="8" t="inlineStr">
        <is>
          <t>Laminating pouches, A5</t>
        </is>
      </c>
      <c r="D422" s="8" t="inlineStr">
        <is>
          <t>塑封膜 A5</t>
        </is>
      </c>
      <c r="E422" s="9" t="n">
        <v>6</v>
      </c>
      <c r="F422" s="8" t="inlineStr">
        <is>
          <t>pouches</t>
        </is>
      </c>
      <c r="G422" s="8" t="inlineStr">
        <is>
          <t>Stationery and card</t>
        </is>
      </c>
      <c r="H422" s="8" t="inlineStr">
        <is>
          <t>Both plans</t>
        </is>
      </c>
      <c r="I422" s="8" t="inlineStr">
        <is>
          <t>Data-quality checklist cards, ticked with a dry-wipe pen. The alternative is to print 6 new ones</t>
        </is>
      </c>
    </row>
    <row r="423">
      <c r="A423" s="8" t="inlineStr">
        <is>
          <t>Week 8</t>
        </is>
      </c>
      <c r="B423" s="8" t="inlineStr">
        <is>
          <t>Year 9</t>
        </is>
      </c>
      <c r="C423" s="8" t="inlineStr">
        <is>
          <t>Pencils, HB</t>
        </is>
      </c>
      <c r="D423" s="8" t="inlineStr">
        <is>
          <t>铅笔（HB）</t>
        </is>
      </c>
      <c r="E423" s="9" t="n">
        <v>2</v>
      </c>
      <c r="F423" s="8" t="inlineStr">
        <is>
          <t>pencils</t>
        </is>
      </c>
      <c r="G423" s="8" t="inlineStr">
        <is>
          <t>Stationery and card</t>
        </is>
      </c>
      <c r="H423" s="8" t="inlineStr">
        <is>
          <t>Both plans</t>
        </is>
      </c>
      <c r="I423" s="8" t="inlineStr">
        <is>
          <t>Claim 8 group only: the tray label says 'pencils' with no number (2 assumed, one per stopwatch)</t>
        </is>
      </c>
    </row>
    <row r="424">
      <c r="A424" s="8" t="inlineStr">
        <is>
          <t>Week 8</t>
        </is>
      </c>
      <c r="B424" s="8" t="inlineStr">
        <is>
          <t>Year 9</t>
        </is>
      </c>
      <c r="C424" s="8" t="inlineStr">
        <is>
          <t>Rubber bands (elastic bands)</t>
        </is>
      </c>
      <c r="D424" s="8" t="inlineStr">
        <is>
          <t>橡皮筋</t>
        </is>
      </c>
      <c r="E424" s="9" t="n">
        <v>9</v>
      </c>
      <c r="F424" s="8" t="inlineStr">
        <is>
          <t>bands</t>
        </is>
      </c>
      <c r="G424" s="8" t="inlineStr">
        <is>
          <t>Stationery and card</t>
        </is>
      </c>
      <c r="H424" s="8" t="inlineStr">
        <is>
          <t>Both plans</t>
        </is>
      </c>
      <c r="I424" s="8" t="inlineStr">
        <is>
          <t>Claim 4 needs 6. Claim 3 needs some but no number is given; 3 assumed (one per fabric piece)</t>
        </is>
      </c>
    </row>
    <row r="425">
      <c r="A425" s="8" t="inlineStr">
        <is>
          <t>Week 8</t>
        </is>
      </c>
      <c r="B425" s="8" t="inlineStr">
        <is>
          <t>Year 9</t>
        </is>
      </c>
      <c r="C425" s="8" t="inlineStr">
        <is>
          <t>Sticky notes</t>
        </is>
      </c>
      <c r="D425" s="8" t="inlineStr">
        <is>
          <t>便利贴</t>
        </is>
      </c>
      <c r="E425" s="9" t="n">
        <v>6</v>
      </c>
      <c r="F425" s="8" t="inlineStr">
        <is>
          <t>notes</t>
        </is>
      </c>
      <c r="G425" s="8" t="inlineStr">
        <is>
          <t>Stationery and card</t>
        </is>
      </c>
      <c r="H425" s="8" t="inlineStr">
        <is>
          <t>Both plans</t>
        </is>
      </c>
      <c r="I425" s="8" t="inlineStr">
        <is>
          <t>Claim 9 group. No number is given, so this assumes the same as one Week 4 group</t>
        </is>
      </c>
    </row>
    <row r="426">
      <c r="A426" s="8" t="inlineStr">
        <is>
          <t>Week 8</t>
        </is>
      </c>
      <c r="B426" s="8" t="inlineStr">
        <is>
          <t>Year 9</t>
        </is>
      </c>
      <c r="C426" s="8" t="inlineStr">
        <is>
          <t>Bucket, plastic</t>
        </is>
      </c>
      <c r="D426" s="8" t="inlineStr">
        <is>
          <t>塑料水桶</t>
        </is>
      </c>
      <c r="E426" s="9" t="n">
        <v>1</v>
      </c>
      <c r="F426" s="8" t="inlineStr">
        <is>
          <t>bucket</t>
        </is>
      </c>
      <c r="G426" s="8" t="inlineStr">
        <is>
          <t>Prep room equipment</t>
        </is>
      </c>
      <c r="H426" s="8" t="inlineStr">
        <is>
          <t>Both plans</t>
        </is>
      </c>
      <c r="I426" s="8" t="inlineStr">
        <is>
          <t>For used ice and salt, and spills (on the teacher list in both plans)</t>
        </is>
      </c>
    </row>
    <row r="427">
      <c r="A427" s="8" t="inlineStr">
        <is>
          <t>Week 8</t>
        </is>
      </c>
      <c r="B427" s="8" t="inlineStr">
        <is>
          <t>Year 9</t>
        </is>
      </c>
      <c r="C427" s="8" t="inlineStr">
        <is>
          <t>Cloths for wiping tables</t>
        </is>
      </c>
      <c r="D427" s="8" t="inlineStr">
        <is>
          <t>抹布</t>
        </is>
      </c>
      <c r="E427" s="9" t="n">
        <v>1</v>
      </c>
      <c r="F427" s="8" t="inlineStr">
        <is>
          <t>cloth</t>
        </is>
      </c>
      <c r="G427" s="8" t="inlineStr">
        <is>
          <t>Prep room equipment</t>
        </is>
      </c>
      <c r="H427" s="8" t="inlineStr">
        <is>
          <t>Both plans</t>
        </is>
      </c>
      <c r="I427" s="8" t="inlineStr">
        <is>
          <t>Teacher's spare, for spills</t>
        </is>
      </c>
    </row>
    <row r="428">
      <c r="A428" s="8" t="inlineStr">
        <is>
          <t>Week 8</t>
        </is>
      </c>
      <c r="B428" s="8" t="inlineStr">
        <is>
          <t>Year 9</t>
        </is>
      </c>
      <c r="C428" s="8" t="inlineStr">
        <is>
          <t>Electronic balance, reads to 0.1 g</t>
        </is>
      </c>
      <c r="D428" s="8" t="inlineStr">
        <is>
          <t>电子天平（精度0.1克）</t>
        </is>
      </c>
      <c r="E428" s="9" t="n">
        <v>1</v>
      </c>
      <c r="F428" s="8" t="inlineStr">
        <is>
          <t>scale</t>
        </is>
      </c>
      <c r="G428" s="8" t="inlineStr">
        <is>
          <t>Prep room equipment</t>
        </is>
      </c>
      <c r="H428" s="8" t="inlineStr">
        <is>
          <t>Both plans</t>
        </is>
      </c>
      <c r="I428" s="8" t="inlineStr">
        <is>
          <t>Claim 10 (fizzy drink mass loss). The day before, test it with an opened bottle</t>
        </is>
      </c>
    </row>
    <row r="429">
      <c r="A429" s="8" t="inlineStr">
        <is>
          <t>Week 8</t>
        </is>
      </c>
      <c r="B429" s="8" t="inlineStr">
        <is>
          <t>Year 9</t>
        </is>
      </c>
      <c r="C429" s="8" t="inlineStr">
        <is>
          <t>Kitchen scale, reads to 1 g</t>
        </is>
      </c>
      <c r="D429" s="8" t="inlineStr">
        <is>
          <t>电子秤（精度1克）</t>
        </is>
      </c>
      <c r="E429" s="9" t="n">
        <v>3</v>
      </c>
      <c r="F429" s="8" t="inlineStr">
        <is>
          <t>scales</t>
        </is>
      </c>
      <c r="G429" s="8" t="inlineStr">
        <is>
          <t>Prep room equipment</t>
        </is>
      </c>
      <c r="H429" s="8" t="inlineStr">
        <is>
          <t>Both plans</t>
        </is>
      </c>
      <c r="I429" s="8" t="inlineStr">
        <is>
          <t>Claim 5, claim 6, and claim 11 (claim 11 can use a 10 ml measuring cylinder instead)</t>
        </is>
      </c>
    </row>
    <row r="430">
      <c r="A430" s="8" t="inlineStr">
        <is>
          <t>Week 8</t>
        </is>
      </c>
      <c r="B430" s="8" t="inlineStr">
        <is>
          <t>Year 9</t>
        </is>
      </c>
      <c r="C430" s="8" t="inlineStr">
        <is>
          <t>Measuring cylinder, 10 ml</t>
        </is>
      </c>
      <c r="D430" s="8" t="inlineStr">
        <is>
          <t>量筒 10毫升</t>
        </is>
      </c>
      <c r="E430" s="9" t="n">
        <v>1</v>
      </c>
      <c r="F430" s="8" t="inlineStr">
        <is>
          <t>cylinder</t>
        </is>
      </c>
      <c r="G430" s="8" t="inlineStr">
        <is>
          <t>Prep room equipment</t>
        </is>
      </c>
      <c r="H430" s="8" t="inlineStr">
        <is>
          <t>Both plans</t>
        </is>
      </c>
      <c r="I430" s="8" t="inlineStr">
        <is>
          <t>Claim 11, instead of a kitchen scale</t>
        </is>
      </c>
    </row>
    <row r="431">
      <c r="A431" s="8" t="inlineStr">
        <is>
          <t>Week 8</t>
        </is>
      </c>
      <c r="B431" s="8" t="inlineStr">
        <is>
          <t>Year 9</t>
        </is>
      </c>
      <c r="C431" s="8" t="inlineStr">
        <is>
          <t>Measuring jug, 200 ml</t>
        </is>
      </c>
      <c r="D431" s="8" t="inlineStr">
        <is>
          <t>量杯 200毫升</t>
        </is>
      </c>
      <c r="E431" s="9" t="n">
        <v>2</v>
      </c>
      <c r="F431" s="8" t="inlineStr">
        <is>
          <t>jugs</t>
        </is>
      </c>
      <c r="G431" s="8" t="inlineStr">
        <is>
          <t>Prep room equipment</t>
        </is>
      </c>
      <c r="H431" s="8" t="inlineStr">
        <is>
          <t>Plan A (freezer)</t>
        </is>
      </c>
      <c r="I431" s="8" t="inlineStr">
        <is>
          <t>Claim 2 needs 1 and claim 6 needs 1 (both are ice claims)</t>
        </is>
      </c>
    </row>
    <row r="432">
      <c r="A432" s="8" t="inlineStr">
        <is>
          <t>Week 8</t>
        </is>
      </c>
      <c r="B432" s="8" t="inlineStr">
        <is>
          <t>Year 9</t>
        </is>
      </c>
      <c r="C432" s="8" t="inlineStr">
        <is>
          <t>Plastic cups, clear, identical, about 250 ml</t>
        </is>
      </c>
      <c r="D432" s="8" t="inlineStr">
        <is>
          <t>透明塑料杯（同款，约250毫升）</t>
        </is>
      </c>
      <c r="E432" s="9" t="n">
        <v>16</v>
      </c>
      <c r="F432" s="8" t="inlineStr">
        <is>
          <t>cups</t>
        </is>
      </c>
      <c r="G432" s="8" t="inlineStr">
        <is>
          <t>Prep room equipment</t>
        </is>
      </c>
      <c r="H432" s="8" t="inlineStr">
        <is>
          <t>Both plans</t>
        </is>
      </c>
      <c r="I432" s="8" t="inlineStr">
        <is>
          <t>Claim kits: claim 1 needs 1 (cool water); claim 2 needs 4 clear; claim 4 needs 6 plus 1 of room-temperature water; claim 6 needs 2; claim 11 needs 2</t>
        </is>
      </c>
    </row>
    <row r="433">
      <c r="A433" s="8" t="inlineStr">
        <is>
          <t>Week 8</t>
        </is>
      </c>
      <c r="B433" s="8" t="inlineStr">
        <is>
          <t>Year 9</t>
        </is>
      </c>
      <c r="C433" s="8" t="inlineStr">
        <is>
          <t>Plastic syringe, 10 ml, no needle</t>
        </is>
      </c>
      <c r="D433" s="8" t="inlineStr">
        <is>
          <t>塑料注射器 10毫升（无针头）</t>
        </is>
      </c>
      <c r="E433" s="9" t="n">
        <v>1</v>
      </c>
      <c r="F433" s="8" t="inlineStr">
        <is>
          <t>syringe</t>
        </is>
      </c>
      <c r="G433" s="8" t="inlineStr">
        <is>
          <t>Prep room equipment</t>
        </is>
      </c>
      <c r="H433" s="8" t="inlineStr">
        <is>
          <t>Plan A (freezer)</t>
        </is>
      </c>
      <c r="I433" s="8" t="inlineStr">
        <is>
          <t>Claim 1 group</t>
        </is>
      </c>
    </row>
    <row r="434">
      <c r="A434" s="8" t="inlineStr">
        <is>
          <t>Week 8</t>
        </is>
      </c>
      <c r="B434" s="8" t="inlineStr">
        <is>
          <t>Year 9</t>
        </is>
      </c>
      <c r="C434" s="8" t="inlineStr">
        <is>
          <t>Ruler, 30 cm</t>
        </is>
      </c>
      <c r="D434" s="8" t="inlineStr">
        <is>
          <t>直尺 30厘米</t>
        </is>
      </c>
      <c r="E434" s="9" t="n">
        <v>4</v>
      </c>
      <c r="F434" s="8" t="inlineStr">
        <is>
          <t>rulers</t>
        </is>
      </c>
      <c r="G434" s="8" t="inlineStr">
        <is>
          <t>Prep room equipment</t>
        </is>
      </c>
      <c r="H434" s="8" t="inlineStr">
        <is>
          <t>Both plans</t>
        </is>
      </c>
      <c r="I434" s="8" t="inlineStr">
        <is>
          <t>Claim kits: claim 9 needs 1, claim 11 needs 1, claim 12 needs 2</t>
        </is>
      </c>
    </row>
    <row r="435">
      <c r="A435" s="8" t="inlineStr">
        <is>
          <t>Week 8</t>
        </is>
      </c>
      <c r="B435" s="8" t="inlineStr">
        <is>
          <t>Year 9</t>
        </is>
      </c>
      <c r="C435" s="8" t="inlineStr">
        <is>
          <t>Safety goggles</t>
        </is>
      </c>
      <c r="D435" s="8" t="inlineStr">
        <is>
          <t>护目镜</t>
        </is>
      </c>
      <c r="E435" s="9" t="n">
        <v>4</v>
      </c>
      <c r="F435" s="8" t="inlineStr">
        <is>
          <t>pairs</t>
        </is>
      </c>
      <c r="G435" s="8" t="inlineStr">
        <is>
          <t>Prep room equipment</t>
        </is>
      </c>
      <c r="H435" s="8" t="inlineStr">
        <is>
          <t>Plan A (freezer)</t>
        </is>
      </c>
      <c r="I435" s="8" t="inlineStr">
        <is>
          <t>Claim 1 group, plus teacher spares (no number given)</t>
        </is>
      </c>
    </row>
    <row r="436">
      <c r="A436" s="8" t="inlineStr">
        <is>
          <t>Week 8</t>
        </is>
      </c>
      <c r="B436" s="8" t="inlineStr">
        <is>
          <t>Year 9</t>
        </is>
      </c>
      <c r="C436" s="8" t="inlineStr">
        <is>
          <t>Scissors</t>
        </is>
      </c>
      <c r="D436" s="8" t="inlineStr">
        <is>
          <t>剪刀</t>
        </is>
      </c>
      <c r="E436" s="9" t="n">
        <v>1</v>
      </c>
      <c r="F436" s="8" t="inlineStr">
        <is>
          <t>pair</t>
        </is>
      </c>
      <c r="G436" s="8" t="inlineStr">
        <is>
          <t>Prep room equipment</t>
        </is>
      </c>
      <c r="H436" s="8" t="inlineStr">
        <is>
          <t>Both plans</t>
        </is>
      </c>
      <c r="I436" s="8" t="inlineStr">
        <is>
          <t>Claim 11: cutting same-sized paper towel squares</t>
        </is>
      </c>
    </row>
    <row r="437">
      <c r="A437" s="8" t="inlineStr">
        <is>
          <t>Week 8</t>
        </is>
      </c>
      <c r="B437" s="8" t="inlineStr">
        <is>
          <t>Year 9</t>
        </is>
      </c>
      <c r="C437" s="8" t="inlineStr">
        <is>
          <t>Stopwatch</t>
        </is>
      </c>
      <c r="D437" s="8" t="inlineStr">
        <is>
          <t>秒表</t>
        </is>
      </c>
      <c r="E437" s="9" t="n">
        <v>7</v>
      </c>
      <c r="F437" s="8" t="inlineStr">
        <is>
          <t>stopwatches</t>
        </is>
      </c>
      <c r="G437" s="8" t="inlineStr">
        <is>
          <t>Prep room equipment</t>
        </is>
      </c>
      <c r="H437" s="8" t="inlineStr">
        <is>
          <t>Both plans</t>
        </is>
      </c>
      <c r="I437" s="8" t="inlineStr">
        <is>
          <t>1 on every group's tray, plus 1 more for a claim 8 group (that claim needs 2)</t>
        </is>
      </c>
    </row>
    <row r="438">
      <c r="A438" s="8" t="inlineStr">
        <is>
          <t>Week 8</t>
        </is>
      </c>
      <c r="B438" s="8" t="inlineStr">
        <is>
          <t>Year 9</t>
        </is>
      </c>
      <c r="C438" s="8" t="inlineStr">
        <is>
          <t>Tape measure, at least 2 m</t>
        </is>
      </c>
      <c r="D438" s="8" t="inlineStr">
        <is>
          <t>卷尺（2米以上）</t>
        </is>
      </c>
      <c r="E438" s="9" t="n">
        <v>2</v>
      </c>
      <c r="F438" s="8" t="inlineStr">
        <is>
          <t>tape measures</t>
        </is>
      </c>
      <c r="G438" s="8" t="inlineStr">
        <is>
          <t>Prep room equipment</t>
        </is>
      </c>
      <c r="H438" s="8" t="inlineStr">
        <is>
          <t>Both plans</t>
        </is>
      </c>
      <c r="I438" s="8" t="inlineStr">
        <is>
          <t>Claim 9 group</t>
        </is>
      </c>
    </row>
    <row r="439">
      <c r="A439" s="8" t="inlineStr">
        <is>
          <t>Week 8</t>
        </is>
      </c>
      <c r="B439" s="8" t="inlineStr">
        <is>
          <t>Year 9</t>
        </is>
      </c>
      <c r="C439" s="8" t="inlineStr">
        <is>
          <t>Test tubes, small, plastic if possible</t>
        </is>
      </c>
      <c r="D439" s="8" t="inlineStr">
        <is>
          <t>小试管（尽量用塑料）</t>
        </is>
      </c>
      <c r="E439" s="9" t="n">
        <v>6</v>
      </c>
      <c r="F439" s="8" t="inlineStr">
        <is>
          <t>tubes</t>
        </is>
      </c>
      <c r="G439" s="8" t="inlineStr">
        <is>
          <t>Prep room equipment</t>
        </is>
      </c>
      <c r="H439" s="8" t="inlineStr">
        <is>
          <t>Plan A (freezer)</t>
        </is>
      </c>
      <c r="I439" s="8" t="inlineStr">
        <is>
          <t>Claim 1 group: 3 labelled H and 3 labelled C</t>
        </is>
      </c>
    </row>
    <row r="440">
      <c r="A440" s="8" t="inlineStr">
        <is>
          <t>Week 8</t>
        </is>
      </c>
      <c r="B440" s="8" t="inlineStr">
        <is>
          <t>Year 9</t>
        </is>
      </c>
      <c r="C440" s="8" t="inlineStr">
        <is>
          <t>Thermometer, spirit or digital, -10 to 110 °C</t>
        </is>
      </c>
      <c r="D440" s="8" t="inlineStr">
        <is>
          <t>温度计（酒精或数显，-10至110°C）</t>
        </is>
      </c>
      <c r="E440" s="9" t="n">
        <v>12</v>
      </c>
      <c r="F440" s="8" t="inlineStr">
        <is>
          <t>thermometers</t>
        </is>
      </c>
      <c r="G440" s="8" t="inlineStr">
        <is>
          <t>Prep room equipment</t>
        </is>
      </c>
      <c r="H440" s="8" t="inlineStr">
        <is>
          <t>Both plans</t>
        </is>
      </c>
      <c r="I440" s="8" t="inlineStr">
        <is>
          <t>About 12 shared across the claims (claims 1 to 4 and 6). The kit card also lists teacher spares but gives no number</t>
        </is>
      </c>
    </row>
    <row r="441">
      <c r="A441" s="8" t="inlineStr">
        <is>
          <t>Week 8</t>
        </is>
      </c>
      <c r="B441" s="8" t="inlineStr">
        <is>
          <t>Year 9</t>
        </is>
      </c>
      <c r="C441" s="8" t="inlineStr">
        <is>
          <t>Trays, flat (kit trays)</t>
        </is>
      </c>
      <c r="D441" s="8" t="inlineStr">
        <is>
          <t>托盘（平底）</t>
        </is>
      </c>
      <c r="E441" s="9" t="n">
        <v>6</v>
      </c>
      <c r="F441" s="8" t="inlineStr">
        <is>
          <t>trays</t>
        </is>
      </c>
      <c r="G441" s="8" t="inlineStr">
        <is>
          <t>Prep room equipment</t>
        </is>
      </c>
      <c r="H441" s="8" t="inlineStr">
        <is>
          <t>Both plans</t>
        </is>
      </c>
      <c r="I441" s="8" t="inlineStr">
        <is>
          <t>1 per group. Each group's claim kit is set out on its tray</t>
        </is>
      </c>
    </row>
    <row r="442">
      <c r="A442" s="8" t="inlineStr">
        <is>
          <t>Week 8</t>
        </is>
      </c>
      <c r="B442" s="8" t="inlineStr">
        <is>
          <t>Year 9</t>
        </is>
      </c>
      <c r="C442" s="8" t="inlineStr">
        <is>
          <t>Electric kettle</t>
        </is>
      </c>
      <c r="D442" s="8" t="inlineStr">
        <is>
          <t>电水壶</t>
        </is>
      </c>
      <c r="E442" s="9" t="n">
        <v>1</v>
      </c>
      <c r="F442" s="8" t="inlineStr">
        <is>
          <t>kettle</t>
        </is>
      </c>
      <c r="G442" s="8" t="inlineStr">
        <is>
          <t>Canteen and kitchen</t>
        </is>
      </c>
      <c r="H442" s="8" t="inlineStr">
        <is>
          <t>Both plans</t>
        </is>
      </c>
      <c r="I442" s="8" t="inlineStr">
        <is>
          <t>For warm water at about 50 °C and about 60 °C</t>
        </is>
      </c>
    </row>
    <row r="443">
      <c r="A443" s="8" t="inlineStr">
        <is>
          <t>Week 8</t>
        </is>
      </c>
      <c r="B443" s="8" t="inlineStr">
        <is>
          <t>Year 9</t>
        </is>
      </c>
      <c r="C443" s="8" t="inlineStr">
        <is>
          <t>Food colouring</t>
        </is>
      </c>
      <c r="D443" s="8" t="inlineStr">
        <is>
          <t>食用色素</t>
        </is>
      </c>
      <c r="E443" s="9" t="n">
        <v>1</v>
      </c>
      <c r="F443" s="8" t="inlineStr">
        <is>
          <t>small bottle</t>
        </is>
      </c>
      <c r="G443" s="8" t="inlineStr">
        <is>
          <t>Canteen and kitchen</t>
        </is>
      </c>
      <c r="H443" s="8" t="inlineStr">
        <is>
          <t>Plan A (freezer)</t>
        </is>
      </c>
      <c r="I443" s="8" t="inlineStr">
        <is>
          <t>Claim 2 (optional): shows where the meltwater goes</t>
        </is>
      </c>
    </row>
    <row r="444">
      <c r="A444" s="8" t="inlineStr">
        <is>
          <t>Week 8</t>
        </is>
      </c>
      <c r="B444" s="8" t="inlineStr">
        <is>
          <t>Year 9</t>
        </is>
      </c>
      <c r="C444" s="8" t="inlineStr">
        <is>
          <t>Ice cubes</t>
        </is>
      </c>
      <c r="D444" s="8" t="inlineStr">
        <is>
          <t>冰块</t>
        </is>
      </c>
      <c r="E444" s="9" t="n">
        <v>4</v>
      </c>
      <c r="F444" s="8" t="inlineStr">
        <is>
          <t>kg</t>
        </is>
      </c>
      <c r="G444" s="8" t="inlineStr">
        <is>
          <t>Canteen and kitchen</t>
        </is>
      </c>
      <c r="H444" s="8" t="inlineStr">
        <is>
          <t>Plan A (freezer)</t>
        </is>
      </c>
      <c r="I444" s="8" t="inlineStr">
        <is>
          <t>About 1 kg per ice-claim group (claims 1, 2, 5 and 6). 4 kg assumes one group per ice claim; it could be up to 6 kg. Order it after the Week 7 approvals</t>
        </is>
      </c>
    </row>
    <row r="445">
      <c r="A445" s="8" t="inlineStr">
        <is>
          <t>Week 8</t>
        </is>
      </c>
      <c r="B445" s="8" t="inlineStr">
        <is>
          <t>Year 9</t>
        </is>
      </c>
      <c r="C445" s="8" t="inlineStr">
        <is>
          <t>Jugs, plastic, about 2 litres</t>
        </is>
      </c>
      <c r="D445" s="8" t="inlineStr">
        <is>
          <t>塑料水壶（约2升）</t>
        </is>
      </c>
      <c r="E445" s="9" t="n">
        <v>1</v>
      </c>
      <c r="F445" s="8" t="inlineStr">
        <is>
          <t>jug</t>
        </is>
      </c>
      <c r="G445" s="8" t="inlineStr">
        <is>
          <t>Canteen and kitchen</t>
        </is>
      </c>
      <c r="H445" s="8" t="inlineStr">
        <is>
          <t>Both plans</t>
        </is>
      </c>
      <c r="I445" s="8" t="inlineStr">
        <is>
          <t>Warm water for claims 1, 3 and 4</t>
        </is>
      </c>
    </row>
    <row r="446">
      <c r="A446" s="8" t="inlineStr">
        <is>
          <t>Week 8</t>
        </is>
      </c>
      <c r="B446" s="8" t="inlineStr">
        <is>
          <t>Year 9</t>
        </is>
      </c>
      <c r="C446" s="8" t="inlineStr">
        <is>
          <t>Rolling pin</t>
        </is>
      </c>
      <c r="D446" s="8" t="inlineStr">
        <is>
          <t>擀面杖</t>
        </is>
      </c>
      <c r="E446" s="9" t="n">
        <v>1</v>
      </c>
      <c r="F446" s="8" t="inlineStr">
        <is>
          <t>rolling pin</t>
        </is>
      </c>
      <c r="G446" s="8" t="inlineStr">
        <is>
          <t>Canteen and kitchen</t>
        </is>
      </c>
      <c r="H446" s="8" t="inlineStr">
        <is>
          <t>Plan A (freezer)</t>
        </is>
      </c>
      <c r="I446" s="8" t="inlineStr">
        <is>
          <t>Claim 6: the files say only that the teacher crushes some of the ice (300 g crushed). The Week 6 method (bag and rolling pin) is assumed</t>
        </is>
      </c>
    </row>
    <row r="447">
      <c r="A447" s="8" t="inlineStr">
        <is>
          <t>Week 8</t>
        </is>
      </c>
      <c r="B447" s="8" t="inlineStr">
        <is>
          <t>Year 9</t>
        </is>
      </c>
      <c r="C447" s="8" t="inlineStr">
        <is>
          <t>Salt, table salt</t>
        </is>
      </c>
      <c r="D447" s="8" t="inlineStr">
        <is>
          <t>食盐</t>
        </is>
      </c>
      <c r="E447" s="9" t="n">
        <v>0.5</v>
      </c>
      <c r="F447" s="8" t="inlineStr">
        <is>
          <t>kg</t>
        </is>
      </c>
      <c r="G447" s="8" t="inlineStr">
        <is>
          <t>Canteen and kitchen</t>
        </is>
      </c>
      <c r="H447" s="8" t="inlineStr">
        <is>
          <t>Plan A (freezer)</t>
        </is>
      </c>
      <c r="I447" s="8" t="inlineStr">
        <is>
          <t>Claims 1, 2 and 5. The amount is an estimate; what is left from Week 6 may be enough</t>
        </is>
      </c>
    </row>
    <row r="448">
      <c r="A448" s="8" t="inlineStr">
        <is>
          <t>Week 8</t>
        </is>
      </c>
      <c r="B448" s="8" t="inlineStr">
        <is>
          <t>Year 9</t>
        </is>
      </c>
      <c r="C448" s="8" t="inlineStr">
        <is>
          <t>Saucers, small, identical</t>
        </is>
      </c>
      <c r="D448" s="8" t="inlineStr">
        <is>
          <t>小碟子（同款）</t>
        </is>
      </c>
      <c r="E448" s="9" t="n">
        <v>6</v>
      </c>
      <c r="F448" s="8" t="inlineStr">
        <is>
          <t>saucers</t>
        </is>
      </c>
      <c r="G448" s="8" t="inlineStr">
        <is>
          <t>Canteen and kitchen</t>
        </is>
      </c>
      <c r="H448" s="8" t="inlineStr">
        <is>
          <t>Plan A (freezer)</t>
        </is>
      </c>
      <c r="I448" s="8" t="inlineStr">
        <is>
          <t>Claim 5 group (salt on ice cubes)</t>
        </is>
      </c>
    </row>
    <row r="449">
      <c r="A449" s="8" t="inlineStr">
        <is>
          <t>Week 8</t>
        </is>
      </c>
      <c r="B449" s="8" t="inlineStr">
        <is>
          <t>Year 9</t>
        </is>
      </c>
      <c r="C449" s="8" t="inlineStr">
        <is>
          <t>Teaspoons, metal</t>
        </is>
      </c>
      <c r="D449" s="8" t="inlineStr">
        <is>
          <t>茶匙（不锈钢）</t>
        </is>
      </c>
      <c r="E449" s="9" t="n">
        <v>4</v>
      </c>
      <c r="F449" s="8" t="inlineStr">
        <is>
          <t>spoons</t>
        </is>
      </c>
      <c r="G449" s="8" t="inlineStr">
        <is>
          <t>Canteen and kitchen</t>
        </is>
      </c>
      <c r="H449" s="8" t="inlineStr">
        <is>
          <t>Both plans</t>
        </is>
      </c>
      <c r="I449" s="8" t="inlineStr">
        <is>
          <t>Claim 2 needs 1, claim 5 needs 1, claim 10 needs 2 metal teaspoons</t>
        </is>
      </c>
    </row>
    <row r="450">
      <c r="A450" s="8" t="inlineStr">
        <is>
          <t>Week 8</t>
        </is>
      </c>
      <c r="B450" s="8" t="inlineStr">
        <is>
          <t>Year 9</t>
        </is>
      </c>
      <c r="C450" s="8" t="inlineStr">
        <is>
          <t>Vacuum flask</t>
        </is>
      </c>
      <c r="D450" s="8" t="inlineStr">
        <is>
          <t>保温瓶</t>
        </is>
      </c>
      <c r="E450" s="9" t="n">
        <v>2</v>
      </c>
      <c r="F450" s="8" t="inlineStr">
        <is>
          <t>flasks</t>
        </is>
      </c>
      <c r="G450" s="8" t="inlineStr">
        <is>
          <t>Canteen and kitchen</t>
        </is>
      </c>
      <c r="H450" s="8" t="inlineStr">
        <is>
          <t>Both plans</t>
        </is>
      </c>
      <c r="I450" s="8" t="inlineStr">
        <is>
          <t>One at about 50 °C (claims 3 and 4) and one at about 60 °C (claim 1)</t>
        </is>
      </c>
    </row>
    <row r="451">
      <c r="A451" s="8" t="inlineStr">
        <is>
          <t>Week 8</t>
        </is>
      </c>
      <c r="B451" s="8" t="inlineStr">
        <is>
          <t>Year 9</t>
        </is>
      </c>
      <c r="C451" s="8" t="inlineStr">
        <is>
          <t>Fabric scraps, one type, same size</t>
        </is>
      </c>
      <c r="D451" s="8" t="inlineStr">
        <is>
          <t>布料碎片（同种布料、同样大小）</t>
        </is>
      </c>
      <c r="E451" s="9" t="n">
        <v>9</v>
      </c>
      <c r="F451" s="8" t="inlineStr">
        <is>
          <t>pieces</t>
        </is>
      </c>
      <c r="G451" s="8" t="inlineStr">
        <is>
          <t>Collect or borrow</t>
        </is>
      </c>
      <c r="H451" s="8" t="inlineStr">
        <is>
          <t>Both plans</t>
        </is>
      </c>
      <c r="I451" s="8" t="inlineStr">
        <is>
          <t>Claim 3 needs 3 fabric 'hats'; claim 4 needs 6 same-sized cloth pieces</t>
        </is>
      </c>
    </row>
    <row r="452">
      <c r="A452" s="8" t="inlineStr">
        <is>
          <t>Week 8</t>
        </is>
      </c>
      <c r="B452" s="8" t="inlineStr">
        <is>
          <t>Year 9</t>
        </is>
      </c>
      <c r="C452" s="8" t="inlineStr">
        <is>
          <t>Hardback books, flat cover, about A4</t>
        </is>
      </c>
      <c r="D452" s="8" t="inlineStr">
        <is>
          <t>精装书（硬封面，约A4）</t>
        </is>
      </c>
      <c r="E452" s="9" t="n">
        <v>1</v>
      </c>
      <c r="F452" s="8" t="inlineStr">
        <is>
          <t>book</t>
        </is>
      </c>
      <c r="G452" s="8" t="inlineStr">
        <is>
          <t>Collect or borrow</t>
        </is>
      </c>
      <c r="H452" s="8" t="inlineStr">
        <is>
          <t>Both plans</t>
        </is>
      </c>
      <c r="I452" s="8" t="inlineStr">
        <is>
          <t>Claim 9 group</t>
        </is>
      </c>
    </row>
    <row r="453">
      <c r="A453" s="8" t="inlineStr">
        <is>
          <t>Week 8</t>
        </is>
      </c>
      <c r="B453" s="8" t="inlineStr">
        <is>
          <t>Year 9</t>
        </is>
      </c>
      <c r="C453" s="8" t="inlineStr">
        <is>
          <t>Headphones</t>
        </is>
      </c>
      <c r="D453" s="8" t="inlineStr">
        <is>
          <t>耳机</t>
        </is>
      </c>
      <c r="E453" s="9" t="n">
        <v>1</v>
      </c>
      <c r="F453" s="8" t="inlineStr">
        <is>
          <t>pair</t>
        </is>
      </c>
      <c r="G453" s="8" t="inlineStr">
        <is>
          <t>Collect or borrow</t>
        </is>
      </c>
      <c r="H453" s="8" t="inlineStr">
        <is>
          <t>Both plans</t>
        </is>
      </c>
      <c r="I453" s="8" t="inlineStr">
        <is>
          <t>Claim 7 (music and memory): test one or two people at a time. Test them before the lesson</t>
        </is>
      </c>
    </row>
    <row r="454">
      <c r="A454" s="8" t="inlineStr">
        <is>
          <t>Week 8</t>
        </is>
      </c>
      <c r="B454" s="8" t="inlineStr">
        <is>
          <t>Year 9</t>
        </is>
      </c>
      <c r="C454" s="8" t="inlineStr">
        <is>
          <t>Phone, tablet or camera (teacher's own)</t>
        </is>
      </c>
      <c r="D454" s="8" t="inlineStr">
        <is>
          <t>手机、平板电脑或相机（教师自备）</t>
        </is>
      </c>
      <c r="E454" s="9" t="n">
        <v>1</v>
      </c>
      <c r="F454" s="8" t="inlineStr">
        <is>
          <t>device</t>
        </is>
      </c>
      <c r="G454" s="8" t="inlineStr">
        <is>
          <t>Collect or borrow</t>
        </is>
      </c>
      <c r="H454" s="8" t="inlineStr">
        <is>
          <t>Both plans</t>
        </is>
      </c>
      <c r="I454" s="8" t="inlineStr">
        <is>
          <t>Photograph every data sheet; also plays the music for claim 7. Charge it first</t>
        </is>
      </c>
    </row>
    <row r="455">
      <c r="A455" s="8" t="inlineStr">
        <is>
          <t>Week 8</t>
        </is>
      </c>
      <c r="B455" s="8" t="inlineStr">
        <is>
          <t>Year 9</t>
        </is>
      </c>
      <c r="C455" s="8" t="inlineStr">
        <is>
          <t>Plastic bottles, 500 ml, identical, clean</t>
        </is>
      </c>
      <c r="D455" s="8" t="inlineStr">
        <is>
          <t>塑料瓶（500毫升，同款，洗净）</t>
        </is>
      </c>
      <c r="E455" s="9" t="n">
        <v>6</v>
      </c>
      <c r="F455" s="8" t="inlineStr">
        <is>
          <t>bottles</t>
        </is>
      </c>
      <c r="G455" s="8" t="inlineStr">
        <is>
          <t>Collect or borrow</t>
        </is>
      </c>
      <c r="H455" s="8" t="inlineStr">
        <is>
          <t>Both plans</t>
        </is>
      </c>
      <c r="I455" s="8" t="inlineStr">
        <is>
          <t>Claim 3 group needs 3 to 6</t>
        </is>
      </c>
    </row>
    <row r="456">
      <c r="A456" s="8" t="inlineStr">
        <is>
          <t>Week 8</t>
        </is>
      </c>
      <c r="B456" s="8" t="inlineStr">
        <is>
          <t>Year 9</t>
        </is>
      </c>
      <c r="C456" s="8" t="inlineStr">
        <is>
          <t>Freezing mixture (ice and salt)</t>
        </is>
      </c>
      <c r="D456" s="8" t="inlineStr">
        <is>
          <t>冰盐冷冻混合物（教师配制）</t>
        </is>
      </c>
      <c r="E456" s="9" t="n">
        <v>1</v>
      </c>
      <c r="F456" s="8" t="inlineStr">
        <is>
          <t>cup</t>
        </is>
      </c>
      <c r="G456" s="8" t="inlineStr">
        <is>
          <t>Teacher made</t>
        </is>
      </c>
      <c r="H456" s="8" t="inlineStr">
        <is>
          <t>Plan A (freezer)</t>
        </is>
      </c>
      <c r="I456" s="8" t="inlineStr">
        <is>
          <t>Claim 1 group, made 10 minutes before the lesson</t>
        </is>
      </c>
    </row>
    <row r="457">
      <c r="A457" s="8" t="inlineStr">
        <is>
          <t>Week 8</t>
        </is>
      </c>
      <c r="B457" s="8" t="inlineStr">
        <is>
          <t>Year 9</t>
        </is>
      </c>
      <c r="C457" s="8" t="inlineStr">
        <is>
          <t>Warm water, about 50 to 60 °C (teacher-prepared)</t>
        </is>
      </c>
      <c r="D457" s="8" t="inlineStr">
        <is>
          <t>温水（约50至60°C，教师配制）</t>
        </is>
      </c>
      <c r="E457" s="9" t="n">
        <v>2</v>
      </c>
      <c r="F457" s="8" t="inlineStr">
        <is>
          <t>flasks</t>
        </is>
      </c>
      <c r="G457" s="8" t="inlineStr">
        <is>
          <t>Teacher made</t>
        </is>
      </c>
      <c r="H457" s="8" t="inlineStr">
        <is>
          <t>Both plans</t>
        </is>
      </c>
      <c r="I457" s="8" t="inlineStr">
        <is>
          <t>About 50 °C for claims 3 and 4 (bottles and cups) and about 60 °C for claim 1. Claim 3 (up to 6 bottles) and claim 4 (6 cups of 200 ml) may need more than two flasks hold</t>
        </is>
      </c>
    </row>
    <row r="458">
      <c r="A458" s="8" t="inlineStr">
        <is>
          <t>Week 9</t>
        </is>
      </c>
      <c r="B458" s="8" t="inlineStr">
        <is>
          <t>Year 7</t>
        </is>
      </c>
      <c r="C458" s="8" t="inlineStr">
        <is>
          <t>A3 paper, white, 80 gsm</t>
        </is>
      </c>
      <c r="D458" s="8" t="inlineStr">
        <is>
          <t>A3复印纸（白色，80克）</t>
        </is>
      </c>
      <c r="E458" s="9" t="n">
        <v>8</v>
      </c>
      <c r="F458" s="8" t="inlineStr">
        <is>
          <t>sheets</t>
        </is>
      </c>
      <c r="G458" s="8" t="inlineStr">
        <is>
          <t>Stationery and card</t>
        </is>
      </c>
      <c r="H458" s="8" t="inlineStr">
        <is>
          <t>Both plans</t>
        </is>
      </c>
      <c r="I458" s="8" t="inlineStr">
        <is>
          <t>Investigation poster templates: 1 per group + 1 spare (7); A3 enlargement of the class data pooling sheet for the board (1)</t>
        </is>
      </c>
    </row>
    <row r="459">
      <c r="A459" s="8" t="inlineStr">
        <is>
          <t>Week 9</t>
        </is>
      </c>
      <c r="B459" s="8" t="inlineStr">
        <is>
          <t>Year 7</t>
        </is>
      </c>
      <c r="C459" s="8" t="inlineStr">
        <is>
          <t>Black felt-tip pens, thick tip</t>
        </is>
      </c>
      <c r="D459" s="8" t="inlineStr">
        <is>
          <t>黑色马克笔（粗头）</t>
        </is>
      </c>
      <c r="E459" s="9" t="n">
        <v>12</v>
      </c>
      <c r="F459" s="8" t="inlineStr">
        <is>
          <t>pens</t>
        </is>
      </c>
      <c r="G459" s="8" t="inlineStr">
        <is>
          <t>Stationery and card</t>
        </is>
      </c>
      <c r="H459" s="8" t="inlineStr">
        <is>
          <t>Both plans</t>
        </is>
      </c>
      <c r="I459" s="8" t="inlineStr">
        <is>
          <t>2 per group for posters</t>
        </is>
      </c>
    </row>
    <row r="460">
      <c r="A460" s="8" t="inlineStr">
        <is>
          <t>Week 9</t>
        </is>
      </c>
      <c r="B460" s="8" t="inlineStr">
        <is>
          <t>Year 7</t>
        </is>
      </c>
      <c r="C460" s="8" t="inlineStr">
        <is>
          <t>Black felt-tip pens, thin tip</t>
        </is>
      </c>
      <c r="D460" s="8" t="inlineStr">
        <is>
          <t>黑色马克笔（细头）</t>
        </is>
      </c>
      <c r="E460" s="9" t="n">
        <v>12</v>
      </c>
      <c r="F460" s="8" t="inlineStr">
        <is>
          <t>pens</t>
        </is>
      </c>
      <c r="G460" s="8" t="inlineStr">
        <is>
          <t>Stationery and card</t>
        </is>
      </c>
      <c r="H460" s="8" t="inlineStr">
        <is>
          <t>Both plans</t>
        </is>
      </c>
      <c r="I460" s="8" t="inlineStr">
        <is>
          <t>2 per group for posters</t>
        </is>
      </c>
    </row>
    <row r="461">
      <c r="A461" s="8" t="inlineStr">
        <is>
          <t>Week 9</t>
        </is>
      </c>
      <c r="B461" s="8" t="inlineStr">
        <is>
          <t>Year 7</t>
        </is>
      </c>
      <c r="C461" s="8" t="inlineStr">
        <is>
          <t>Glue sticks</t>
        </is>
      </c>
      <c r="D461" s="8" t="inlineStr">
        <is>
          <t>固体胶</t>
        </is>
      </c>
      <c r="E461" s="9" t="n">
        <v>12</v>
      </c>
      <c r="F461" s="8" t="inlineStr">
        <is>
          <t>glue sticks</t>
        </is>
      </c>
      <c r="G461" s="8" t="inlineStr">
        <is>
          <t>Stationery and card</t>
        </is>
      </c>
      <c r="H461" s="8" t="inlineStr">
        <is>
          <t>Both plans</t>
        </is>
      </c>
      <c r="I461" s="8" t="inlineStr">
        <is>
          <t>2 per group, to glue panel cards onto the A3 poster</t>
        </is>
      </c>
    </row>
    <row r="462">
      <c r="A462" s="8" t="inlineStr">
        <is>
          <t>Week 9</t>
        </is>
      </c>
      <c r="B462" s="8" t="inlineStr">
        <is>
          <t>Year 7</t>
        </is>
      </c>
      <c r="C462" s="8" t="inlineStr">
        <is>
          <t>Group folders, A3</t>
        </is>
      </c>
      <c r="D462" s="8" t="inlineStr">
        <is>
          <t>A3文件夹（小组用）</t>
        </is>
      </c>
      <c r="E462" s="9" t="n">
        <v>6</v>
      </c>
      <c r="F462" s="8" t="inlineStr">
        <is>
          <t>folders</t>
        </is>
      </c>
      <c r="G462" s="8" t="inlineStr">
        <is>
          <t>Stationery and card</t>
        </is>
      </c>
      <c r="H462" s="8" t="inlineStr">
        <is>
          <t>Both plans</t>
        </is>
      </c>
      <c r="I462" s="8" t="inlineStr">
        <is>
          <t>Posters stored flat in the folders at clean-up</t>
        </is>
      </c>
    </row>
    <row r="463">
      <c r="A463" s="8" t="inlineStr">
        <is>
          <t>Week 9</t>
        </is>
      </c>
      <c r="B463" s="8" t="inlineStr">
        <is>
          <t>Year 7</t>
        </is>
      </c>
      <c r="C463" s="8" t="inlineStr">
        <is>
          <t>Laminating pouches, A4</t>
        </is>
      </c>
      <c r="D463" s="8" t="inlineStr">
        <is>
          <t>塑封膜 A4</t>
        </is>
      </c>
      <c r="E463" s="9" t="n">
        <v>6</v>
      </c>
      <c r="F463" s="8" t="inlineStr">
        <is>
          <t>pouches</t>
        </is>
      </c>
      <c r="G463" s="8" t="inlineStr">
        <is>
          <t>Stationery and card</t>
        </is>
      </c>
      <c r="H463" s="8" t="inlineStr">
        <is>
          <t>Both plans</t>
        </is>
      </c>
      <c r="I463" s="8" t="inlineStr">
        <is>
          <t>Sample class data cards: print spec says 3 of each (Plan A and Plan B) laminated; only the 3 for your plan are strictly needed</t>
        </is>
      </c>
    </row>
    <row r="464">
      <c r="A464" s="8" t="inlineStr">
        <is>
          <t>Week 9</t>
        </is>
      </c>
      <c r="B464" s="8" t="inlineStr">
        <is>
          <t>Year 7</t>
        </is>
      </c>
      <c r="C464" s="8" t="inlineStr">
        <is>
          <t>Ruler, 30 cm</t>
        </is>
      </c>
      <c r="D464" s="8" t="inlineStr">
        <is>
          <t>直尺 30厘米</t>
        </is>
      </c>
      <c r="E464" s="9" t="n">
        <v>12</v>
      </c>
      <c r="F464" s="8" t="inlineStr">
        <is>
          <t>rulers</t>
        </is>
      </c>
      <c r="G464" s="8" t="inlineStr">
        <is>
          <t>Prep room equipment</t>
        </is>
      </c>
      <c r="H464" s="8" t="inlineStr">
        <is>
          <t>Both plans</t>
        </is>
      </c>
      <c r="I464" s="8" t="inlineStr">
        <is>
          <t>2 per group for posters</t>
        </is>
      </c>
    </row>
    <row r="465">
      <c r="A465" s="8" t="inlineStr">
        <is>
          <t>Week 9</t>
        </is>
      </c>
      <c r="B465" s="8" t="inlineStr">
        <is>
          <t>Year 7</t>
        </is>
      </c>
      <c r="C465" s="8" t="inlineStr">
        <is>
          <t>Scissors</t>
        </is>
      </c>
      <c r="D465" s="8" t="inlineStr">
        <is>
          <t>剪刀</t>
        </is>
      </c>
      <c r="E465" s="9" t="n">
        <v>6</v>
      </c>
      <c r="F465" s="8" t="inlineStr">
        <is>
          <t>pairs</t>
        </is>
      </c>
      <c r="G465" s="8" t="inlineStr">
        <is>
          <t>Prep room equipment</t>
        </is>
      </c>
      <c r="H465" s="8" t="inlineStr">
        <is>
          <t>Both plans</t>
        </is>
      </c>
      <c r="I465" s="8" t="inlineStr">
        <is>
          <t>1 per group for panel cards</t>
        </is>
      </c>
    </row>
    <row r="466">
      <c r="A466" s="8" t="inlineStr">
        <is>
          <t>Week 9</t>
        </is>
      </c>
      <c r="B466" s="8" t="inlineStr">
        <is>
          <t>Year 8</t>
        </is>
      </c>
      <c r="C466" s="8" t="inlineStr">
        <is>
          <t>A3 paper, white, 80 gsm</t>
        </is>
      </c>
      <c r="D466" s="8" t="inlineStr">
        <is>
          <t>A3复印纸（白色，80克）</t>
        </is>
      </c>
      <c r="E466" s="9" t="n">
        <v>13</v>
      </c>
      <c r="F466" s="8" t="inlineStr">
        <is>
          <t>A3 sheets</t>
        </is>
      </c>
      <c r="G466" s="8" t="inlineStr">
        <is>
          <t>Stationery and card</t>
        </is>
      </c>
      <c r="H466" s="8" t="inlineStr">
        <is>
          <t>Both plans</t>
        </is>
      </c>
      <c r="I466" s="8" t="inlineStr">
        <is>
          <t>Evidence boards, 1 per group plus 1 enlarged teacher model (7; the model may need a larger sheet); expert witness statement frames, 1 A3 per group (6), or 1 A4 per student instead</t>
        </is>
      </c>
    </row>
    <row r="467">
      <c r="A467" s="8" t="inlineStr">
        <is>
          <t>Week 9</t>
        </is>
      </c>
      <c r="B467" s="8" t="inlineStr">
        <is>
          <t>Year 8</t>
        </is>
      </c>
      <c r="C467" s="8" t="inlineStr">
        <is>
          <t>Envelopes, C5 (for A5)</t>
        </is>
      </c>
      <c r="D467" s="8" t="inlineStr">
        <is>
          <t>C5信封（可放A5纸）</t>
        </is>
      </c>
      <c r="E467" s="9" t="n">
        <v>1</v>
      </c>
      <c r="F467" s="8" t="inlineStr">
        <is>
          <t>envelope</t>
        </is>
      </c>
      <c r="G467" s="8" t="inlineStr">
        <is>
          <t>Stationery and card</t>
        </is>
      </c>
      <c r="H467" s="8" t="inlineStr">
        <is>
          <t>Both plans</t>
        </is>
      </c>
      <c r="I467" s="8" t="inlineStr">
        <is>
          <t>Keeps the cleaning log cards out of sight until minute 7 of the Do phase</t>
        </is>
      </c>
    </row>
    <row r="468">
      <c r="A468" s="8" t="inlineStr">
        <is>
          <t>Week 9</t>
        </is>
      </c>
      <c r="B468" s="8" t="inlineStr">
        <is>
          <t>Year 8</t>
        </is>
      </c>
      <c r="C468" s="8" t="inlineStr">
        <is>
          <t>Glue sticks</t>
        </is>
      </c>
      <c r="D468" s="8" t="inlineStr">
        <is>
          <t>固体胶</t>
        </is>
      </c>
      <c r="E468" s="9" t="n">
        <v>6</v>
      </c>
      <c r="F468" s="8" t="inlineStr">
        <is>
          <t>packs or sticks</t>
        </is>
      </c>
      <c r="G468" s="8" t="inlineStr">
        <is>
          <t>Stationery and card</t>
        </is>
      </c>
      <c r="H468" s="8" t="inlineStr">
        <is>
          <t>Both plans</t>
        </is>
      </c>
      <c r="I468" s="8" t="inlineStr">
        <is>
          <t>1 per group to fix evidence cards and the 'SET ASIDE' label strip from the cleaning log card to the A3 evidence board</t>
        </is>
      </c>
    </row>
    <row r="469">
      <c r="A469" s="8" t="inlineStr">
        <is>
          <t>Week 9</t>
        </is>
      </c>
      <c r="B469" s="8" t="inlineStr">
        <is>
          <t>Year 8</t>
        </is>
      </c>
      <c r="C469" s="8" t="inlineStr">
        <is>
          <t>Photo print: Week 5 Ideas Parking Board</t>
        </is>
      </c>
      <c r="D469" s="8" t="inlineStr">
        <is>
          <t>照片打印：第5周想法停车场</t>
        </is>
      </c>
      <c r="E469" s="9" t="n">
        <v>1</v>
      </c>
      <c r="F469" s="8" t="inlineStr">
        <is>
          <t>print</t>
        </is>
      </c>
      <c r="G469" s="8" t="inlineStr">
        <is>
          <t>Stationery and card</t>
        </is>
      </c>
      <c r="H469" s="8" t="inlineStr">
        <is>
          <t>Both plans</t>
        </is>
      </c>
      <c r="I469" s="8" t="inlineStr">
        <is>
          <t>Prep calendar Week 8 (Year 8) says print the Ideas Parking Board photo for Week 9; the Week 9 kit card puts the photo on slide 4, so the print is optional if the board itself is still up</t>
        </is>
      </c>
    </row>
    <row r="470">
      <c r="A470" s="8" t="inlineStr">
        <is>
          <t>Week 9</t>
        </is>
      </c>
      <c r="B470" s="8" t="inlineStr">
        <is>
          <t>Year 8</t>
        </is>
      </c>
      <c r="C470" s="8" t="inlineStr">
        <is>
          <t>White card, A4, 160 gsm</t>
        </is>
      </c>
      <c r="D470" s="8" t="inlineStr">
        <is>
          <t>160克白卡纸 A4</t>
        </is>
      </c>
      <c r="E470" s="9" t="n">
        <v>6</v>
      </c>
      <c r="F470" s="8" t="inlineStr">
        <is>
          <t>A4 sheets</t>
        </is>
      </c>
      <c r="G470" s="8" t="inlineStr">
        <is>
          <t>Stationery and card</t>
        </is>
      </c>
      <c r="H470" s="8" t="inlineStr">
        <is>
          <t>Both plans</t>
        </is>
      </c>
      <c r="I470" s="8" t="inlineStr">
        <is>
          <t>Evidence card packs, 1 sheet of 9 cards per group, on card if possible</t>
        </is>
      </c>
    </row>
    <row r="471">
      <c r="A471" s="8" t="inlineStr">
        <is>
          <t>Week 9</t>
        </is>
      </c>
      <c r="B471" s="8" t="inlineStr">
        <is>
          <t>Year 9</t>
        </is>
      </c>
      <c r="C471" s="8" t="inlineStr">
        <is>
          <t>Ballpoint pens, identical</t>
        </is>
      </c>
      <c r="D471" s="8" t="inlineStr">
        <is>
          <t>圆珠笔（同款同色）</t>
        </is>
      </c>
      <c r="E471" s="9" t="n">
        <v>24</v>
      </c>
      <c r="F471" s="8" t="inlineStr">
        <is>
          <t>pens</t>
        </is>
      </c>
      <c r="G471" s="8" t="inlineStr">
        <is>
          <t>Buy: reusable</t>
        </is>
      </c>
      <c r="H471" s="8" t="inlineStr">
        <is>
          <t>Both plans</t>
        </is>
      </c>
      <c r="I471" s="8" t="inlineStr">
        <is>
          <t>'Pencils and pens: 4' per group</t>
        </is>
      </c>
    </row>
    <row r="472">
      <c r="A472" s="8" t="inlineStr">
        <is>
          <t>Week 9</t>
        </is>
      </c>
      <c r="B472" s="8" t="inlineStr">
        <is>
          <t>Year 9</t>
        </is>
      </c>
      <c r="C472" s="8" t="inlineStr">
        <is>
          <t>A3 paper, white, 80 gsm</t>
        </is>
      </c>
      <c r="D472" s="8" t="inlineStr">
        <is>
          <t>A3复印纸（白色，80克）</t>
        </is>
      </c>
      <c r="E472" s="9" t="n">
        <v>12</v>
      </c>
      <c r="F472" s="8" t="inlineStr">
        <is>
          <t>sheets</t>
        </is>
      </c>
      <c r="G472" s="8" t="inlineStr">
        <is>
          <t>Stationery and card</t>
        </is>
      </c>
      <c r="H472" s="8" t="inlineStr">
        <is>
          <t>Both plans</t>
        </is>
      </c>
      <c r="I472" s="8" t="inlineStr">
        <is>
          <t>Fact-check report template, printed on both sides and folded into an A4 booklet: 1 plus 1 spare per group</t>
        </is>
      </c>
    </row>
    <row r="473">
      <c r="A473" s="8" t="inlineStr">
        <is>
          <t>Week 9</t>
        </is>
      </c>
      <c r="B473" s="8" t="inlineStr">
        <is>
          <t>Year 9</t>
        </is>
      </c>
      <c r="C473" s="8" t="inlineStr">
        <is>
          <t>Laminating pouches, A5</t>
        </is>
      </c>
      <c r="D473" s="8" t="inlineStr">
        <is>
          <t>塑封膜 A5</t>
        </is>
      </c>
      <c r="E473" s="9" t="n">
        <v>6</v>
      </c>
      <c r="F473" s="8" t="inlineStr">
        <is>
          <t>pouches</t>
        </is>
      </c>
      <c r="G473" s="8" t="inlineStr">
        <is>
          <t>Stationery and card</t>
        </is>
      </c>
      <c r="H473" s="8" t="inlineStr">
        <is>
          <t>Both plans</t>
        </is>
      </c>
      <c r="I473" s="8" t="inlineStr">
        <is>
          <t>Talk frame cards, handed out at the end of Week 9 and used again in Week 10. The print spec also mentions spares but gives no number</t>
        </is>
      </c>
    </row>
    <row r="474">
      <c r="A474" s="8" t="inlineStr">
        <is>
          <t>Week 9</t>
        </is>
      </c>
      <c r="B474" s="8" t="inlineStr">
        <is>
          <t>Year 9</t>
        </is>
      </c>
      <c r="C474" s="8" t="inlineStr">
        <is>
          <t>Pencils, HB</t>
        </is>
      </c>
      <c r="D474" s="8" t="inlineStr">
        <is>
          <t>铅笔（HB）</t>
        </is>
      </c>
      <c r="E474" s="9" t="n">
        <v>24</v>
      </c>
      <c r="F474" s="8" t="inlineStr">
        <is>
          <t>pencils</t>
        </is>
      </c>
      <c r="G474" s="8" t="inlineStr">
        <is>
          <t>Stationery and card</t>
        </is>
      </c>
      <c r="H474" s="8" t="inlineStr">
        <is>
          <t>Both plans</t>
        </is>
      </c>
      <c r="I474" s="8" t="inlineStr">
        <is>
          <t>'Pencils and pens: 4' per group</t>
        </is>
      </c>
    </row>
    <row r="475">
      <c r="A475" s="8" t="inlineStr">
        <is>
          <t>Week 9</t>
        </is>
      </c>
      <c r="B475" s="8" t="inlineStr">
        <is>
          <t>Year 9</t>
        </is>
      </c>
      <c r="C475" s="8" t="inlineStr">
        <is>
          <t>Stapler (with staples)</t>
        </is>
      </c>
      <c r="D475" s="8" t="inlineStr">
        <is>
          <t>订书机（含订书钉）</t>
        </is>
      </c>
      <c r="E475" s="9" t="n">
        <v>6</v>
      </c>
      <c r="F475" s="8" t="inlineStr">
        <is>
          <t>staplers</t>
        </is>
      </c>
      <c r="G475" s="8" t="inlineStr">
        <is>
          <t>Stationery and card</t>
        </is>
      </c>
      <c r="H475" s="8" t="inlineStr">
        <is>
          <t>Both plans</t>
        </is>
      </c>
      <c r="I475" s="8" t="inlineStr">
        <is>
          <t>1 per group, to fasten the report, reviewer checklist, comment slips and revision log together</t>
        </is>
      </c>
    </row>
    <row r="476">
      <c r="A476" s="8" t="inlineStr">
        <is>
          <t>Week 9</t>
        </is>
      </c>
      <c r="B476" s="8" t="inlineStr">
        <is>
          <t>Year 9</t>
        </is>
      </c>
      <c r="C476" s="8" t="inlineStr">
        <is>
          <t>Calculator, basic</t>
        </is>
      </c>
      <c r="D476" s="8" t="inlineStr">
        <is>
          <t>计算器（简易型）</t>
        </is>
      </c>
      <c r="E476" s="9" t="n">
        <v>6</v>
      </c>
      <c r="F476" s="8" t="inlineStr">
        <is>
          <t>calculators</t>
        </is>
      </c>
      <c r="G476" s="8" t="inlineStr">
        <is>
          <t>Prep room equipment</t>
        </is>
      </c>
      <c r="H476" s="8" t="inlineStr">
        <is>
          <t>Both plans</t>
        </is>
      </c>
      <c r="I476" s="8" t="inlineStr">
        <is>
          <t>1 per group, for checking means</t>
        </is>
      </c>
    </row>
    <row r="477">
      <c r="A477" s="8" t="inlineStr">
        <is>
          <t>Week 9</t>
        </is>
      </c>
      <c r="B477" s="8" t="inlineStr">
        <is>
          <t>Year 9</t>
        </is>
      </c>
      <c r="C477" s="8" t="inlineStr">
        <is>
          <t>Ruler, 30 cm</t>
        </is>
      </c>
      <c r="D477" s="8" t="inlineStr">
        <is>
          <t>直尺 30厘米</t>
        </is>
      </c>
      <c r="E477" s="9" t="n">
        <v>12</v>
      </c>
      <c r="F477" s="8" t="inlineStr">
        <is>
          <t>rulers</t>
        </is>
      </c>
      <c r="G477" s="8" t="inlineStr">
        <is>
          <t>Prep room equipment</t>
        </is>
      </c>
      <c r="H477" s="8" t="inlineStr">
        <is>
          <t>Both plans</t>
        </is>
      </c>
      <c r="I477" s="8" t="inlineStr">
        <is>
          <t>2 per group</t>
        </is>
      </c>
    </row>
    <row r="478">
      <c r="A478" s="8" t="inlineStr">
        <is>
          <t>Week 10</t>
        </is>
      </c>
      <c r="B478" s="8" t="inlineStr">
        <is>
          <t>Year 7</t>
        </is>
      </c>
      <c r="C478" s="8" t="inlineStr">
        <is>
          <t>Storage boxes, plastic with lid</t>
        </is>
      </c>
      <c r="D478" s="8" t="inlineStr">
        <is>
          <t>带盖塑料收纳箱</t>
        </is>
      </c>
      <c r="E478" s="9" t="n">
        <v>1</v>
      </c>
      <c r="F478" s="8" t="inlineStr">
        <is>
          <t>boxes</t>
        </is>
      </c>
      <c r="G478" s="8" t="inlineStr">
        <is>
          <t>Buy: reusable</t>
        </is>
      </c>
      <c r="H478" s="8" t="inlineStr">
        <is>
          <t>Both plans</t>
        </is>
      </c>
      <c r="I478" s="8" t="inlineStr">
        <is>
          <t>Labelled Ice Engineers box for reusable kit</t>
        </is>
      </c>
    </row>
    <row r="479">
      <c r="A479" s="8" t="inlineStr">
        <is>
          <t>Week 10</t>
        </is>
      </c>
      <c r="B479" s="8" t="inlineStr">
        <is>
          <t>Year 7</t>
        </is>
      </c>
      <c r="C479" s="8" t="inlineStr">
        <is>
          <t>Clipboard, A4</t>
        </is>
      </c>
      <c r="D479" s="8" t="inlineStr">
        <is>
          <t>A4写字板夹</t>
        </is>
      </c>
      <c r="E479" s="9" t="n">
        <v>1</v>
      </c>
      <c r="F479" s="8" t="inlineStr">
        <is>
          <t>clipboards</t>
        </is>
      </c>
      <c r="G479" s="8" t="inlineStr">
        <is>
          <t>Stationery and card</t>
        </is>
      </c>
      <c r="H479" s="8" t="inlineStr">
        <is>
          <t>Both plans</t>
        </is>
      </c>
      <c r="I479" s="8" t="inlineStr">
        <is>
          <t>Teacher: Expo run sheet and strand 6 talk record</t>
        </is>
      </c>
    </row>
    <row r="480">
      <c r="A480" s="8" t="inlineStr">
        <is>
          <t>Week 10</t>
        </is>
      </c>
      <c r="B480" s="8" t="inlineStr">
        <is>
          <t>Year 7</t>
        </is>
      </c>
      <c r="C480" s="8" t="inlineStr">
        <is>
          <t>Group folders, A3</t>
        </is>
      </c>
      <c r="D480" s="8" t="inlineStr">
        <is>
          <t>A3文件夹（小组用）</t>
        </is>
      </c>
      <c r="E480" s="9" t="n">
        <v>6</v>
      </c>
      <c r="F480" s="8" t="inlineStr">
        <is>
          <t>folders</t>
        </is>
      </c>
      <c r="G480" s="8" t="inlineStr">
        <is>
          <t>Stationery and card</t>
        </is>
      </c>
      <c r="H480" s="8" t="inlineStr">
        <is>
          <t>Both plans</t>
        </is>
      </c>
      <c r="I480" s="8" t="inlineStr">
        <is>
          <t>Planning frame and Week 8 results sheet</t>
        </is>
      </c>
    </row>
    <row r="481">
      <c r="A481" s="8" t="inlineStr">
        <is>
          <t>Week 10</t>
        </is>
      </c>
      <c r="B481" s="8" t="inlineStr">
        <is>
          <t>Year 7</t>
        </is>
      </c>
      <c r="C481" s="8" t="inlineStr">
        <is>
          <t>Pencils, HB</t>
        </is>
      </c>
      <c r="D481" s="8" t="inlineStr">
        <is>
          <t>铅笔（HB）</t>
        </is>
      </c>
      <c r="E481" s="9" t="n">
        <v>26</v>
      </c>
      <c r="F481" s="8" t="inlineStr">
        <is>
          <t>pencils</t>
        </is>
      </c>
      <c r="G481" s="8" t="inlineStr">
        <is>
          <t>Stationery and card</t>
        </is>
      </c>
      <c r="H481" s="8" t="inlineStr">
        <is>
          <t>Both plans</t>
        </is>
      </c>
      <c r="I481" s="8" t="inlineStr">
        <is>
          <t>1 per student + 1 on a string beside each of the 2 gallery walk signs</t>
        </is>
      </c>
    </row>
    <row r="482">
      <c r="A482" s="8" t="inlineStr">
        <is>
          <t>Week 10</t>
        </is>
      </c>
      <c r="B482" s="8" t="inlineStr">
        <is>
          <t>Year 7</t>
        </is>
      </c>
      <c r="C482" s="8" t="inlineStr">
        <is>
          <t>Sticky notes</t>
        </is>
      </c>
      <c r="D482" s="8" t="inlineStr">
        <is>
          <t>便利贴</t>
        </is>
      </c>
      <c r="E482" s="9" t="n">
        <v>2</v>
      </c>
      <c r="F482" s="8" t="inlineStr">
        <is>
          <t>pads</t>
        </is>
      </c>
      <c r="G482" s="8" t="inlineStr">
        <is>
          <t>Stationery and card</t>
        </is>
      </c>
      <c r="H482" s="8" t="inlineStr">
        <is>
          <t>Both plans</t>
        </is>
      </c>
      <c r="I482" s="8" t="inlineStr">
        <is>
          <t>A pad beside each gallery walk sign (door and posters); these are the teacher's gallery-walk sticky notes</t>
        </is>
      </c>
    </row>
    <row r="483">
      <c r="A483" s="8" t="inlineStr">
        <is>
          <t>Week 10</t>
        </is>
      </c>
      <c r="B483" s="8" t="inlineStr">
        <is>
          <t>Year 7</t>
        </is>
      </c>
      <c r="C483" s="8" t="inlineStr">
        <is>
          <t>String, strong</t>
        </is>
      </c>
      <c r="D483" s="8" t="inlineStr">
        <is>
          <t>结实的细绳</t>
        </is>
      </c>
      <c r="E483" s="9" t="n">
        <v>2</v>
      </c>
      <c r="F483" s="8" t="inlineStr">
        <is>
          <t>lengths</t>
        </is>
      </c>
      <c r="G483" s="8" t="inlineStr">
        <is>
          <t>Stationery and card</t>
        </is>
      </c>
      <c r="H483" s="8" t="inlineStr">
        <is>
          <t>Both plans</t>
        </is>
      </c>
      <c r="I483" s="8" t="inlineStr">
        <is>
          <t>Pencil on a string beside each gallery walk sign</t>
        </is>
      </c>
    </row>
    <row r="484">
      <c r="A484" s="8" t="inlineStr">
        <is>
          <t>Week 10</t>
        </is>
      </c>
      <c r="B484" s="8" t="inlineStr">
        <is>
          <t>Year 7</t>
        </is>
      </c>
      <c r="C484" s="8" t="inlineStr">
        <is>
          <t>White card, A4, 160 gsm</t>
        </is>
      </c>
      <c r="D484" s="8" t="inlineStr">
        <is>
          <t>160克白卡纸 A4</t>
        </is>
      </c>
      <c r="E484" s="9" t="n">
        <v>27</v>
      </c>
      <c r="F484" s="8" t="inlineStr">
        <is>
          <t>sheets</t>
        </is>
      </c>
      <c r="G484" s="8" t="inlineStr">
        <is>
          <t>Stationery and card</t>
        </is>
      </c>
      <c r="H484" s="8" t="inlineStr">
        <is>
          <t>Both plans</t>
        </is>
      </c>
      <c r="I484" s="8" t="inlineStr">
        <is>
          <t>Expo question cards: 2 sheets (4 if printed 6 per sheet), on card if possible; certificates: 24 + 1 Most Improved, A4 landscape, on card if available</t>
        </is>
      </c>
    </row>
    <row r="485">
      <c r="A485" s="8" t="inlineStr">
        <is>
          <t>Week 10</t>
        </is>
      </c>
      <c r="B485" s="8" t="inlineStr">
        <is>
          <t>Year 8</t>
        </is>
      </c>
      <c r="C485" s="8" t="inlineStr">
        <is>
          <t>Freezer bags, strong</t>
        </is>
      </c>
      <c r="D485" s="8" t="inlineStr">
        <is>
          <t>冷冻袋（加厚）</t>
        </is>
      </c>
      <c r="E485" s="9" t="n">
        <v>1</v>
      </c>
      <c r="F485" s="8" t="inlineStr">
        <is>
          <t>bag</t>
        </is>
      </c>
      <c r="G485" s="8" t="inlineStr">
        <is>
          <t>Buy: used up</t>
        </is>
      </c>
      <c r="H485" s="8" t="inlineStr">
        <is>
          <t>Both plans</t>
        </is>
      </c>
      <c r="I485" s="8" t="inlineStr">
        <is>
          <t>Optional: holds the notebook prop in the staff freezer</t>
        </is>
      </c>
    </row>
    <row r="486">
      <c r="A486" s="8" t="inlineStr">
        <is>
          <t>Week 10</t>
        </is>
      </c>
      <c r="B486" s="8" t="inlineStr">
        <is>
          <t>Year 8</t>
        </is>
      </c>
      <c r="C486" s="8" t="inlineStr">
        <is>
          <t>Pencils, HB</t>
        </is>
      </c>
      <c r="D486" s="8" t="inlineStr">
        <is>
          <t>铅笔（HB）</t>
        </is>
      </c>
      <c r="E486" s="9" t="n">
        <v>24</v>
      </c>
      <c r="F486" s="8" t="inlineStr">
        <is>
          <t>pencils</t>
        </is>
      </c>
      <c r="G486" s="8" t="inlineStr">
        <is>
          <t>Stationery and card</t>
        </is>
      </c>
      <c r="H486" s="8" t="inlineStr">
        <is>
          <t>Both plans</t>
        </is>
      </c>
      <c r="I486" s="8" t="inlineStr">
        <is>
          <t>1 per student</t>
        </is>
      </c>
    </row>
    <row r="487">
      <c r="A487" s="8" t="inlineStr">
        <is>
          <t>Week 10</t>
        </is>
      </c>
      <c r="B487" s="8" t="inlineStr">
        <is>
          <t>Year 8</t>
        </is>
      </c>
      <c r="C487" s="8" t="inlineStr">
        <is>
          <t>White card, A4, 160 gsm</t>
        </is>
      </c>
      <c r="D487" s="8" t="inlineStr">
        <is>
          <t>160克白卡纸 A4</t>
        </is>
      </c>
      <c r="E487" s="9" t="n">
        <v>31</v>
      </c>
      <c r="F487" s="8" t="inlineStr">
        <is>
          <t>A4 sheets</t>
        </is>
      </c>
      <c r="G487" s="8" t="inlineStr">
        <is>
          <t>Stationery and card</t>
        </is>
      </c>
      <c r="H487" s="8" t="inlineStr">
        <is>
          <t>Both plans</t>
        </is>
      </c>
      <c r="I487" s="8" t="inlineStr">
        <is>
          <t>Jury question cards, 1 sheet per group, on card if possible (6; 12 if the cards need two sheets); certificates, A4 landscape, 1 per student plus 1 Most Improved, on card if available (25)</t>
        </is>
      </c>
    </row>
    <row r="488">
      <c r="A488" s="8" t="inlineStr">
        <is>
          <t>Week 10</t>
        </is>
      </c>
      <c r="B488" s="8" t="inlineStr">
        <is>
          <t>Year 8</t>
        </is>
      </c>
      <c r="C488" s="8" t="inlineStr">
        <is>
          <t>Stopwatch</t>
        </is>
      </c>
      <c r="D488" s="8" t="inlineStr">
        <is>
          <t>秒表</t>
        </is>
      </c>
      <c r="E488" s="9" t="n">
        <v>1</v>
      </c>
      <c r="F488" s="8" t="inlineStr">
        <is>
          <t>timer</t>
        </is>
      </c>
      <c r="G488" s="8" t="inlineStr">
        <is>
          <t>Prep room equipment</t>
        </is>
      </c>
      <c r="H488" s="8" t="inlineStr">
        <is>
          <t>Both plans</t>
        </is>
      </c>
      <c r="I488" s="8" t="inlineStr">
        <is>
          <t>A timer visible to the class for the 90-second talks</t>
        </is>
      </c>
    </row>
    <row r="489">
      <c r="A489" s="8" t="inlineStr">
        <is>
          <t>Week 10</t>
        </is>
      </c>
      <c r="B489" s="8" t="inlineStr">
        <is>
          <t>Year 8</t>
        </is>
      </c>
      <c r="C489" s="8" t="inlineStr">
        <is>
          <t>Freezer space</t>
        </is>
      </c>
      <c r="D489" s="8" t="inlineStr">
        <is>
          <t>冰柜空间</t>
        </is>
      </c>
      <c r="E489" s="9" t="n">
        <v>1</v>
      </c>
      <c r="F489" s="8" t="inlineStr">
        <is>
          <t>space overnight</t>
        </is>
      </c>
      <c r="G489" s="8" t="inlineStr">
        <is>
          <t>Canteen and kitchen</t>
        </is>
      </c>
      <c r="H489" s="8" t="inlineStr">
        <is>
          <t>Both plans</t>
        </is>
      </c>
      <c r="I489" s="8" t="inlineStr">
        <is>
          <t>Optional: notebook prop in its freezer bag the day before Week 10</t>
        </is>
      </c>
    </row>
    <row r="490">
      <c r="A490" s="8" t="inlineStr">
        <is>
          <t>Week 10</t>
        </is>
      </c>
      <c r="B490" s="8" t="inlineStr">
        <is>
          <t>Year 8</t>
        </is>
      </c>
      <c r="C490" s="8" t="inlineStr">
        <is>
          <t>Old notebook (prop)</t>
        </is>
      </c>
      <c r="D490" s="8" t="inlineStr">
        <is>
          <t>旧笔记本（道具）</t>
        </is>
      </c>
      <c r="E490" s="9" t="n">
        <v>1</v>
      </c>
      <c r="F490" s="8" t="inlineStr">
        <is>
          <t>notebook</t>
        </is>
      </c>
      <c r="G490" s="8" t="inlineStr">
        <is>
          <t>Collect or borrow</t>
        </is>
      </c>
      <c r="H490" s="8" t="inlineStr">
        <is>
          <t>Both plans</t>
        </is>
      </c>
      <c r="I490" s="8" t="inlineStr">
        <is>
          <t>Optional: brought out frosty after the reveal</t>
        </is>
      </c>
    </row>
    <row r="491">
      <c r="A491" s="8" t="inlineStr">
        <is>
          <t>Week 10</t>
        </is>
      </c>
      <c r="B491" s="8" t="inlineStr">
        <is>
          <t>Year 8</t>
        </is>
      </c>
      <c r="C491" s="8" t="inlineStr">
        <is>
          <t>Frozen notebook prop (optional)</t>
        </is>
      </c>
      <c r="D491" s="8" t="inlineStr">
        <is>
          <t>冷冻笔记本道具（可选）</t>
        </is>
      </c>
      <c r="E491" s="9" t="n">
        <v>1</v>
      </c>
      <c r="F491" s="8" t="inlineStr">
        <is>
          <t>prop</t>
        </is>
      </c>
      <c r="G491" s="8" t="inlineStr">
        <is>
          <t>Teacher made</t>
        </is>
      </c>
      <c r="H491" s="8" t="inlineStr">
        <is>
          <t>Both plans</t>
        </is>
      </c>
      <c r="I491" s="8" t="inlineStr">
        <is>
          <t>Put in the staff freezer the day before; bring out frosty after the reveal. Ingredients: notebook prop, freezer bag, staff freezer space</t>
        </is>
      </c>
    </row>
    <row r="492">
      <c r="A492" s="8" t="inlineStr">
        <is>
          <t>Week 10</t>
        </is>
      </c>
      <c r="B492" s="8" t="inlineStr">
        <is>
          <t>Year 9</t>
        </is>
      </c>
      <c r="C492" s="8" t="inlineStr">
        <is>
          <t>Bell, hand bell or desk bell (timing signal)</t>
        </is>
      </c>
      <c r="D492" s="8" t="inlineStr">
        <is>
          <t>手摇铃或桌铃（计时提示用）</t>
        </is>
      </c>
      <c r="E492" s="9" t="n">
        <v>1</v>
      </c>
      <c r="F492" s="8" t="inlineStr">
        <is>
          <t>bell</t>
        </is>
      </c>
      <c r="G492" s="8" t="inlineStr">
        <is>
          <t>Buy: reusable</t>
        </is>
      </c>
      <c r="H492" s="8" t="inlineStr">
        <is>
          <t>Both plans</t>
        </is>
      </c>
      <c r="I492" s="8" t="inlineStr">
        <is>
          <t>Rung at 1 minute 45 seconds in each 2-minute talk</t>
        </is>
      </c>
    </row>
    <row r="493">
      <c r="A493" s="8" t="inlineStr">
        <is>
          <t>Week 10</t>
        </is>
      </c>
      <c r="B493" s="8" t="inlineStr">
        <is>
          <t>Year 9</t>
        </is>
      </c>
      <c r="C493" s="8" t="inlineStr">
        <is>
          <t>A3 paper, white, 80 gsm</t>
        </is>
      </c>
      <c r="D493" s="8" t="inlineStr">
        <is>
          <t>A3复印纸（白色，80克）</t>
        </is>
      </c>
      <c r="E493" s="9" t="n">
        <v>1</v>
      </c>
      <c r="F493" s="8" t="inlineStr">
        <is>
          <t>sheet</t>
        </is>
      </c>
      <c r="G493" s="8" t="inlineStr">
        <is>
          <t>Stationery and card</t>
        </is>
      </c>
      <c r="H493" s="8" t="inlineStr">
        <is>
          <t>Both plans</t>
        </is>
      </c>
      <c r="I493" s="8" t="inlineStr">
        <is>
          <t>Verdict wall poster</t>
        </is>
      </c>
    </row>
    <row r="494">
      <c r="A494" s="8" t="inlineStr">
        <is>
          <t>Week 10</t>
        </is>
      </c>
      <c r="B494" s="8" t="inlineStr">
        <is>
          <t>Year 9</t>
        </is>
      </c>
      <c r="C494" s="8" t="inlineStr">
        <is>
          <t>Clear sticky tape</t>
        </is>
      </c>
      <c r="D494" s="8" t="inlineStr">
        <is>
          <t>透明胶带</t>
        </is>
      </c>
      <c r="E494" s="9" t="n">
        <v>1</v>
      </c>
      <c r="F494" s="8" t="inlineStr">
        <is>
          <t>roll</t>
        </is>
      </c>
      <c r="G494" s="8" t="inlineStr">
        <is>
          <t>Stationery and card</t>
        </is>
      </c>
      <c r="H494" s="8" t="inlineStr">
        <is>
          <t>Both plans</t>
        </is>
      </c>
      <c r="I494" s="8" t="inlineStr">
        <is>
          <t>For putting up the verdict wall poster</t>
        </is>
      </c>
    </row>
    <row r="495">
      <c r="A495" s="8" t="inlineStr">
        <is>
          <t>Week 10</t>
        </is>
      </c>
      <c r="B495" s="8" t="inlineStr">
        <is>
          <t>Year 9</t>
        </is>
      </c>
      <c r="C495" s="8" t="inlineStr">
        <is>
          <t>Clipboard, A4</t>
        </is>
      </c>
      <c r="D495" s="8" t="inlineStr">
        <is>
          <t>A4写字板夹</t>
        </is>
      </c>
      <c r="E495" s="9" t="n">
        <v>1</v>
      </c>
      <c r="F495" s="8" t="inlineStr">
        <is>
          <t>clipboard</t>
        </is>
      </c>
      <c r="G495" s="8" t="inlineStr">
        <is>
          <t>Stationery and card</t>
        </is>
      </c>
      <c r="H495" s="8" t="inlineStr">
        <is>
          <t>Both plans</t>
        </is>
      </c>
      <c r="I495" s="8" t="inlineStr">
        <is>
          <t>Conference marking grid</t>
        </is>
      </c>
    </row>
    <row r="496">
      <c r="A496" s="8" t="inlineStr">
        <is>
          <t>Week 10</t>
        </is>
      </c>
      <c r="B496" s="8" t="inlineStr">
        <is>
          <t>Year 9</t>
        </is>
      </c>
      <c r="C496" s="8" t="inlineStr">
        <is>
          <t>Envelopes, C6 (for small card sets)</t>
        </is>
      </c>
      <c r="D496" s="8" t="inlineStr">
        <is>
          <t>C6信封（可装A6及名片大小卡片）</t>
        </is>
      </c>
      <c r="E496" s="9" t="n">
        <v>2</v>
      </c>
      <c r="F496" s="8" t="inlineStr">
        <is>
          <t>envelopes</t>
        </is>
      </c>
      <c r="G496" s="8" t="inlineStr">
        <is>
          <t>Stationery and card</t>
        </is>
      </c>
      <c r="H496" s="8" t="inlineStr">
        <is>
          <t>Both plans</t>
        </is>
      </c>
      <c r="I496" s="8" t="inlineStr">
        <is>
          <t>Labelled envelopes for A4 papers: one for skills checks, one for surveys</t>
        </is>
      </c>
    </row>
    <row r="497">
      <c r="A497" s="8" t="inlineStr">
        <is>
          <t>Week 10</t>
        </is>
      </c>
      <c r="B497" s="8" t="inlineStr">
        <is>
          <t>Year 9</t>
        </is>
      </c>
      <c r="C497" s="8" t="inlineStr">
        <is>
          <t>Running order poster (Year 9, Week 10)</t>
        </is>
      </c>
      <c r="D497" s="8" t="inlineStr">
        <is>
          <t>汇报顺序海报</t>
        </is>
      </c>
      <c r="E497" s="9" t="n">
        <v>1</v>
      </c>
      <c r="F497" s="8" t="inlineStr">
        <is>
          <t>poster</t>
        </is>
      </c>
      <c r="G497" s="8" t="inlineStr">
        <is>
          <t>Stationery and card</t>
        </is>
      </c>
      <c r="H497" s="8" t="inlineStr">
        <is>
          <t>Both plans</t>
        </is>
      </c>
      <c r="I497" s="8" t="inlineStr">
        <is>
          <t>Shows the running order and which group asks each question and gives feedback. Not needed if slide 4 is shown</t>
        </is>
      </c>
    </row>
    <row r="498">
      <c r="A498" s="8" t="inlineStr">
        <is>
          <t>Week 10</t>
        </is>
      </c>
      <c r="B498" s="8" t="inlineStr">
        <is>
          <t>Year 9</t>
        </is>
      </c>
      <c r="C498" s="8" t="inlineStr">
        <is>
          <t>White card, A4, 160 gsm</t>
        </is>
      </c>
      <c r="D498" s="8" t="inlineStr">
        <is>
          <t>160克白卡纸 A4</t>
        </is>
      </c>
      <c r="E498" s="9" t="n">
        <v>27</v>
      </c>
      <c r="F498" s="8" t="inlineStr">
        <is>
          <t>sheets</t>
        </is>
      </c>
      <c r="G498" s="8" t="inlineStr">
        <is>
          <t>Stationery and card</t>
        </is>
      </c>
      <c r="H498" s="8" t="inlineStr">
        <is>
          <t>Both plans</t>
        </is>
      </c>
      <c r="I498" s="8" t="inlineStr">
        <is>
          <t>Audience question cards: 2 sheets (12 cards per sheet, 6.5 cm square). Certificates: 25 sheets (24 students plus 1 Most Improved), printed on card if available. Second copies for students on an award boundary are not counted</t>
        </is>
      </c>
    </row>
    <row r="499">
      <c r="A499" s="8" t="inlineStr">
        <is>
          <t>Week 10</t>
        </is>
      </c>
      <c r="B499" s="8" t="inlineStr">
        <is>
          <t>Year 9</t>
        </is>
      </c>
      <c r="C499" s="8" t="inlineStr">
        <is>
          <t>Stopwatch</t>
        </is>
      </c>
      <c r="D499" s="8" t="inlineStr">
        <is>
          <t>秒表</t>
        </is>
      </c>
      <c r="E499" s="9" t="n">
        <v>1</v>
      </c>
      <c r="F499" s="8" t="inlineStr">
        <is>
          <t>stopwatch</t>
        </is>
      </c>
      <c r="G499" s="8" t="inlineStr">
        <is>
          <t>Prep room equipment</t>
        </is>
      </c>
      <c r="H499" s="8" t="inlineStr">
        <is>
          <t>Both plans</t>
        </is>
      </c>
      <c r="I499" s="8" t="inlineStr">
        <is>
          <t>Teacher's timer for the 2-minute talks (a phone works too)</t>
        </is>
      </c>
    </row>
    <row r="500">
      <c r="A500" s="8" t="inlineStr">
        <is>
          <t>Week 10</t>
        </is>
      </c>
      <c r="B500" s="8" t="inlineStr">
        <is>
          <t>Year 9</t>
        </is>
      </c>
      <c r="C500" s="8" t="inlineStr">
        <is>
          <t>Phone, tablet or camera (teacher's own)</t>
        </is>
      </c>
      <c r="D500" s="8" t="inlineStr">
        <is>
          <t>手机、平板电脑或相机（教师自备）</t>
        </is>
      </c>
      <c r="E500" s="9" t="n">
        <v>1</v>
      </c>
      <c r="F500" s="8" t="inlineStr">
        <is>
          <t>device</t>
        </is>
      </c>
      <c r="G500" s="8" t="inlineStr">
        <is>
          <t>Collect or borrow</t>
        </is>
      </c>
      <c r="H500" s="8" t="inlineStr">
        <is>
          <t>Both plans</t>
        </is>
      </c>
      <c r="I500" s="8" t="inlineStr">
        <is>
          <t>Photograph the verdict wall poster. A phone alarm can replace the bell</t>
        </is>
      </c>
    </row>
  </sheetData>
  <autoFilter ref="A1:I500"/>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AY2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34" customWidth="1" min="2" max="2"/>
    <col width="20" customWidth="1" min="3" max="3"/>
    <col width="16" customWidth="1" min="4" max="4"/>
    <col width="16" customWidth="1" min="5" max="5"/>
    <col width="16" customWidth="1" min="6" max="6"/>
    <col width="16" customWidth="1" min="7" max="7"/>
    <col width="7.5" customWidth="1" min="8" max="8"/>
    <col width="7.5" customWidth="1" min="9" max="9"/>
    <col width="7.5" customWidth="1" min="10" max="10"/>
    <col width="7.5" customWidth="1" min="11" max="11"/>
    <col width="7.5" customWidth="1" min="12" max="12"/>
    <col width="7.5" customWidth="1" min="13" max="13"/>
    <col width="7.5" customWidth="1" min="14" max="14"/>
    <col width="7.5" customWidth="1" min="15" max="15"/>
    <col width="7.5" customWidth="1" min="16" max="16"/>
    <col width="7.5" customWidth="1" min="17" max="17"/>
    <col width="7.5" customWidth="1" min="18" max="18"/>
    <col width="7.5" customWidth="1" min="19" max="19"/>
    <col width="7.5" customWidth="1" min="20" max="20"/>
    <col width="7.5" customWidth="1" min="21" max="21"/>
    <col width="7.5" customWidth="1" min="22" max="22"/>
    <col width="7.5" customWidth="1" min="23" max="23"/>
    <col width="7.5" customWidth="1" min="24" max="24"/>
    <col width="7.5" customWidth="1" min="25" max="25"/>
    <col width="7.5" customWidth="1" min="26" max="26"/>
    <col width="7.5" customWidth="1" min="27" max="27"/>
    <col width="7.5" customWidth="1" min="28" max="28"/>
    <col width="7.5" customWidth="1" min="29" max="29"/>
    <col width="7.5" customWidth="1" min="30" max="30"/>
    <col width="7.5" customWidth="1" min="31" max="31"/>
    <col width="7.5" customWidth="1" min="32" max="32"/>
    <col width="7.5" customWidth="1" min="33" max="33"/>
    <col width="7.5" customWidth="1" min="34" max="34"/>
    <col width="7.5" customWidth="1" min="35" max="35"/>
    <col width="7.5" customWidth="1" min="36" max="36"/>
    <col width="7.5" customWidth="1" min="37" max="37"/>
    <col width="7.5" customWidth="1" min="38" max="38"/>
    <col width="7.5" customWidth="1" min="39" max="39"/>
    <col width="7.5" customWidth="1" min="40" max="40"/>
    <col width="7.5" customWidth="1" min="41" max="41"/>
    <col width="7.5" customWidth="1" min="42" max="42"/>
    <col width="7.5" customWidth="1" min="43" max="43"/>
    <col width="7.5" customWidth="1" min="44" max="44"/>
    <col width="7.5" customWidth="1" min="45" max="45"/>
    <col width="7.5" customWidth="1" min="46" max="46"/>
    <col width="7.5" customWidth="1" min="47" max="47"/>
    <col width="7.5" customWidth="1" min="48" max="48"/>
    <col width="7.5" customWidth="1" min="49" max="49"/>
    <col width="7.5" customWidth="1" min="50" max="50"/>
    <col width="7.5" customWidth="1" min="51" max="51"/>
  </cols>
  <sheetData>
    <row r="1">
      <c r="A1" s="7" t="inlineStr">
        <is>
          <t>Line</t>
        </is>
      </c>
      <c r="B1" s="7" t="inlineStr">
        <is>
          <t>Item</t>
        </is>
      </c>
      <c r="C1" s="7" t="inlineStr">
        <is>
          <t>中文名称（草稿）</t>
        </is>
      </c>
      <c r="D1" s="7" t="inlineStr">
        <is>
          <t>Category</t>
        </is>
      </c>
      <c r="E1" s="7" t="inlineStr">
        <is>
          <t>Plan</t>
        </is>
      </c>
      <c r="F1" s="7" t="inlineStr">
        <is>
          <t>Type</t>
        </is>
      </c>
      <c r="G1" s="7" t="inlineStr">
        <is>
          <t>Unit</t>
        </is>
      </c>
      <c r="H1" s="7" t="inlineStr">
        <is>
          <t>Counts?</t>
        </is>
      </c>
      <c r="I1" s="7" t="inlineStr">
        <is>
          <t>Y7 W1</t>
        </is>
      </c>
      <c r="J1" s="7" t="inlineStr">
        <is>
          <t>Y7 W2</t>
        </is>
      </c>
      <c r="K1" s="7" t="inlineStr">
        <is>
          <t>Y7 W3</t>
        </is>
      </c>
      <c r="L1" s="7" t="inlineStr">
        <is>
          <t>Y7 W4</t>
        </is>
      </c>
      <c r="M1" s="7" t="inlineStr">
        <is>
          <t>Y7 W5</t>
        </is>
      </c>
      <c r="N1" s="7" t="inlineStr">
        <is>
          <t>Y7 W6</t>
        </is>
      </c>
      <c r="O1" s="7" t="inlineStr">
        <is>
          <t>Y7 W7</t>
        </is>
      </c>
      <c r="P1" s="7" t="inlineStr">
        <is>
          <t>Y7 W8</t>
        </is>
      </c>
      <c r="Q1" s="7" t="inlineStr">
        <is>
          <t>Y7 W9</t>
        </is>
      </c>
      <c r="R1" s="7" t="inlineStr">
        <is>
          <t>Y7 W10</t>
        </is>
      </c>
      <c r="S1" s="7" t="inlineStr">
        <is>
          <t>Y8 W1</t>
        </is>
      </c>
      <c r="T1" s="7" t="inlineStr">
        <is>
          <t>Y8 W2</t>
        </is>
      </c>
      <c r="U1" s="7" t="inlineStr">
        <is>
          <t>Y8 W3</t>
        </is>
      </c>
      <c r="V1" s="7" t="inlineStr">
        <is>
          <t>Y8 W4</t>
        </is>
      </c>
      <c r="W1" s="7" t="inlineStr">
        <is>
          <t>Y8 W5</t>
        </is>
      </c>
      <c r="X1" s="7" t="inlineStr">
        <is>
          <t>Y8 W6</t>
        </is>
      </c>
      <c r="Y1" s="7" t="inlineStr">
        <is>
          <t>Y8 W7</t>
        </is>
      </c>
      <c r="Z1" s="7" t="inlineStr">
        <is>
          <t>Y8 W8</t>
        </is>
      </c>
      <c r="AA1" s="7" t="inlineStr">
        <is>
          <t>Y8 W9</t>
        </is>
      </c>
      <c r="AB1" s="7" t="inlineStr">
        <is>
          <t>Y8 W10</t>
        </is>
      </c>
      <c r="AC1" s="7" t="inlineStr">
        <is>
          <t>Y9 W1</t>
        </is>
      </c>
      <c r="AD1" s="7" t="inlineStr">
        <is>
          <t>Y9 W2</t>
        </is>
      </c>
      <c r="AE1" s="7" t="inlineStr">
        <is>
          <t>Y9 W3</t>
        </is>
      </c>
      <c r="AF1" s="7" t="inlineStr">
        <is>
          <t>Y9 W4</t>
        </is>
      </c>
      <c r="AG1" s="7" t="inlineStr">
        <is>
          <t>Y9 W5</t>
        </is>
      </c>
      <c r="AH1" s="7" t="inlineStr">
        <is>
          <t>Y9 W6</t>
        </is>
      </c>
      <c r="AI1" s="7" t="inlineStr">
        <is>
          <t>Y9 W7</t>
        </is>
      </c>
      <c r="AJ1" s="7" t="inlineStr">
        <is>
          <t>Y9 W8</t>
        </is>
      </c>
      <c r="AK1" s="7" t="inlineStr">
        <is>
          <t>Y9 W9</t>
        </is>
      </c>
      <c r="AL1" s="7" t="inlineStr">
        <is>
          <t>Y9 W10</t>
        </is>
      </c>
      <c r="AM1" s="7" t="inlineStr">
        <is>
          <t>All W1</t>
        </is>
      </c>
      <c r="AN1" s="7" t="inlineStr">
        <is>
          <t>All W2</t>
        </is>
      </c>
      <c r="AO1" s="7" t="inlineStr">
        <is>
          <t>All W3</t>
        </is>
      </c>
      <c r="AP1" s="7" t="inlineStr">
        <is>
          <t>All W4</t>
        </is>
      </c>
      <c r="AQ1" s="7" t="inlineStr">
        <is>
          <t>All W5</t>
        </is>
      </c>
      <c r="AR1" s="7" t="inlineStr">
        <is>
          <t>All W6</t>
        </is>
      </c>
      <c r="AS1" s="7" t="inlineStr">
        <is>
          <t>All W7</t>
        </is>
      </c>
      <c r="AT1" s="7" t="inlineStr">
        <is>
          <t>All W8</t>
        </is>
      </c>
      <c r="AU1" s="7" t="inlineStr">
        <is>
          <t>All W9</t>
        </is>
      </c>
      <c r="AV1" s="7" t="inlineStr">
        <is>
          <t>All W10</t>
        </is>
      </c>
      <c r="AW1" s="7" t="inlineStr">
        <is>
          <t>Y7 total</t>
        </is>
      </c>
      <c r="AX1" s="7" t="inlineStr">
        <is>
          <t>Y8 total</t>
        </is>
      </c>
      <c r="AY1" s="7" t="inlineStr">
        <is>
          <t>Y9 total</t>
        </is>
      </c>
    </row>
    <row r="2">
      <c r="A2" s="2" t="inlineStr">
        <is>
          <t>soap_bar_plain|both|teaspoon, grated</t>
        </is>
      </c>
      <c r="B2" s="2" t="inlineStr">
        <is>
          <t>Plain bar soap</t>
        </is>
      </c>
      <c r="C2" s="2" t="inlineStr">
        <is>
          <t>普通块状肥皂</t>
        </is>
      </c>
      <c r="D2" s="2" t="inlineStr">
        <is>
          <t>Buy: used up</t>
        </is>
      </c>
      <c r="E2" s="2" t="inlineStr">
        <is>
          <t>Both plans</t>
        </is>
      </c>
      <c r="F2" s="2" t="inlineStr">
        <is>
          <t>Used up</t>
        </is>
      </c>
      <c r="G2" s="2" t="inlineStr">
        <is>
          <t>teaspoon, grated</t>
        </is>
      </c>
      <c r="H2" s="2">
        <f>IF(OR($E2="Both plans",'Read me'!$C$9="A and B",AND($E2="Plan A (freezer)",'Read me'!$C$9="A"),AND($E2="Plan B (no freezer)",'Read me'!$C$9="B")),1,0)</f>
        <v/>
      </c>
      <c r="I2" s="2" t="n"/>
      <c r="J2" s="2" t="n"/>
      <c r="K2" s="2" t="n"/>
      <c r="L2" s="2" t="n"/>
      <c r="M2" s="2" t="n"/>
      <c r="N2" s="2" t="n"/>
      <c r="O2" s="2" t="n"/>
      <c r="P2" s="2" t="n"/>
      <c r="Q2" s="2" t="n"/>
      <c r="R2" s="2" t="n"/>
      <c r="S2" s="2" t="n">
        <v>1</v>
      </c>
      <c r="T2" s="2" t="n"/>
      <c r="U2" s="2" t="n"/>
      <c r="V2" s="2" t="n"/>
      <c r="W2" s="2" t="n">
        <v>1</v>
      </c>
      <c r="X2" s="2" t="n"/>
      <c r="Y2" s="2" t="n"/>
      <c r="Z2" s="2" t="n"/>
      <c r="AA2" s="2" t="n"/>
      <c r="AB2" s="2" t="n"/>
      <c r="AC2" s="2" t="n"/>
      <c r="AD2" s="2" t="n"/>
      <c r="AE2" s="2" t="n"/>
      <c r="AF2" s="2" t="n"/>
      <c r="AG2" s="2" t="n"/>
      <c r="AH2" s="2" t="n"/>
      <c r="AI2" s="2" t="n"/>
      <c r="AJ2" s="2" t="n"/>
      <c r="AK2" s="2" t="n"/>
      <c r="AL2" s="2" t="n"/>
      <c r="AM2" s="2">
        <f>N(I2)+N(S2)+N(AC2)</f>
        <v/>
      </c>
      <c r="AN2" s="2">
        <f>N(J2)+N(T2)+N(AD2)</f>
        <v/>
      </c>
      <c r="AO2" s="2">
        <f>N(K2)+N(U2)+N(AE2)</f>
        <v/>
      </c>
      <c r="AP2" s="2">
        <f>N(L2)+N(V2)+N(AF2)</f>
        <v/>
      </c>
      <c r="AQ2" s="2">
        <f>N(M2)+N(W2)+N(AG2)</f>
        <v/>
      </c>
      <c r="AR2" s="2">
        <f>N(N2)+N(X2)+N(AH2)</f>
        <v/>
      </c>
      <c r="AS2" s="2">
        <f>N(O2)+N(Y2)+N(AI2)</f>
        <v/>
      </c>
      <c r="AT2" s="2">
        <f>N(P2)+N(Z2)+N(AJ2)</f>
        <v/>
      </c>
      <c r="AU2" s="2">
        <f>N(Q2)+N(AA2)+N(AK2)</f>
        <v/>
      </c>
      <c r="AV2" s="2">
        <f>N(R2)+N(AB2)+N(AL2)</f>
        <v/>
      </c>
      <c r="AW2" s="2">
        <f>SUM(I2:R2)</f>
        <v/>
      </c>
      <c r="AX2" s="2">
        <f>SUM(S2:AB2)</f>
        <v/>
      </c>
      <c r="AY2" s="2">
        <f>SUM(AC2:AL2)</f>
        <v/>
      </c>
    </row>
    <row r="3">
      <c r="A3" s="2" t="inlineStr">
        <is>
          <t>coffee_filters_white|both|strips (2 cm x 10 cm)</t>
        </is>
      </c>
      <c r="B3" s="2" t="inlineStr">
        <is>
          <t>White coffee filters (for chromatography strips)</t>
        </is>
      </c>
      <c r="C3" s="2" t="inlineStr">
        <is>
          <t>白色咖啡滤纸（用于色谱滤纸条）</t>
        </is>
      </c>
      <c r="D3" s="2" t="inlineStr">
        <is>
          <t>Buy: used up</t>
        </is>
      </c>
      <c r="E3" s="2" t="inlineStr">
        <is>
          <t>Both plans</t>
        </is>
      </c>
      <c r="F3" s="2" t="inlineStr">
        <is>
          <t>Used up</t>
        </is>
      </c>
      <c r="G3" s="2" t="inlineStr">
        <is>
          <t>strips (2 cm x 10 cm)</t>
        </is>
      </c>
      <c r="H3" s="2">
        <f>IF(OR($E3="Both plans",'Read me'!$C$9="A and B",AND($E3="Plan A (freezer)",'Read me'!$C$9="A"),AND($E3="Plan B (no freezer)",'Read me'!$C$9="B")),1,0)</f>
        <v/>
      </c>
      <c r="I3" s="2" t="n"/>
      <c r="J3" s="2" t="n"/>
      <c r="K3" s="2" t="n"/>
      <c r="L3" s="2" t="n"/>
      <c r="M3" s="2" t="n"/>
      <c r="N3" s="2" t="n"/>
      <c r="O3" s="2" t="n"/>
      <c r="P3" s="2" t="n"/>
      <c r="Q3" s="2" t="n"/>
      <c r="R3" s="2" t="n"/>
      <c r="S3" s="2" t="n">
        <v>4</v>
      </c>
      <c r="T3" s="2" t="n"/>
      <c r="U3" s="2" t="n">
        <v>44</v>
      </c>
      <c r="V3" s="2" t="n"/>
      <c r="W3" s="2" t="n"/>
      <c r="X3" s="2" t="n"/>
      <c r="Y3" s="2" t="n">
        <v>2</v>
      </c>
      <c r="Z3" s="2" t="n">
        <v>50</v>
      </c>
      <c r="AA3" s="2" t="n"/>
      <c r="AB3" s="2" t="n"/>
      <c r="AC3" s="2" t="n"/>
      <c r="AD3" s="2" t="n"/>
      <c r="AE3" s="2" t="n"/>
      <c r="AF3" s="2" t="n"/>
      <c r="AG3" s="2" t="n"/>
      <c r="AH3" s="2" t="n"/>
      <c r="AI3" s="2" t="n"/>
      <c r="AJ3" s="2" t="n"/>
      <c r="AK3" s="2" t="n"/>
      <c r="AL3" s="2" t="n"/>
      <c r="AM3" s="2">
        <f>N(I3)+N(S3)+N(AC3)</f>
        <v/>
      </c>
      <c r="AN3" s="2">
        <f>N(J3)+N(T3)+N(AD3)</f>
        <v/>
      </c>
      <c r="AO3" s="2">
        <f>N(K3)+N(U3)+N(AE3)</f>
        <v/>
      </c>
      <c r="AP3" s="2">
        <f>N(L3)+N(V3)+N(AF3)</f>
        <v/>
      </c>
      <c r="AQ3" s="2">
        <f>N(M3)+N(W3)+N(AG3)</f>
        <v/>
      </c>
      <c r="AR3" s="2">
        <f>N(N3)+N(X3)+N(AH3)</f>
        <v/>
      </c>
      <c r="AS3" s="2">
        <f>N(O3)+N(Y3)+N(AI3)</f>
        <v/>
      </c>
      <c r="AT3" s="2">
        <f>N(P3)+N(Z3)+N(AJ3)</f>
        <v/>
      </c>
      <c r="AU3" s="2">
        <f>N(Q3)+N(AA3)+N(AK3)</f>
        <v/>
      </c>
      <c r="AV3" s="2">
        <f>N(R3)+N(AB3)+N(AL3)</f>
        <v/>
      </c>
      <c r="AW3" s="2">
        <f>SUM(I3:R3)</f>
        <v/>
      </c>
      <c r="AX3" s="2">
        <f>SUM(S3:AB3)</f>
        <v/>
      </c>
      <c r="AY3" s="2">
        <f>SUM(AC3:AL3)</f>
        <v/>
      </c>
    </row>
    <row r="4">
      <c r="A4" s="2" t="inlineStr">
        <is>
          <t>cotton_wool|both|cotton ball</t>
        </is>
      </c>
      <c r="B4" s="2" t="inlineStr">
        <is>
          <t>Cotton wool</t>
        </is>
      </c>
      <c r="C4" s="2" t="inlineStr">
        <is>
          <t>棉花（脱脂棉）</t>
        </is>
      </c>
      <c r="D4" s="2" t="inlineStr">
        <is>
          <t>Buy: used up</t>
        </is>
      </c>
      <c r="E4" s="2" t="inlineStr">
        <is>
          <t>Both plans</t>
        </is>
      </c>
      <c r="F4" s="2" t="inlineStr">
        <is>
          <t>Used up</t>
        </is>
      </c>
      <c r="G4" s="2" t="inlineStr">
        <is>
          <t>cotton ball</t>
        </is>
      </c>
      <c r="H4" s="2">
        <f>IF(OR($E4="Both plans",'Read me'!$C$9="A and B",AND($E4="Plan A (freezer)",'Read me'!$C$9="A"),AND($E4="Plan B (no freezer)",'Read me'!$C$9="B")),1,0)</f>
        <v/>
      </c>
      <c r="I4" s="2" t="n"/>
      <c r="J4" s="2" t="n">
        <v>1</v>
      </c>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f>N(I4)+N(S4)+N(AC4)</f>
        <v/>
      </c>
      <c r="AN4" s="2">
        <f>N(J4)+N(T4)+N(AD4)</f>
        <v/>
      </c>
      <c r="AO4" s="2">
        <f>N(K4)+N(U4)+N(AE4)</f>
        <v/>
      </c>
      <c r="AP4" s="2">
        <f>N(L4)+N(V4)+N(AF4)</f>
        <v/>
      </c>
      <c r="AQ4" s="2">
        <f>N(M4)+N(W4)+N(AG4)</f>
        <v/>
      </c>
      <c r="AR4" s="2">
        <f>N(N4)+N(X4)+N(AH4)</f>
        <v/>
      </c>
      <c r="AS4" s="2">
        <f>N(O4)+N(Y4)+N(AI4)</f>
        <v/>
      </c>
      <c r="AT4" s="2">
        <f>N(P4)+N(Z4)+N(AJ4)</f>
        <v/>
      </c>
      <c r="AU4" s="2">
        <f>N(Q4)+N(AA4)+N(AK4)</f>
        <v/>
      </c>
      <c r="AV4" s="2">
        <f>N(R4)+N(AB4)+N(AL4)</f>
        <v/>
      </c>
      <c r="AW4" s="2">
        <f>SUM(I4:R4)</f>
        <v/>
      </c>
      <c r="AX4" s="2">
        <f>SUM(S4:AB4)</f>
        <v/>
      </c>
      <c r="AY4" s="2">
        <f>SUM(AC4:AL4)</f>
        <v/>
      </c>
    </row>
    <row r="5">
      <c r="A5" s="2" t="inlineStr">
        <is>
          <t>cups_paper_opaque|both|cups</t>
        </is>
      </c>
      <c r="B5" s="2" t="inlineStr">
        <is>
          <t>Paper cups, opaque</t>
        </is>
      </c>
      <c r="C5" s="2" t="inlineStr">
        <is>
          <t>纸杯（不透明）</t>
        </is>
      </c>
      <c r="D5" s="2" t="inlineStr">
        <is>
          <t>Buy: used up</t>
        </is>
      </c>
      <c r="E5" s="2" t="inlineStr">
        <is>
          <t>Both plans</t>
        </is>
      </c>
      <c r="F5" s="2" t="inlineStr">
        <is>
          <t>Used up</t>
        </is>
      </c>
      <c r="G5" s="2" t="inlineStr">
        <is>
          <t>cups</t>
        </is>
      </c>
      <c r="H5" s="2">
        <f>IF(OR($E5="Both plans",'Read me'!$C$9="A and B",AND($E5="Plan A (freezer)",'Read me'!$C$9="A"),AND($E5="Plan B (no freezer)",'Read me'!$C$9="B")),1,0)</f>
        <v/>
      </c>
      <c r="I5" s="2" t="n"/>
      <c r="J5" s="2" t="n">
        <v>24</v>
      </c>
      <c r="K5" s="2" t="n"/>
      <c r="L5" s="2" t="n"/>
      <c r="M5" s="2" t="n"/>
      <c r="N5" s="2" t="n"/>
      <c r="O5" s="2" t="n">
        <v>36</v>
      </c>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f>N(I5)+N(S5)+N(AC5)</f>
        <v/>
      </c>
      <c r="AN5" s="2">
        <f>N(J5)+N(T5)+N(AD5)</f>
        <v/>
      </c>
      <c r="AO5" s="2">
        <f>N(K5)+N(U5)+N(AE5)</f>
        <v/>
      </c>
      <c r="AP5" s="2">
        <f>N(L5)+N(V5)+N(AF5)</f>
        <v/>
      </c>
      <c r="AQ5" s="2">
        <f>N(M5)+N(W5)+N(AG5)</f>
        <v/>
      </c>
      <c r="AR5" s="2">
        <f>N(N5)+N(X5)+N(AH5)</f>
        <v/>
      </c>
      <c r="AS5" s="2">
        <f>N(O5)+N(Y5)+N(AI5)</f>
        <v/>
      </c>
      <c r="AT5" s="2">
        <f>N(P5)+N(Z5)+N(AJ5)</f>
        <v/>
      </c>
      <c r="AU5" s="2">
        <f>N(Q5)+N(AA5)+N(AK5)</f>
        <v/>
      </c>
      <c r="AV5" s="2">
        <f>N(R5)+N(AB5)+N(AL5)</f>
        <v/>
      </c>
      <c r="AW5" s="2">
        <f>SUM(I5:R5)</f>
        <v/>
      </c>
      <c r="AX5" s="2">
        <f>SUM(S5:AB5)</f>
        <v/>
      </c>
      <c r="AY5" s="2">
        <f>SUM(AC5:AL5)</f>
        <v/>
      </c>
    </row>
    <row r="6">
      <c r="A6" s="2" t="inlineStr">
        <is>
          <t>stirring_sticks|both|sticks</t>
        </is>
      </c>
      <c r="B6" s="2" t="inlineStr">
        <is>
          <t>Stirring sticks</t>
        </is>
      </c>
      <c r="C6" s="2" t="inlineStr">
        <is>
          <t>搅拌棒（一次性）</t>
        </is>
      </c>
      <c r="D6" s="2" t="inlineStr">
        <is>
          <t>Buy: used up</t>
        </is>
      </c>
      <c r="E6" s="2" t="inlineStr">
        <is>
          <t>Both plans</t>
        </is>
      </c>
      <c r="F6" s="2" t="inlineStr">
        <is>
          <t>Used up</t>
        </is>
      </c>
      <c r="G6" s="2" t="inlineStr">
        <is>
          <t>sticks</t>
        </is>
      </c>
      <c r="H6" s="2">
        <f>IF(OR($E6="Both plans",'Read me'!$C$9="A and B",AND($E6="Plan A (freezer)",'Read me'!$C$9="A"),AND($E6="Plan B (no freezer)",'Read me'!$C$9="B")),1,0)</f>
        <v/>
      </c>
      <c r="I6" s="2" t="n"/>
      <c r="J6" s="2" t="n"/>
      <c r="K6" s="2" t="n"/>
      <c r="L6" s="2" t="n"/>
      <c r="M6" s="2" t="n"/>
      <c r="N6" s="2" t="n"/>
      <c r="O6" s="2" t="n"/>
      <c r="P6" s="2" t="n"/>
      <c r="Q6" s="2" t="n"/>
      <c r="R6" s="2" t="n"/>
      <c r="S6" s="2" t="n"/>
      <c r="T6" s="2" t="n"/>
      <c r="U6" s="2" t="n"/>
      <c r="V6" s="2" t="n">
        <v>36</v>
      </c>
      <c r="W6" s="2" t="n"/>
      <c r="X6" s="2" t="n"/>
      <c r="Y6" s="2" t="n"/>
      <c r="Z6" s="2" t="n">
        <v>22</v>
      </c>
      <c r="AA6" s="2" t="n"/>
      <c r="AB6" s="2" t="n"/>
      <c r="AC6" s="2" t="n"/>
      <c r="AD6" s="2" t="n"/>
      <c r="AE6" s="2" t="n"/>
      <c r="AF6" s="2" t="n"/>
      <c r="AG6" s="2" t="n"/>
      <c r="AH6" s="2" t="n"/>
      <c r="AI6" s="2" t="n"/>
      <c r="AJ6" s="2" t="n"/>
      <c r="AK6" s="2" t="n"/>
      <c r="AL6" s="2" t="n"/>
      <c r="AM6" s="2">
        <f>N(I6)+N(S6)+N(AC6)</f>
        <v/>
      </c>
      <c r="AN6" s="2">
        <f>N(J6)+N(T6)+N(AD6)</f>
        <v/>
      </c>
      <c r="AO6" s="2">
        <f>N(K6)+N(U6)+N(AE6)</f>
        <v/>
      </c>
      <c r="AP6" s="2">
        <f>N(L6)+N(V6)+N(AF6)</f>
        <v/>
      </c>
      <c r="AQ6" s="2">
        <f>N(M6)+N(W6)+N(AG6)</f>
        <v/>
      </c>
      <c r="AR6" s="2">
        <f>N(N6)+N(X6)+N(AH6)</f>
        <v/>
      </c>
      <c r="AS6" s="2">
        <f>N(O6)+N(Y6)+N(AI6)</f>
        <v/>
      </c>
      <c r="AT6" s="2">
        <f>N(P6)+N(Z6)+N(AJ6)</f>
        <v/>
      </c>
      <c r="AU6" s="2">
        <f>N(Q6)+N(AA6)+N(AK6)</f>
        <v/>
      </c>
      <c r="AV6" s="2">
        <f>N(R6)+N(AB6)+N(AL6)</f>
        <v/>
      </c>
      <c r="AW6" s="2">
        <f>SUM(I6:R6)</f>
        <v/>
      </c>
      <c r="AX6" s="2">
        <f>SUM(S6:AB6)</f>
        <v/>
      </c>
      <c r="AY6" s="2">
        <f>SUM(AC6:AL6)</f>
        <v/>
      </c>
    </row>
    <row r="7">
      <c r="A7" s="2" t="inlineStr">
        <is>
          <t>bags_zip_small|both|bags</t>
        </is>
      </c>
      <c r="B7" s="2" t="inlineStr">
        <is>
          <t>Zip-lock bags, small (sandwich size)</t>
        </is>
      </c>
      <c r="C7" s="2" t="inlineStr">
        <is>
          <t>小号自封袋（三明治袋大小）</t>
        </is>
      </c>
      <c r="D7" s="2" t="inlineStr">
        <is>
          <t>Buy: used up</t>
        </is>
      </c>
      <c r="E7" s="2" t="inlineStr">
        <is>
          <t>Both plans</t>
        </is>
      </c>
      <c r="F7" s="2" t="inlineStr">
        <is>
          <t>Used up</t>
        </is>
      </c>
      <c r="G7" s="2" t="inlineStr">
        <is>
          <t>bags</t>
        </is>
      </c>
      <c r="H7" s="2">
        <f>IF(OR($E7="Both plans",'Read me'!$C$9="A and B",AND($E7="Plan A (freezer)",'Read me'!$C$9="A"),AND($E7="Plan B (no freezer)",'Read me'!$C$9="B")),1,0)</f>
        <v/>
      </c>
      <c r="I7" s="2" t="n"/>
      <c r="J7" s="2" t="n"/>
      <c r="K7" s="2" t="n"/>
      <c r="L7" s="2" t="n"/>
      <c r="M7" s="2" t="n"/>
      <c r="N7" s="2" t="n">
        <v>28</v>
      </c>
      <c r="O7" s="2" t="n">
        <v>58</v>
      </c>
      <c r="P7" s="2" t="n"/>
      <c r="Q7" s="2" t="n"/>
      <c r="R7" s="2" t="n"/>
      <c r="S7" s="2" t="n"/>
      <c r="T7" s="2" t="n"/>
      <c r="U7" s="2" t="n"/>
      <c r="V7" s="2" t="n">
        <v>6</v>
      </c>
      <c r="W7" s="2" t="n"/>
      <c r="X7" s="2" t="n"/>
      <c r="Y7" s="2" t="n">
        <v>6</v>
      </c>
      <c r="Z7" s="2" t="n"/>
      <c r="AA7" s="2" t="n"/>
      <c r="AB7" s="2" t="n"/>
      <c r="AC7" s="2" t="n"/>
      <c r="AD7" s="2" t="n"/>
      <c r="AE7" s="2" t="n"/>
      <c r="AF7" s="2" t="n"/>
      <c r="AG7" s="2" t="n"/>
      <c r="AH7" s="2" t="n"/>
      <c r="AI7" s="2" t="n"/>
      <c r="AJ7" s="2" t="n"/>
      <c r="AK7" s="2" t="n"/>
      <c r="AL7" s="2" t="n"/>
      <c r="AM7" s="2">
        <f>N(I7)+N(S7)+N(AC7)</f>
        <v/>
      </c>
      <c r="AN7" s="2">
        <f>N(J7)+N(T7)+N(AD7)</f>
        <v/>
      </c>
      <c r="AO7" s="2">
        <f>N(K7)+N(U7)+N(AE7)</f>
        <v/>
      </c>
      <c r="AP7" s="2">
        <f>N(L7)+N(V7)+N(AF7)</f>
        <v/>
      </c>
      <c r="AQ7" s="2">
        <f>N(M7)+N(W7)+N(AG7)</f>
        <v/>
      </c>
      <c r="AR7" s="2">
        <f>N(N7)+N(X7)+N(AH7)</f>
        <v/>
      </c>
      <c r="AS7" s="2">
        <f>N(O7)+N(Y7)+N(AI7)</f>
        <v/>
      </c>
      <c r="AT7" s="2">
        <f>N(P7)+N(Z7)+N(AJ7)</f>
        <v/>
      </c>
      <c r="AU7" s="2">
        <f>N(Q7)+N(AA7)+N(AK7)</f>
        <v/>
      </c>
      <c r="AV7" s="2">
        <f>N(R7)+N(AB7)+N(AL7)</f>
        <v/>
      </c>
      <c r="AW7" s="2">
        <f>SUM(I7:R7)</f>
        <v/>
      </c>
      <c r="AX7" s="2">
        <f>SUM(S7:AB7)</f>
        <v/>
      </c>
      <c r="AY7" s="2">
        <f>SUM(AC7:AL7)</f>
        <v/>
      </c>
    </row>
    <row r="8">
      <c r="A8" s="2" t="inlineStr">
        <is>
          <t>foil_aluminium|both|pieces</t>
        </is>
      </c>
      <c r="B8" s="2" t="inlineStr">
        <is>
          <t>Aluminium foil, kitchen roll</t>
        </is>
      </c>
      <c r="C8" s="2" t="inlineStr">
        <is>
          <t>铝箔纸（厨房用）</t>
        </is>
      </c>
      <c r="D8" s="2" t="inlineStr">
        <is>
          <t>Buy: used up</t>
        </is>
      </c>
      <c r="E8" s="2" t="inlineStr">
        <is>
          <t>Both plans</t>
        </is>
      </c>
      <c r="F8" s="2" t="inlineStr">
        <is>
          <t>Used up</t>
        </is>
      </c>
      <c r="G8" s="2" t="inlineStr">
        <is>
          <t>pieces</t>
        </is>
      </c>
      <c r="H8" s="2">
        <f>IF(OR($E8="Both plans",'Read me'!$C$9="A and B",AND($E8="Plan A (freezer)",'Read me'!$C$9="A"),AND($E8="Plan B (no freezer)",'Read me'!$C$9="B")),1,0)</f>
        <v/>
      </c>
      <c r="I8" s="2" t="n"/>
      <c r="J8" s="2" t="n"/>
      <c r="K8" s="2" t="n"/>
      <c r="L8" s="2" t="n"/>
      <c r="M8" s="2" t="n">
        <v>5</v>
      </c>
      <c r="N8" s="2" t="n">
        <v>6</v>
      </c>
      <c r="O8" s="2" t="n">
        <v>60</v>
      </c>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f>N(I8)+N(S8)+N(AC8)</f>
        <v/>
      </c>
      <c r="AN8" s="2">
        <f>N(J8)+N(T8)+N(AD8)</f>
        <v/>
      </c>
      <c r="AO8" s="2">
        <f>N(K8)+N(U8)+N(AE8)</f>
        <v/>
      </c>
      <c r="AP8" s="2">
        <f>N(L8)+N(V8)+N(AF8)</f>
        <v/>
      </c>
      <c r="AQ8" s="2">
        <f>N(M8)+N(W8)+N(AG8)</f>
        <v/>
      </c>
      <c r="AR8" s="2">
        <f>N(N8)+N(X8)+N(AH8)</f>
        <v/>
      </c>
      <c r="AS8" s="2">
        <f>N(O8)+N(Y8)+N(AI8)</f>
        <v/>
      </c>
      <c r="AT8" s="2">
        <f>N(P8)+N(Z8)+N(AJ8)</f>
        <v/>
      </c>
      <c r="AU8" s="2">
        <f>N(Q8)+N(AA8)+N(AK8)</f>
        <v/>
      </c>
      <c r="AV8" s="2">
        <f>N(R8)+N(AB8)+N(AL8)</f>
        <v/>
      </c>
      <c r="AW8" s="2">
        <f>SUM(I8:R8)</f>
        <v/>
      </c>
      <c r="AX8" s="2">
        <f>SUM(S8:AB8)</f>
        <v/>
      </c>
      <c r="AY8" s="2">
        <f>SUM(AC8:AL8)</f>
        <v/>
      </c>
    </row>
    <row r="9">
      <c r="A9" s="2" t="inlineStr">
        <is>
          <t>water_purified|both|ml</t>
        </is>
      </c>
      <c r="B9" s="2" t="inlineStr">
        <is>
          <t>Bottled or purified water</t>
        </is>
      </c>
      <c r="C9" s="2" t="inlineStr">
        <is>
          <t>纯净水（瓶装）</t>
        </is>
      </c>
      <c r="D9" s="2" t="inlineStr">
        <is>
          <t>Buy: used up</t>
        </is>
      </c>
      <c r="E9" s="2" t="inlineStr">
        <is>
          <t>Both plans</t>
        </is>
      </c>
      <c r="F9" s="2" t="inlineStr">
        <is>
          <t>Used up</t>
        </is>
      </c>
      <c r="G9" s="2" t="inlineStr">
        <is>
          <t>ml</t>
        </is>
      </c>
      <c r="H9" s="2">
        <f>IF(OR($E9="Both plans",'Read me'!$C$9="A and B",AND($E9="Plan A (freezer)",'Read me'!$C$9="A"),AND($E9="Plan B (no freezer)",'Read me'!$C$9="B")),1,0)</f>
        <v/>
      </c>
      <c r="I9" s="2" t="n"/>
      <c r="J9" s="2" t="n"/>
      <c r="K9" s="2" t="n"/>
      <c r="L9" s="2" t="n"/>
      <c r="M9" s="2" t="n"/>
      <c r="N9" s="2" t="n"/>
      <c r="O9" s="2" t="n"/>
      <c r="P9" s="2" t="n"/>
      <c r="Q9" s="2" t="n"/>
      <c r="R9" s="2" t="n"/>
      <c r="S9" s="2" t="n"/>
      <c r="T9" s="2" t="n"/>
      <c r="U9" s="2" t="n"/>
      <c r="V9" s="2" t="n"/>
      <c r="W9" s="2" t="n">
        <v>560</v>
      </c>
      <c r="X9" s="2" t="n"/>
      <c r="Y9" s="2" t="n"/>
      <c r="Z9" s="2" t="n"/>
      <c r="AA9" s="2" t="n"/>
      <c r="AB9" s="2" t="n"/>
      <c r="AC9" s="2" t="n"/>
      <c r="AD9" s="2" t="n"/>
      <c r="AE9" s="2" t="n"/>
      <c r="AF9" s="2" t="n"/>
      <c r="AG9" s="2" t="n"/>
      <c r="AH9" s="2" t="n"/>
      <c r="AI9" s="2" t="n"/>
      <c r="AJ9" s="2" t="n"/>
      <c r="AK9" s="2" t="n"/>
      <c r="AL9" s="2" t="n"/>
      <c r="AM9" s="2">
        <f>N(I9)+N(S9)+N(AC9)</f>
        <v/>
      </c>
      <c r="AN9" s="2">
        <f>N(J9)+N(T9)+N(AD9)</f>
        <v/>
      </c>
      <c r="AO9" s="2">
        <f>N(K9)+N(U9)+N(AE9)</f>
        <v/>
      </c>
      <c r="AP9" s="2">
        <f>N(L9)+N(V9)+N(AF9)</f>
        <v/>
      </c>
      <c r="AQ9" s="2">
        <f>N(M9)+N(W9)+N(AG9)</f>
        <v/>
      </c>
      <c r="AR9" s="2">
        <f>N(N9)+N(X9)+N(AH9)</f>
        <v/>
      </c>
      <c r="AS9" s="2">
        <f>N(O9)+N(Y9)+N(AI9)</f>
        <v/>
      </c>
      <c r="AT9" s="2">
        <f>N(P9)+N(Z9)+N(AJ9)</f>
        <v/>
      </c>
      <c r="AU9" s="2">
        <f>N(Q9)+N(AA9)+N(AK9)</f>
        <v/>
      </c>
      <c r="AV9" s="2">
        <f>N(R9)+N(AB9)+N(AL9)</f>
        <v/>
      </c>
      <c r="AW9" s="2">
        <f>SUM(I9:R9)</f>
        <v/>
      </c>
      <c r="AX9" s="2">
        <f>SUM(S9:AB9)</f>
        <v/>
      </c>
      <c r="AY9" s="2">
        <f>SUM(AC9:AL9)</f>
        <v/>
      </c>
    </row>
    <row r="10">
      <c r="A10" s="2" t="inlineStr">
        <is>
          <t>cotton_wool|both|pieces</t>
        </is>
      </c>
      <c r="B10" s="2" t="inlineStr">
        <is>
          <t>Cotton wool</t>
        </is>
      </c>
      <c r="C10" s="2" t="inlineStr">
        <is>
          <t>棉花（脱脂棉）</t>
        </is>
      </c>
      <c r="D10" s="2" t="inlineStr">
        <is>
          <t>Buy: used up</t>
        </is>
      </c>
      <c r="E10" s="2" t="inlineStr">
        <is>
          <t>Both plans</t>
        </is>
      </c>
      <c r="F10" s="2" t="inlineStr">
        <is>
          <t>Used up</t>
        </is>
      </c>
      <c r="G10" s="2" t="inlineStr">
        <is>
          <t>pieces</t>
        </is>
      </c>
      <c r="H10" s="2">
        <f>IF(OR($E10="Both plans",'Read me'!$C$9="A and B",AND($E10="Plan A (freezer)",'Read me'!$C$9="A"),AND($E10="Plan B (no freezer)",'Read me'!$C$9="B")),1,0)</f>
        <v/>
      </c>
      <c r="I10" s="2" t="n"/>
      <c r="J10" s="2" t="n"/>
      <c r="K10" s="2" t="n"/>
      <c r="L10" s="2" t="n"/>
      <c r="M10" s="2" t="n"/>
      <c r="N10" s="2" t="n">
        <v>6</v>
      </c>
      <c r="O10" s="2" t="n"/>
      <c r="P10" s="2" t="n"/>
      <c r="Q10" s="2" t="n"/>
      <c r="R10" s="2" t="n"/>
      <c r="S10" s="2" t="n"/>
      <c r="T10" s="2" t="n"/>
      <c r="U10" s="2" t="n"/>
      <c r="V10" s="2" t="n"/>
      <c r="W10" s="2" t="n"/>
      <c r="X10" s="2" t="n"/>
      <c r="Y10" s="2" t="n"/>
      <c r="Z10" s="2" t="n"/>
      <c r="AA10" s="2" t="n"/>
      <c r="AB10" s="2" t="n"/>
      <c r="AC10" s="2" t="n"/>
      <c r="AD10" s="2" t="n"/>
      <c r="AE10" s="2" t="n"/>
      <c r="AF10" s="2" t="n"/>
      <c r="AG10" s="2" t="n"/>
      <c r="AH10" s="2" t="n"/>
      <c r="AI10" s="2" t="n"/>
      <c r="AJ10" s="2" t="n"/>
      <c r="AK10" s="2" t="n"/>
      <c r="AL10" s="2" t="n"/>
      <c r="AM10" s="2">
        <f>N(I10)+N(S10)+N(AC10)</f>
        <v/>
      </c>
      <c r="AN10" s="2">
        <f>N(J10)+N(T10)+N(AD10)</f>
        <v/>
      </c>
      <c r="AO10" s="2">
        <f>N(K10)+N(U10)+N(AE10)</f>
        <v/>
      </c>
      <c r="AP10" s="2">
        <f>N(L10)+N(V10)+N(AF10)</f>
        <v/>
      </c>
      <c r="AQ10" s="2">
        <f>N(M10)+N(W10)+N(AG10)</f>
        <v/>
      </c>
      <c r="AR10" s="2">
        <f>N(N10)+N(X10)+N(AH10)</f>
        <v/>
      </c>
      <c r="AS10" s="2">
        <f>N(O10)+N(Y10)+N(AI10)</f>
        <v/>
      </c>
      <c r="AT10" s="2">
        <f>N(P10)+N(Z10)+N(AJ10)</f>
        <v/>
      </c>
      <c r="AU10" s="2">
        <f>N(Q10)+N(AA10)+N(AK10)</f>
        <v/>
      </c>
      <c r="AV10" s="2">
        <f>N(R10)+N(AB10)+N(AL10)</f>
        <v/>
      </c>
      <c r="AW10" s="2">
        <f>SUM(I10:R10)</f>
        <v/>
      </c>
      <c r="AX10" s="2">
        <f>SUM(S10:AB10)</f>
        <v/>
      </c>
      <c r="AY10" s="2">
        <f>SUM(AC10:AL10)</f>
        <v/>
      </c>
    </row>
    <row r="11">
      <c r="A11" s="2" t="inlineStr">
        <is>
          <t>gloves_disposable|A|pairs</t>
        </is>
      </c>
      <c r="B11" s="2" t="inlineStr">
        <is>
          <t>Disposable gloves</t>
        </is>
      </c>
      <c r="C11" s="2" t="inlineStr">
        <is>
          <t>一次性手套</t>
        </is>
      </c>
      <c r="D11" s="2" t="inlineStr">
        <is>
          <t>Buy: used up</t>
        </is>
      </c>
      <c r="E11" s="2" t="inlineStr">
        <is>
          <t>Plan A (freezer)</t>
        </is>
      </c>
      <c r="F11" s="2" t="inlineStr">
        <is>
          <t>Used up</t>
        </is>
      </c>
      <c r="G11" s="2" t="inlineStr">
        <is>
          <t>pairs</t>
        </is>
      </c>
      <c r="H11" s="2">
        <f>IF(OR($E11="Both plans",'Read me'!$C$9="A and B",AND($E11="Plan A (freezer)",'Read me'!$C$9="A"),AND($E11="Plan B (no freezer)",'Read me'!$C$9="B")),1,0)</f>
        <v/>
      </c>
      <c r="I11" s="2" t="n"/>
      <c r="J11" s="2" t="n"/>
      <c r="K11" s="2" t="n"/>
      <c r="L11" s="2" t="n"/>
      <c r="M11" s="2" t="n"/>
      <c r="N11" s="2" t="n">
        <v>12</v>
      </c>
      <c r="O11" s="2" t="n"/>
      <c r="P11" s="2" t="n">
        <v>18</v>
      </c>
      <c r="Q11" s="2" t="n"/>
      <c r="R11" s="2" t="n"/>
      <c r="S11" s="2" t="n"/>
      <c r="T11" s="2" t="n"/>
      <c r="U11" s="2" t="n"/>
      <c r="V11" s="2" t="n"/>
      <c r="W11" s="2" t="n"/>
      <c r="X11" s="2" t="n"/>
      <c r="Y11" s="2" t="n"/>
      <c r="Z11" s="2" t="n"/>
      <c r="AA11" s="2" t="n"/>
      <c r="AB11" s="2" t="n"/>
      <c r="AC11" s="2" t="n"/>
      <c r="AD11" s="2" t="n"/>
      <c r="AE11" s="2" t="n"/>
      <c r="AF11" s="2" t="n"/>
      <c r="AG11" s="2" t="n"/>
      <c r="AH11" s="2" t="n">
        <v>12</v>
      </c>
      <c r="AI11" s="2" t="n"/>
      <c r="AJ11" s="2" t="n">
        <v>4</v>
      </c>
      <c r="AK11" s="2" t="n"/>
      <c r="AL11" s="2" t="n"/>
      <c r="AM11" s="2">
        <f>N(I11)+N(S11)+N(AC11)</f>
        <v/>
      </c>
      <c r="AN11" s="2">
        <f>N(J11)+N(T11)+N(AD11)</f>
        <v/>
      </c>
      <c r="AO11" s="2">
        <f>N(K11)+N(U11)+N(AE11)</f>
        <v/>
      </c>
      <c r="AP11" s="2">
        <f>N(L11)+N(V11)+N(AF11)</f>
        <v/>
      </c>
      <c r="AQ11" s="2">
        <f>N(M11)+N(W11)+N(AG11)</f>
        <v/>
      </c>
      <c r="AR11" s="2">
        <f>N(N11)+N(X11)+N(AH11)</f>
        <v/>
      </c>
      <c r="AS11" s="2">
        <f>N(O11)+N(Y11)+N(AI11)</f>
        <v/>
      </c>
      <c r="AT11" s="2">
        <f>N(P11)+N(Z11)+N(AJ11)</f>
        <v/>
      </c>
      <c r="AU11" s="2">
        <f>N(Q11)+N(AA11)+N(AK11)</f>
        <v/>
      </c>
      <c r="AV11" s="2">
        <f>N(R11)+N(AB11)+N(AL11)</f>
        <v/>
      </c>
      <c r="AW11" s="2">
        <f>SUM(I11:R11)</f>
        <v/>
      </c>
      <c r="AX11" s="2">
        <f>SUM(S11:AB11)</f>
        <v/>
      </c>
      <c r="AY11" s="2">
        <f>SUM(AC11:AL11)</f>
        <v/>
      </c>
    </row>
    <row r="12">
      <c r="A12" s="2" t="inlineStr">
        <is>
          <t>bags_freezer_strong|A|bag</t>
        </is>
      </c>
      <c r="B12" s="2" t="inlineStr">
        <is>
          <t>Freezer bags, strong</t>
        </is>
      </c>
      <c r="C12" s="2" t="inlineStr">
        <is>
          <t>冷冻袋（加厚）</t>
        </is>
      </c>
      <c r="D12" s="2" t="inlineStr">
        <is>
          <t>Buy: used up</t>
        </is>
      </c>
      <c r="E12" s="2" t="inlineStr">
        <is>
          <t>Plan A (freezer)</t>
        </is>
      </c>
      <c r="F12" s="2" t="inlineStr">
        <is>
          <t>Used up</t>
        </is>
      </c>
      <c r="G12" s="2" t="inlineStr">
        <is>
          <t>bag</t>
        </is>
      </c>
      <c r="H12" s="2">
        <f>IF(OR($E12="Both plans",'Read me'!$C$9="A and B",AND($E12="Plan A (freezer)",'Read me'!$C$9="A"),AND($E12="Plan B (no freezer)",'Read me'!$C$9="B")),1,0)</f>
        <v/>
      </c>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v>1</v>
      </c>
      <c r="AI12" s="2" t="n"/>
      <c r="AJ12" s="2" t="n">
        <v>1</v>
      </c>
      <c r="AK12" s="2" t="n"/>
      <c r="AL12" s="2" t="n"/>
      <c r="AM12" s="2">
        <f>N(I12)+N(S12)+N(AC12)</f>
        <v/>
      </c>
      <c r="AN12" s="2">
        <f>N(J12)+N(T12)+N(AD12)</f>
        <v/>
      </c>
      <c r="AO12" s="2">
        <f>N(K12)+N(U12)+N(AE12)</f>
        <v/>
      </c>
      <c r="AP12" s="2">
        <f>N(L12)+N(V12)+N(AF12)</f>
        <v/>
      </c>
      <c r="AQ12" s="2">
        <f>N(M12)+N(W12)+N(AG12)</f>
        <v/>
      </c>
      <c r="AR12" s="2">
        <f>N(N12)+N(X12)+N(AH12)</f>
        <v/>
      </c>
      <c r="AS12" s="2">
        <f>N(O12)+N(Y12)+N(AI12)</f>
        <v/>
      </c>
      <c r="AT12" s="2">
        <f>N(P12)+N(Z12)+N(AJ12)</f>
        <v/>
      </c>
      <c r="AU12" s="2">
        <f>N(Q12)+N(AA12)+N(AK12)</f>
        <v/>
      </c>
      <c r="AV12" s="2">
        <f>N(R12)+N(AB12)+N(AL12)</f>
        <v/>
      </c>
      <c r="AW12" s="2">
        <f>SUM(I12:R12)</f>
        <v/>
      </c>
      <c r="AX12" s="2">
        <f>SUM(S12:AB12)</f>
        <v/>
      </c>
      <c r="AY12" s="2">
        <f>SUM(AC12:AL12)</f>
        <v/>
      </c>
    </row>
    <row r="13">
      <c r="A13" s="2" t="inlineStr">
        <is>
          <t>kitchen_roll|both|rolls</t>
        </is>
      </c>
      <c r="B13" s="2" t="inlineStr">
        <is>
          <t>Kitchen roll (shop-bought paper towels)</t>
        </is>
      </c>
      <c r="C13" s="2" t="inlineStr">
        <is>
          <t>厨房纸（卷筒）</t>
        </is>
      </c>
      <c r="D13" s="2" t="inlineStr">
        <is>
          <t>Buy: used up</t>
        </is>
      </c>
      <c r="E13" s="2" t="inlineStr">
        <is>
          <t>Both plans</t>
        </is>
      </c>
      <c r="F13" s="2" t="inlineStr">
        <is>
          <t>Used up</t>
        </is>
      </c>
      <c r="G13" s="2" t="inlineStr">
        <is>
          <t>rolls</t>
        </is>
      </c>
      <c r="H13" s="2">
        <f>IF(OR($E13="Both plans",'Read me'!$C$9="A and B",AND($E13="Plan A (freezer)",'Read me'!$C$9="A"),AND($E13="Plan B (no freezer)",'Read me'!$C$9="B")),1,0)</f>
        <v/>
      </c>
      <c r="I13" s="2" t="n"/>
      <c r="J13" s="2" t="n"/>
      <c r="K13" s="2" t="n"/>
      <c r="L13" s="2" t="n"/>
      <c r="M13" s="2" t="n"/>
      <c r="N13" s="2" t="n">
        <v>0.6</v>
      </c>
      <c r="O13" s="2" t="n">
        <v>0.4</v>
      </c>
      <c r="P13" s="2" t="n">
        <v>1</v>
      </c>
      <c r="Q13" s="2" t="n"/>
      <c r="R13" s="2" t="n"/>
      <c r="S13" s="2" t="n"/>
      <c r="T13" s="2" t="n"/>
      <c r="U13" s="2" t="n"/>
      <c r="V13" s="2" t="n"/>
      <c r="W13" s="2" t="n"/>
      <c r="X13" s="2" t="n"/>
      <c r="Y13" s="2" t="n"/>
      <c r="Z13" s="2" t="n">
        <v>0.033</v>
      </c>
      <c r="AA13" s="2" t="n"/>
      <c r="AB13" s="2" t="n"/>
      <c r="AC13" s="2" t="n"/>
      <c r="AD13" s="2" t="n"/>
      <c r="AE13" s="2" t="n"/>
      <c r="AF13" s="2" t="n"/>
      <c r="AG13" s="2" t="n"/>
      <c r="AH13" s="2" t="n">
        <v>0.6</v>
      </c>
      <c r="AI13" s="2" t="n"/>
      <c r="AJ13" s="2" t="n">
        <v>0.6</v>
      </c>
      <c r="AK13" s="2" t="n"/>
      <c r="AL13" s="2" t="n"/>
      <c r="AM13" s="2">
        <f>N(I13)+N(S13)+N(AC13)</f>
        <v/>
      </c>
      <c r="AN13" s="2">
        <f>N(J13)+N(T13)+N(AD13)</f>
        <v/>
      </c>
      <c r="AO13" s="2">
        <f>N(K13)+N(U13)+N(AE13)</f>
        <v/>
      </c>
      <c r="AP13" s="2">
        <f>N(L13)+N(V13)+N(AF13)</f>
        <v/>
      </c>
      <c r="AQ13" s="2">
        <f>N(M13)+N(W13)+N(AG13)</f>
        <v/>
      </c>
      <c r="AR13" s="2">
        <f>N(N13)+N(X13)+N(AH13)</f>
        <v/>
      </c>
      <c r="AS13" s="2">
        <f>N(O13)+N(Y13)+N(AI13)</f>
        <v/>
      </c>
      <c r="AT13" s="2">
        <f>N(P13)+N(Z13)+N(AJ13)</f>
        <v/>
      </c>
      <c r="AU13" s="2">
        <f>N(Q13)+N(AA13)+N(AK13)</f>
        <v/>
      </c>
      <c r="AV13" s="2">
        <f>N(R13)+N(AB13)+N(AL13)</f>
        <v/>
      </c>
      <c r="AW13" s="2">
        <f>SUM(I13:R13)</f>
        <v/>
      </c>
      <c r="AX13" s="2">
        <f>SUM(S13:AB13)</f>
        <v/>
      </c>
      <c r="AY13" s="2">
        <f>SUM(AC13:AL13)</f>
        <v/>
      </c>
    </row>
    <row r="14">
      <c r="A14" s="2" t="inlineStr">
        <is>
          <t>cotton_wool|both|g</t>
        </is>
      </c>
      <c r="B14" s="2" t="inlineStr">
        <is>
          <t>Cotton wool</t>
        </is>
      </c>
      <c r="C14" s="2" t="inlineStr">
        <is>
          <t>棉花（脱脂棉）</t>
        </is>
      </c>
      <c r="D14" s="2" t="inlineStr">
        <is>
          <t>Buy: used up</t>
        </is>
      </c>
      <c r="E14" s="2" t="inlineStr">
        <is>
          <t>Both plans</t>
        </is>
      </c>
      <c r="F14" s="2" t="inlineStr">
        <is>
          <t>Used up</t>
        </is>
      </c>
      <c r="G14" s="2" t="inlineStr">
        <is>
          <t>g</t>
        </is>
      </c>
      <c r="H14" s="2">
        <f>IF(OR($E14="Both plans",'Read me'!$C$9="A and B",AND($E14="Plan A (freezer)",'Read me'!$C$9="A"),AND($E14="Plan B (no freezer)",'Read me'!$C$9="B")),1,0)</f>
        <v/>
      </c>
      <c r="I14" s="2" t="n"/>
      <c r="J14" s="2" t="n"/>
      <c r="K14" s="2" t="n"/>
      <c r="L14" s="2" t="n"/>
      <c r="M14" s="2" t="n"/>
      <c r="N14" s="2" t="n"/>
      <c r="O14" s="2" t="n">
        <v>12</v>
      </c>
      <c r="P14" s="2" t="n"/>
      <c r="Q14" s="2" t="n"/>
      <c r="R14" s="2" t="n"/>
      <c r="S14" s="2" t="n"/>
      <c r="T14" s="2" t="n"/>
      <c r="U14" s="2" t="n"/>
      <c r="V14" s="2" t="n"/>
      <c r="W14" s="2" t="n"/>
      <c r="X14" s="2" t="n"/>
      <c r="Y14" s="2" t="n"/>
      <c r="Z14" s="2" t="n"/>
      <c r="AA14" s="2" t="n"/>
      <c r="AB14" s="2" t="n"/>
      <c r="AC14" s="2" t="n"/>
      <c r="AD14" s="2" t="n"/>
      <c r="AE14" s="2" t="n"/>
      <c r="AF14" s="2" t="n"/>
      <c r="AG14" s="2" t="n"/>
      <c r="AH14" s="2" t="n"/>
      <c r="AI14" s="2" t="n"/>
      <c r="AJ14" s="2" t="n"/>
      <c r="AK14" s="2" t="n"/>
      <c r="AL14" s="2" t="n"/>
      <c r="AM14" s="2">
        <f>N(I14)+N(S14)+N(AC14)</f>
        <v/>
      </c>
      <c r="AN14" s="2">
        <f>N(J14)+N(T14)+N(AD14)</f>
        <v/>
      </c>
      <c r="AO14" s="2">
        <f>N(K14)+N(U14)+N(AE14)</f>
        <v/>
      </c>
      <c r="AP14" s="2">
        <f>N(L14)+N(V14)+N(AF14)</f>
        <v/>
      </c>
      <c r="AQ14" s="2">
        <f>N(M14)+N(W14)+N(AG14)</f>
        <v/>
      </c>
      <c r="AR14" s="2">
        <f>N(N14)+N(X14)+N(AH14)</f>
        <v/>
      </c>
      <c r="AS14" s="2">
        <f>N(O14)+N(Y14)+N(AI14)</f>
        <v/>
      </c>
      <c r="AT14" s="2">
        <f>N(P14)+N(Z14)+N(AJ14)</f>
        <v/>
      </c>
      <c r="AU14" s="2">
        <f>N(Q14)+N(AA14)+N(AK14)</f>
        <v/>
      </c>
      <c r="AV14" s="2">
        <f>N(R14)+N(AB14)+N(AL14)</f>
        <v/>
      </c>
      <c r="AW14" s="2">
        <f>SUM(I14:R14)</f>
        <v/>
      </c>
      <c r="AX14" s="2">
        <f>SUM(S14:AB14)</f>
        <v/>
      </c>
      <c r="AY14" s="2">
        <f>SUM(AC14:AL14)</f>
        <v/>
      </c>
    </row>
    <row r="15">
      <c r="A15" s="2" t="inlineStr">
        <is>
          <t>tissues_facial|both|g</t>
        </is>
      </c>
      <c r="B15" s="2" t="inlineStr">
        <is>
          <t>Paper tissues (facial tissues)</t>
        </is>
      </c>
      <c r="C15" s="2" t="inlineStr">
        <is>
          <t>面巾纸</t>
        </is>
      </c>
      <c r="D15" s="2" t="inlineStr">
        <is>
          <t>Buy: used up</t>
        </is>
      </c>
      <c r="E15" s="2" t="inlineStr">
        <is>
          <t>Both plans</t>
        </is>
      </c>
      <c r="F15" s="2" t="inlineStr">
        <is>
          <t>Used up</t>
        </is>
      </c>
      <c r="G15" s="2" t="inlineStr">
        <is>
          <t>g</t>
        </is>
      </c>
      <c r="H15" s="2">
        <f>IF(OR($E15="Both plans",'Read me'!$C$9="A and B",AND($E15="Plan A (freezer)",'Read me'!$C$9="A"),AND($E15="Plan B (no freezer)",'Read me'!$C$9="B")),1,0)</f>
        <v/>
      </c>
      <c r="I15" s="2" t="n"/>
      <c r="J15" s="2" t="n"/>
      <c r="K15" s="2" t="n"/>
      <c r="L15" s="2" t="n"/>
      <c r="M15" s="2" t="n"/>
      <c r="N15" s="2" t="n"/>
      <c r="O15" s="2" t="n">
        <v>12</v>
      </c>
      <c r="P15" s="2" t="n"/>
      <c r="Q15" s="2" t="n"/>
      <c r="R15" s="2" t="n"/>
      <c r="S15" s="2" t="n"/>
      <c r="T15" s="2" t="n"/>
      <c r="U15" s="2" t="n"/>
      <c r="V15" s="2" t="n"/>
      <c r="W15" s="2" t="n"/>
      <c r="X15" s="2" t="n"/>
      <c r="Y15" s="2" t="n"/>
      <c r="Z15" s="2" t="n"/>
      <c r="AA15" s="2" t="n"/>
      <c r="AB15" s="2" t="n"/>
      <c r="AC15" s="2" t="n"/>
      <c r="AD15" s="2" t="n"/>
      <c r="AE15" s="2" t="n"/>
      <c r="AF15" s="2" t="n"/>
      <c r="AG15" s="2" t="n"/>
      <c r="AH15" s="2" t="n"/>
      <c r="AI15" s="2" t="n"/>
      <c r="AJ15" s="2" t="n"/>
      <c r="AK15" s="2" t="n"/>
      <c r="AL15" s="2" t="n"/>
      <c r="AM15" s="2">
        <f>N(I15)+N(S15)+N(AC15)</f>
        <v/>
      </c>
      <c r="AN15" s="2">
        <f>N(J15)+N(T15)+N(AD15)</f>
        <v/>
      </c>
      <c r="AO15" s="2">
        <f>N(K15)+N(U15)+N(AE15)</f>
        <v/>
      </c>
      <c r="AP15" s="2">
        <f>N(L15)+N(V15)+N(AF15)</f>
        <v/>
      </c>
      <c r="AQ15" s="2">
        <f>N(M15)+N(W15)+N(AG15)</f>
        <v/>
      </c>
      <c r="AR15" s="2">
        <f>N(N15)+N(X15)+N(AH15)</f>
        <v/>
      </c>
      <c r="AS15" s="2">
        <f>N(O15)+N(Y15)+N(AI15)</f>
        <v/>
      </c>
      <c r="AT15" s="2">
        <f>N(P15)+N(Z15)+N(AJ15)</f>
        <v/>
      </c>
      <c r="AU15" s="2">
        <f>N(Q15)+N(AA15)+N(AK15)</f>
        <v/>
      </c>
      <c r="AV15" s="2">
        <f>N(R15)+N(AB15)+N(AL15)</f>
        <v/>
      </c>
      <c r="AW15" s="2">
        <f>SUM(I15:R15)</f>
        <v/>
      </c>
      <c r="AX15" s="2">
        <f>SUM(S15:AB15)</f>
        <v/>
      </c>
      <c r="AY15" s="2">
        <f>SUM(AC15:AL15)</f>
        <v/>
      </c>
    </row>
    <row r="16">
      <c r="A16" s="2" t="inlineStr">
        <is>
          <t>sawdust_untreated|both|g</t>
        </is>
      </c>
      <c r="B16" s="2" t="inlineStr">
        <is>
          <t>Sawdust, untreated natural wood</t>
        </is>
      </c>
      <c r="C16" s="2" t="inlineStr">
        <is>
          <t>未经处理的木屑</t>
        </is>
      </c>
      <c r="D16" s="2" t="inlineStr">
        <is>
          <t>Buy: used up</t>
        </is>
      </c>
      <c r="E16" s="2" t="inlineStr">
        <is>
          <t>Both plans</t>
        </is>
      </c>
      <c r="F16" s="2" t="inlineStr">
        <is>
          <t>Used up</t>
        </is>
      </c>
      <c r="G16" s="2" t="inlineStr">
        <is>
          <t>g</t>
        </is>
      </c>
      <c r="H16" s="2">
        <f>IF(OR($E16="Both plans",'Read me'!$C$9="A and B",AND($E16="Plan A (freezer)",'Read me'!$C$9="A"),AND($E16="Plan B (no freezer)",'Read me'!$C$9="B")),1,0)</f>
        <v/>
      </c>
      <c r="I16" s="2" t="n"/>
      <c r="J16" s="2" t="n"/>
      <c r="K16" s="2" t="n"/>
      <c r="L16" s="2" t="n"/>
      <c r="M16" s="2" t="n"/>
      <c r="N16" s="2" t="n"/>
      <c r="O16" s="2" t="n">
        <v>30</v>
      </c>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2" t="n"/>
      <c r="AL16" s="2" t="n"/>
      <c r="AM16" s="2">
        <f>N(I16)+N(S16)+N(AC16)</f>
        <v/>
      </c>
      <c r="AN16" s="2">
        <f>N(J16)+N(T16)+N(AD16)</f>
        <v/>
      </c>
      <c r="AO16" s="2">
        <f>N(K16)+N(U16)+N(AE16)</f>
        <v/>
      </c>
      <c r="AP16" s="2">
        <f>N(L16)+N(V16)+N(AF16)</f>
        <v/>
      </c>
      <c r="AQ16" s="2">
        <f>N(M16)+N(W16)+N(AG16)</f>
        <v/>
      </c>
      <c r="AR16" s="2">
        <f>N(N16)+N(X16)+N(AH16)</f>
        <v/>
      </c>
      <c r="AS16" s="2">
        <f>N(O16)+N(Y16)+N(AI16)</f>
        <v/>
      </c>
      <c r="AT16" s="2">
        <f>N(P16)+N(Z16)+N(AJ16)</f>
        <v/>
      </c>
      <c r="AU16" s="2">
        <f>N(Q16)+N(AA16)+N(AK16)</f>
        <v/>
      </c>
      <c r="AV16" s="2">
        <f>N(R16)+N(AB16)+N(AL16)</f>
        <v/>
      </c>
      <c r="AW16" s="2">
        <f>SUM(I16:R16)</f>
        <v/>
      </c>
      <c r="AX16" s="2">
        <f>SUM(S16:AB16)</f>
        <v/>
      </c>
      <c r="AY16" s="2">
        <f>SUM(AC16:AL16)</f>
        <v/>
      </c>
    </row>
    <row r="17">
      <c r="A17" s="2" t="inlineStr">
        <is>
          <t>bags_soil_sample|both|bags</t>
        </is>
      </c>
      <c r="B17" s="2" t="inlineStr">
        <is>
          <t>Bags for soil samples, about 1 litre (holds about 2 cups of soil)</t>
        </is>
      </c>
      <c r="C17" s="2" t="inlineStr">
        <is>
          <t>土壤采样袋（约1升）</t>
        </is>
      </c>
      <c r="D17" s="2" t="inlineStr">
        <is>
          <t>Buy: used up</t>
        </is>
      </c>
      <c r="E17" s="2" t="inlineStr">
        <is>
          <t>Both plans</t>
        </is>
      </c>
      <c r="F17" s="2" t="inlineStr">
        <is>
          <t>Used up</t>
        </is>
      </c>
      <c r="G17" s="2" t="inlineStr">
        <is>
          <t>bags</t>
        </is>
      </c>
      <c r="H17" s="2">
        <f>IF(OR($E17="Both plans",'Read me'!$C$9="A and B",AND($E17="Plan A (freezer)",'Read me'!$C$9="A"),AND($E17="Plan B (no freezer)",'Read me'!$C$9="B")),1,0)</f>
        <v/>
      </c>
      <c r="I17" s="2" t="n"/>
      <c r="J17" s="2" t="n"/>
      <c r="K17" s="2" t="n"/>
      <c r="L17" s="2" t="n"/>
      <c r="M17" s="2" t="n"/>
      <c r="N17" s="2" t="n"/>
      <c r="O17" s="2" t="n"/>
      <c r="P17" s="2" t="n"/>
      <c r="Q17" s="2" t="n"/>
      <c r="R17" s="2" t="n"/>
      <c r="S17" s="2" t="n"/>
      <c r="T17" s="2" t="n"/>
      <c r="U17" s="2" t="n"/>
      <c r="V17" s="2" t="n"/>
      <c r="W17" s="2" t="n"/>
      <c r="X17" s="2" t="n"/>
      <c r="Y17" s="2" t="n"/>
      <c r="Z17" s="2" t="n">
        <v>5</v>
      </c>
      <c r="AA17" s="2" t="n"/>
      <c r="AB17" s="2" t="n"/>
      <c r="AC17" s="2" t="n"/>
      <c r="AD17" s="2" t="n"/>
      <c r="AE17" s="2" t="n"/>
      <c r="AF17" s="2" t="n"/>
      <c r="AG17" s="2" t="n"/>
      <c r="AH17" s="2" t="n"/>
      <c r="AI17" s="2" t="n"/>
      <c r="AJ17" s="2" t="n"/>
      <c r="AK17" s="2" t="n"/>
      <c r="AL17" s="2" t="n"/>
      <c r="AM17" s="2">
        <f>N(I17)+N(S17)+N(AC17)</f>
        <v/>
      </c>
      <c r="AN17" s="2">
        <f>N(J17)+N(T17)+N(AD17)</f>
        <v/>
      </c>
      <c r="AO17" s="2">
        <f>N(K17)+N(U17)+N(AE17)</f>
        <v/>
      </c>
      <c r="AP17" s="2">
        <f>N(L17)+N(V17)+N(AF17)</f>
        <v/>
      </c>
      <c r="AQ17" s="2">
        <f>N(M17)+N(W17)+N(AG17)</f>
        <v/>
      </c>
      <c r="AR17" s="2">
        <f>N(N17)+N(X17)+N(AH17)</f>
        <v/>
      </c>
      <c r="AS17" s="2">
        <f>N(O17)+N(Y17)+N(AI17)</f>
        <v/>
      </c>
      <c r="AT17" s="2">
        <f>N(P17)+N(Z17)+N(AJ17)</f>
        <v/>
      </c>
      <c r="AU17" s="2">
        <f>N(Q17)+N(AA17)+N(AK17)</f>
        <v/>
      </c>
      <c r="AV17" s="2">
        <f>N(R17)+N(AB17)+N(AL17)</f>
        <v/>
      </c>
      <c r="AW17" s="2">
        <f>SUM(I17:R17)</f>
        <v/>
      </c>
      <c r="AX17" s="2">
        <f>SUM(S17:AB17)</f>
        <v/>
      </c>
      <c r="AY17" s="2">
        <f>SUM(AC17:AL17)</f>
        <v/>
      </c>
    </row>
    <row r="18">
      <c r="A18" s="2" t="inlineStr">
        <is>
          <t>gloves_disposable|both|pairs</t>
        </is>
      </c>
      <c r="B18" s="2" t="inlineStr">
        <is>
          <t>Disposable gloves</t>
        </is>
      </c>
      <c r="C18" s="2" t="inlineStr">
        <is>
          <t>一次性手套</t>
        </is>
      </c>
      <c r="D18" s="2" t="inlineStr">
        <is>
          <t>Buy: used up</t>
        </is>
      </c>
      <c r="E18" s="2" t="inlineStr">
        <is>
          <t>Both plans</t>
        </is>
      </c>
      <c r="F18" s="2" t="inlineStr">
        <is>
          <t>Used up</t>
        </is>
      </c>
      <c r="G18" s="2" t="inlineStr">
        <is>
          <t>pairs</t>
        </is>
      </c>
      <c r="H18" s="2">
        <f>IF(OR($E18="Both plans",'Read me'!$C$9="A and B",AND($E18="Plan A (freezer)",'Read me'!$C$9="A"),AND($E18="Plan B (no freezer)",'Read me'!$C$9="B")),1,0)</f>
        <v/>
      </c>
      <c r="I18" s="2" t="n"/>
      <c r="J18" s="2" t="n"/>
      <c r="K18" s="2" t="n"/>
      <c r="L18" s="2" t="n"/>
      <c r="M18" s="2" t="n"/>
      <c r="N18" s="2" t="n"/>
      <c r="O18" s="2" t="n"/>
      <c r="P18" s="2" t="n"/>
      <c r="Q18" s="2" t="n"/>
      <c r="R18" s="2" t="n"/>
      <c r="S18" s="2" t="n"/>
      <c r="T18" s="2" t="n"/>
      <c r="U18" s="2" t="n"/>
      <c r="V18" s="2" t="n"/>
      <c r="W18" s="2" t="n"/>
      <c r="X18" s="2" t="n"/>
      <c r="Y18" s="2" t="n"/>
      <c r="Z18" s="2" t="n">
        <v>10</v>
      </c>
      <c r="AA18" s="2" t="n"/>
      <c r="AB18" s="2" t="n"/>
      <c r="AC18" s="2" t="n"/>
      <c r="AD18" s="2" t="n"/>
      <c r="AE18" s="2" t="n"/>
      <c r="AF18" s="2" t="n"/>
      <c r="AG18" s="2" t="n"/>
      <c r="AH18" s="2" t="n"/>
      <c r="AI18" s="2" t="n"/>
      <c r="AJ18" s="2" t="n"/>
      <c r="AK18" s="2" t="n"/>
      <c r="AL18" s="2" t="n"/>
      <c r="AM18" s="2">
        <f>N(I18)+N(S18)+N(AC18)</f>
        <v/>
      </c>
      <c r="AN18" s="2">
        <f>N(J18)+N(T18)+N(AD18)</f>
        <v/>
      </c>
      <c r="AO18" s="2">
        <f>N(K18)+N(U18)+N(AE18)</f>
        <v/>
      </c>
      <c r="AP18" s="2">
        <f>N(L18)+N(V18)+N(AF18)</f>
        <v/>
      </c>
      <c r="AQ18" s="2">
        <f>N(M18)+N(W18)+N(AG18)</f>
        <v/>
      </c>
      <c r="AR18" s="2">
        <f>N(N18)+N(X18)+N(AH18)</f>
        <v/>
      </c>
      <c r="AS18" s="2">
        <f>N(O18)+N(Y18)+N(AI18)</f>
        <v/>
      </c>
      <c r="AT18" s="2">
        <f>N(P18)+N(Z18)+N(AJ18)</f>
        <v/>
      </c>
      <c r="AU18" s="2">
        <f>N(Q18)+N(AA18)+N(AK18)</f>
        <v/>
      </c>
      <c r="AV18" s="2">
        <f>N(R18)+N(AB18)+N(AL18)</f>
        <v/>
      </c>
      <c r="AW18" s="2">
        <f>SUM(I18:R18)</f>
        <v/>
      </c>
      <c r="AX18" s="2">
        <f>SUM(S18:AB18)</f>
        <v/>
      </c>
      <c r="AY18" s="2">
        <f>SUM(AC18:AL18)</f>
        <v/>
      </c>
    </row>
    <row r="19">
      <c r="A19" s="2" t="inlineStr">
        <is>
          <t>fizzy_drink_small|both|bottles</t>
        </is>
      </c>
      <c r="B19" s="2" t="inlineStr">
        <is>
          <t>Fizzy drink, small bottles</t>
        </is>
      </c>
      <c r="C19" s="2" t="inlineStr">
        <is>
          <t>碳酸饮料（小瓶装）</t>
        </is>
      </c>
      <c r="D19" s="2" t="inlineStr">
        <is>
          <t>Buy: used up</t>
        </is>
      </c>
      <c r="E19" s="2" t="inlineStr">
        <is>
          <t>Both plans</t>
        </is>
      </c>
      <c r="F19" s="2" t="inlineStr">
        <is>
          <t>Used up</t>
        </is>
      </c>
      <c r="G19" s="2" t="inlineStr">
        <is>
          <t>bottles</t>
        </is>
      </c>
      <c r="H19" s="2">
        <f>IF(OR($E19="Both plans",'Read me'!$C$9="A and B",AND($E19="Plan A (freezer)",'Read me'!$C$9="A"),AND($E19="Plan B (no freezer)",'Read me'!$C$9="B")),1,0)</f>
        <v/>
      </c>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c r="AJ19" s="2" t="n">
        <v>4</v>
      </c>
      <c r="AK19" s="2" t="n"/>
      <c r="AL19" s="2" t="n"/>
      <c r="AM19" s="2">
        <f>N(I19)+N(S19)+N(AC19)</f>
        <v/>
      </c>
      <c r="AN19" s="2">
        <f>N(J19)+N(T19)+N(AD19)</f>
        <v/>
      </c>
      <c r="AO19" s="2">
        <f>N(K19)+N(U19)+N(AE19)</f>
        <v/>
      </c>
      <c r="AP19" s="2">
        <f>N(L19)+N(V19)+N(AF19)</f>
        <v/>
      </c>
      <c r="AQ19" s="2">
        <f>N(M19)+N(W19)+N(AG19)</f>
        <v/>
      </c>
      <c r="AR19" s="2">
        <f>N(N19)+N(X19)+N(AH19)</f>
        <v/>
      </c>
      <c r="AS19" s="2">
        <f>N(O19)+N(Y19)+N(AI19)</f>
        <v/>
      </c>
      <c r="AT19" s="2">
        <f>N(P19)+N(Z19)+N(AJ19)</f>
        <v/>
      </c>
      <c r="AU19" s="2">
        <f>N(Q19)+N(AA19)+N(AK19)</f>
        <v/>
      </c>
      <c r="AV19" s="2">
        <f>N(R19)+N(AB19)+N(AL19)</f>
        <v/>
      </c>
      <c r="AW19" s="2">
        <f>SUM(I19:R19)</f>
        <v/>
      </c>
      <c r="AX19" s="2">
        <f>SUM(S19:AB19)</f>
        <v/>
      </c>
      <c r="AY19" s="2">
        <f>SUM(AC19:AL19)</f>
        <v/>
      </c>
    </row>
    <row r="20">
      <c r="A20" s="2" t="inlineStr">
        <is>
          <t>sticks_flat_levelling|both|sticks</t>
        </is>
      </c>
      <c r="B20" s="2" t="inlineStr">
        <is>
          <t>Flat sticks for levelling spoonfuls</t>
        </is>
      </c>
      <c r="C20" s="2" t="inlineStr">
        <is>
          <t>刮平用扁木棒</t>
        </is>
      </c>
      <c r="D20" s="2" t="inlineStr">
        <is>
          <t>Buy: used up</t>
        </is>
      </c>
      <c r="E20" s="2" t="inlineStr">
        <is>
          <t>Both plans</t>
        </is>
      </c>
      <c r="F20" s="2" t="inlineStr">
        <is>
          <t>Used up</t>
        </is>
      </c>
      <c r="G20" s="2" t="inlineStr">
        <is>
          <t>sticks</t>
        </is>
      </c>
      <c r="H20" s="2">
        <f>IF(OR($E20="Both plans",'Read me'!$C$9="A and B",AND($E20="Plan A (freezer)",'Read me'!$C$9="A"),AND($E20="Plan B (no freezer)",'Read me'!$C$9="B")),1,0)</f>
        <v/>
      </c>
      <c r="I20" s="2" t="n"/>
      <c r="J20" s="2" t="n"/>
      <c r="K20" s="2" t="n"/>
      <c r="L20" s="2" t="n"/>
      <c r="M20" s="2" t="n"/>
      <c r="N20" s="2" t="n"/>
      <c r="O20" s="2" t="n"/>
      <c r="P20" s="2" t="n"/>
      <c r="Q20" s="2" t="n"/>
      <c r="R20" s="2" t="n"/>
      <c r="S20" s="2" t="n"/>
      <c r="T20" s="2" t="n"/>
      <c r="U20" s="2" t="n"/>
      <c r="V20" s="2" t="n"/>
      <c r="W20" s="2" t="n"/>
      <c r="X20" s="2" t="n"/>
      <c r="Y20" s="2" t="n"/>
      <c r="Z20" s="2" t="n">
        <v>2</v>
      </c>
      <c r="AA20" s="2" t="n"/>
      <c r="AB20" s="2" t="n"/>
      <c r="AC20" s="2" t="n"/>
      <c r="AD20" s="2" t="n"/>
      <c r="AE20" s="2" t="n"/>
      <c r="AF20" s="2" t="n"/>
      <c r="AG20" s="2" t="n"/>
      <c r="AH20" s="2" t="n"/>
      <c r="AI20" s="2" t="n"/>
      <c r="AJ20" s="2" t="n"/>
      <c r="AK20" s="2" t="n"/>
      <c r="AL20" s="2" t="n"/>
      <c r="AM20" s="2">
        <f>N(I20)+N(S20)+N(AC20)</f>
        <v/>
      </c>
      <c r="AN20" s="2">
        <f>N(J20)+N(T20)+N(AD20)</f>
        <v/>
      </c>
      <c r="AO20" s="2">
        <f>N(K20)+N(U20)+N(AE20)</f>
        <v/>
      </c>
      <c r="AP20" s="2">
        <f>N(L20)+N(V20)+N(AF20)</f>
        <v/>
      </c>
      <c r="AQ20" s="2">
        <f>N(M20)+N(W20)+N(AG20)</f>
        <v/>
      </c>
      <c r="AR20" s="2">
        <f>N(N20)+N(X20)+N(AH20)</f>
        <v/>
      </c>
      <c r="AS20" s="2">
        <f>N(O20)+N(Y20)+N(AI20)</f>
        <v/>
      </c>
      <c r="AT20" s="2">
        <f>N(P20)+N(Z20)+N(AJ20)</f>
        <v/>
      </c>
      <c r="AU20" s="2">
        <f>N(Q20)+N(AA20)+N(AK20)</f>
        <v/>
      </c>
      <c r="AV20" s="2">
        <f>N(R20)+N(AB20)+N(AL20)</f>
        <v/>
      </c>
      <c r="AW20" s="2">
        <f>SUM(I20:R20)</f>
        <v/>
      </c>
      <c r="AX20" s="2">
        <f>SUM(S20:AB20)</f>
        <v/>
      </c>
      <c r="AY20" s="2">
        <f>SUM(AC20:AL20)</f>
        <v/>
      </c>
    </row>
    <row r="21">
      <c r="A21" s="2" t="inlineStr">
        <is>
          <t>tissues_facial|both|tissues</t>
        </is>
      </c>
      <c r="B21" s="2" t="inlineStr">
        <is>
          <t>Paper tissues (facial tissues)</t>
        </is>
      </c>
      <c r="C21" s="2" t="inlineStr">
        <is>
          <t>面巾纸</t>
        </is>
      </c>
      <c r="D21" s="2" t="inlineStr">
        <is>
          <t>Buy: used up</t>
        </is>
      </c>
      <c r="E21" s="2" t="inlineStr">
        <is>
          <t>Both plans</t>
        </is>
      </c>
      <c r="F21" s="2" t="inlineStr">
        <is>
          <t>Used up</t>
        </is>
      </c>
      <c r="G21" s="2" t="inlineStr">
        <is>
          <t>tissues</t>
        </is>
      </c>
      <c r="H21" s="2">
        <f>IF(OR($E21="Both plans",'Read me'!$C$9="A and B",AND($E21="Plan A (freezer)",'Read me'!$C$9="A"),AND($E21="Plan B (no freezer)",'Read me'!$C$9="B")),1,0)</f>
        <v/>
      </c>
      <c r="I21" s="2" t="n"/>
      <c r="J21" s="2" t="n"/>
      <c r="K21" s="2" t="n"/>
      <c r="L21" s="2" t="n"/>
      <c r="M21" s="2" t="n"/>
      <c r="N21" s="2" t="n"/>
      <c r="O21" s="2" t="n"/>
      <c r="P21" s="2" t="n"/>
      <c r="Q21" s="2" t="n"/>
      <c r="R21" s="2" t="n"/>
      <c r="S21" s="2" t="n"/>
      <c r="T21" s="2" t="n"/>
      <c r="U21" s="2" t="n"/>
      <c r="V21" s="2" t="n"/>
      <c r="W21" s="2" t="n"/>
      <c r="X21" s="2" t="n"/>
      <c r="Y21" s="2" t="n"/>
      <c r="Z21" s="2" t="n">
        <v>2</v>
      </c>
      <c r="AA21" s="2" t="n"/>
      <c r="AB21" s="2" t="n"/>
      <c r="AC21" s="2" t="n"/>
      <c r="AD21" s="2" t="n"/>
      <c r="AE21" s="2" t="n"/>
      <c r="AF21" s="2" t="n"/>
      <c r="AG21" s="2" t="n"/>
      <c r="AH21" s="2" t="n"/>
      <c r="AI21" s="2" t="n"/>
      <c r="AJ21" s="2" t="n"/>
      <c r="AK21" s="2" t="n"/>
      <c r="AL21" s="2" t="n"/>
      <c r="AM21" s="2">
        <f>N(I21)+N(S21)+N(AC21)</f>
        <v/>
      </c>
      <c r="AN21" s="2">
        <f>N(J21)+N(T21)+N(AD21)</f>
        <v/>
      </c>
      <c r="AO21" s="2">
        <f>N(K21)+N(U21)+N(AE21)</f>
        <v/>
      </c>
      <c r="AP21" s="2">
        <f>N(L21)+N(V21)+N(AF21)</f>
        <v/>
      </c>
      <c r="AQ21" s="2">
        <f>N(M21)+N(W21)+N(AG21)</f>
        <v/>
      </c>
      <c r="AR21" s="2">
        <f>N(N21)+N(X21)+N(AH21)</f>
        <v/>
      </c>
      <c r="AS21" s="2">
        <f>N(O21)+N(Y21)+N(AI21)</f>
        <v/>
      </c>
      <c r="AT21" s="2">
        <f>N(P21)+N(Z21)+N(AJ21)</f>
        <v/>
      </c>
      <c r="AU21" s="2">
        <f>N(Q21)+N(AA21)+N(AK21)</f>
        <v/>
      </c>
      <c r="AV21" s="2">
        <f>N(R21)+N(AB21)+N(AL21)</f>
        <v/>
      </c>
      <c r="AW21" s="2">
        <f>SUM(I21:R21)</f>
        <v/>
      </c>
      <c r="AX21" s="2">
        <f>SUM(S21:AB21)</f>
        <v/>
      </c>
      <c r="AY21" s="2">
        <f>SUM(AC21:AL21)</f>
        <v/>
      </c>
    </row>
    <row r="22">
      <c r="A22" s="2" t="inlineStr">
        <is>
          <t>paper_towels_three_brands|both|rolls (1 per brand)</t>
        </is>
      </c>
      <c r="B22" s="2" t="inlineStr">
        <is>
          <t>Paper towels, three different brands</t>
        </is>
      </c>
      <c r="C22" s="2" t="inlineStr">
        <is>
          <t>纸巾（3个不同品牌，各1卷或1包）</t>
        </is>
      </c>
      <c r="D22" s="2" t="inlineStr">
        <is>
          <t>Buy: used up</t>
        </is>
      </c>
      <c r="E22" s="2" t="inlineStr">
        <is>
          <t>Both plans</t>
        </is>
      </c>
      <c r="F22" s="2" t="inlineStr">
        <is>
          <t>Used up</t>
        </is>
      </c>
      <c r="G22" s="2" t="inlineStr">
        <is>
          <t>rolls (1 per brand)</t>
        </is>
      </c>
      <c r="H22" s="2">
        <f>IF(OR($E22="Both plans",'Read me'!$C$9="A and B",AND($E22="Plan A (freezer)",'Read me'!$C$9="A"),AND($E22="Plan B (no freezer)",'Read me'!$C$9="B")),1,0)</f>
        <v/>
      </c>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v>3</v>
      </c>
      <c r="AK22" s="2" t="n"/>
      <c r="AL22" s="2" t="n"/>
      <c r="AM22" s="2">
        <f>N(I22)+N(S22)+N(AC22)</f>
        <v/>
      </c>
      <c r="AN22" s="2">
        <f>N(J22)+N(T22)+N(AD22)</f>
        <v/>
      </c>
      <c r="AO22" s="2">
        <f>N(K22)+N(U22)+N(AE22)</f>
        <v/>
      </c>
      <c r="AP22" s="2">
        <f>N(L22)+N(V22)+N(AF22)</f>
        <v/>
      </c>
      <c r="AQ22" s="2">
        <f>N(M22)+N(W22)+N(AG22)</f>
        <v/>
      </c>
      <c r="AR22" s="2">
        <f>N(N22)+N(X22)+N(AH22)</f>
        <v/>
      </c>
      <c r="AS22" s="2">
        <f>N(O22)+N(Y22)+N(AI22)</f>
        <v/>
      </c>
      <c r="AT22" s="2">
        <f>N(P22)+N(Z22)+N(AJ22)</f>
        <v/>
      </c>
      <c r="AU22" s="2">
        <f>N(Q22)+N(AA22)+N(AK22)</f>
        <v/>
      </c>
      <c r="AV22" s="2">
        <f>N(R22)+N(AB22)+N(AL22)</f>
        <v/>
      </c>
      <c r="AW22" s="2">
        <f>SUM(I22:R22)</f>
        <v/>
      </c>
      <c r="AX22" s="2">
        <f>SUM(S22:AB22)</f>
        <v/>
      </c>
      <c r="AY22" s="2">
        <f>SUM(AC22:AL22)</f>
        <v/>
      </c>
    </row>
    <row r="23">
      <c r="A23" s="2" t="inlineStr">
        <is>
          <t>bags_freezer_strong|both|bag</t>
        </is>
      </c>
      <c r="B23" s="2" t="inlineStr">
        <is>
          <t>Freezer bags, strong</t>
        </is>
      </c>
      <c r="C23" s="2" t="inlineStr">
        <is>
          <t>冷冻袋（加厚）</t>
        </is>
      </c>
      <c r="D23" s="2" t="inlineStr">
        <is>
          <t>Buy: used up</t>
        </is>
      </c>
      <c r="E23" s="2" t="inlineStr">
        <is>
          <t>Both plans</t>
        </is>
      </c>
      <c r="F23" s="2" t="inlineStr">
        <is>
          <t>Used up</t>
        </is>
      </c>
      <c r="G23" s="2" t="inlineStr">
        <is>
          <t>bag</t>
        </is>
      </c>
      <c r="H23" s="2">
        <f>IF(OR($E23="Both plans",'Read me'!$C$9="A and B",AND($E23="Plan A (freezer)",'Read me'!$C$9="A"),AND($E23="Plan B (no freezer)",'Read me'!$C$9="B")),1,0)</f>
        <v/>
      </c>
      <c r="I23" s="2" t="n"/>
      <c r="J23" s="2" t="n"/>
      <c r="K23" s="2" t="n"/>
      <c r="L23" s="2" t="n"/>
      <c r="M23" s="2" t="n"/>
      <c r="N23" s="2" t="n"/>
      <c r="O23" s="2" t="n"/>
      <c r="P23" s="2" t="n"/>
      <c r="Q23" s="2" t="n"/>
      <c r="R23" s="2" t="n"/>
      <c r="S23" s="2" t="n"/>
      <c r="T23" s="2" t="n"/>
      <c r="U23" s="2" t="n"/>
      <c r="V23" s="2" t="n"/>
      <c r="W23" s="2" t="n"/>
      <c r="X23" s="2" t="n"/>
      <c r="Y23" s="2" t="n"/>
      <c r="Z23" s="2" t="n"/>
      <c r="AA23" s="2" t="n"/>
      <c r="AB23" s="2" t="n">
        <v>1</v>
      </c>
      <c r="AC23" s="2" t="n"/>
      <c r="AD23" s="2" t="n"/>
      <c r="AE23" s="2" t="n"/>
      <c r="AF23" s="2" t="n"/>
      <c r="AG23" s="2" t="n"/>
      <c r="AH23" s="2" t="n"/>
      <c r="AI23" s="2" t="n"/>
      <c r="AJ23" s="2" t="n"/>
      <c r="AK23" s="2" t="n"/>
      <c r="AL23" s="2" t="n"/>
      <c r="AM23" s="2">
        <f>N(I23)+N(S23)+N(AC23)</f>
        <v/>
      </c>
      <c r="AN23" s="2">
        <f>N(J23)+N(T23)+N(AD23)</f>
        <v/>
      </c>
      <c r="AO23" s="2">
        <f>N(K23)+N(U23)+N(AE23)</f>
        <v/>
      </c>
      <c r="AP23" s="2">
        <f>N(L23)+N(V23)+N(AF23)</f>
        <v/>
      </c>
      <c r="AQ23" s="2">
        <f>N(M23)+N(W23)+N(AG23)</f>
        <v/>
      </c>
      <c r="AR23" s="2">
        <f>N(N23)+N(X23)+N(AH23)</f>
        <v/>
      </c>
      <c r="AS23" s="2">
        <f>N(O23)+N(Y23)+N(AI23)</f>
        <v/>
      </c>
      <c r="AT23" s="2">
        <f>N(P23)+N(Z23)+N(AJ23)</f>
        <v/>
      </c>
      <c r="AU23" s="2">
        <f>N(Q23)+N(AA23)+N(AK23)</f>
        <v/>
      </c>
      <c r="AV23" s="2">
        <f>N(R23)+N(AB23)+N(AL23)</f>
        <v/>
      </c>
      <c r="AW23" s="2">
        <f>SUM(I23:R23)</f>
        <v/>
      </c>
      <c r="AX23" s="2">
        <f>SUM(S23:AB23)</f>
        <v/>
      </c>
      <c r="AY23" s="2">
        <f>SUM(AC23:AL23)</f>
        <v/>
      </c>
    </row>
    <row r="24">
      <c r="A24" s="2" t="inlineStr">
        <is>
          <t>pens_felt_washable_4_brands|both|pens</t>
        </is>
      </c>
      <c r="B24" s="2" t="inlineStr">
        <is>
          <t>Black washable felt-tip pens, four different brands</t>
        </is>
      </c>
      <c r="C24" s="2" t="inlineStr">
        <is>
          <t>黑色可水洗水彩笔（水性墨水，4个不同品牌）</t>
        </is>
      </c>
      <c r="D24" s="2" t="inlineStr">
        <is>
          <t>Buy: reusable</t>
        </is>
      </c>
      <c r="E24" s="2" t="inlineStr">
        <is>
          <t>Both plans</t>
        </is>
      </c>
      <c r="F24" s="2" t="inlineStr">
        <is>
          <t>Reusable</t>
        </is>
      </c>
      <c r="G24" s="2" t="inlineStr">
        <is>
          <t>pens</t>
        </is>
      </c>
      <c r="H24" s="2">
        <f>IF(OR($E24="Both plans",'Read me'!$C$9="A and B",AND($E24="Plan A (freezer)",'Read me'!$C$9="A"),AND($E24="Plan B (no freezer)",'Read me'!$C$9="B")),1,0)</f>
        <v/>
      </c>
      <c r="I24" s="2" t="n"/>
      <c r="J24" s="2" t="n"/>
      <c r="K24" s="2" t="n"/>
      <c r="L24" s="2" t="n"/>
      <c r="M24" s="2" t="n"/>
      <c r="N24" s="2" t="n"/>
      <c r="O24" s="2" t="n"/>
      <c r="P24" s="2" t="n"/>
      <c r="Q24" s="2" t="n"/>
      <c r="R24" s="2" t="n"/>
      <c r="S24" s="2" t="n">
        <v>8</v>
      </c>
      <c r="T24" s="2" t="n"/>
      <c r="U24" s="2" t="n">
        <v>24</v>
      </c>
      <c r="V24" s="2" t="n"/>
      <c r="W24" s="2" t="n"/>
      <c r="X24" s="2" t="n"/>
      <c r="Y24" s="2" t="n"/>
      <c r="Z24" s="2" t="n">
        <v>8</v>
      </c>
      <c r="AA24" s="2" t="n"/>
      <c r="AB24" s="2" t="n"/>
      <c r="AC24" s="2" t="n"/>
      <c r="AD24" s="2" t="n"/>
      <c r="AE24" s="2" t="n"/>
      <c r="AF24" s="2" t="n"/>
      <c r="AG24" s="2" t="n"/>
      <c r="AH24" s="2" t="n"/>
      <c r="AI24" s="2" t="n"/>
      <c r="AJ24" s="2" t="n"/>
      <c r="AK24" s="2" t="n"/>
      <c r="AL24" s="2" t="n"/>
      <c r="AM24" s="2">
        <f>N(I24)+N(S24)+N(AC24)</f>
        <v/>
      </c>
      <c r="AN24" s="2">
        <f>N(J24)+N(T24)+N(AD24)</f>
        <v/>
      </c>
      <c r="AO24" s="2">
        <f>N(K24)+N(U24)+N(AE24)</f>
        <v/>
      </c>
      <c r="AP24" s="2">
        <f>N(L24)+N(V24)+N(AF24)</f>
        <v/>
      </c>
      <c r="AQ24" s="2">
        <f>N(M24)+N(W24)+N(AG24)</f>
        <v/>
      </c>
      <c r="AR24" s="2">
        <f>N(N24)+N(X24)+N(AH24)</f>
        <v/>
      </c>
      <c r="AS24" s="2">
        <f>N(O24)+N(Y24)+N(AI24)</f>
        <v/>
      </c>
      <c r="AT24" s="2">
        <f>N(P24)+N(Z24)+N(AJ24)</f>
        <v/>
      </c>
      <c r="AU24" s="2">
        <f>N(Q24)+N(AA24)+N(AK24)</f>
        <v/>
      </c>
      <c r="AV24" s="2">
        <f>N(R24)+N(AB24)+N(AL24)</f>
        <v/>
      </c>
      <c r="AW24" s="2">
        <f>SUM(I24:R24)</f>
        <v/>
      </c>
      <c r="AX24" s="2">
        <f>SUM(S24:AB24)</f>
        <v/>
      </c>
      <c r="AY24" s="2">
        <f>SUM(AC24:AL24)</f>
        <v/>
      </c>
    </row>
    <row r="25">
      <c r="A25" s="2" t="inlineStr">
        <is>
          <t>storage_box_lidded|both|boxes</t>
        </is>
      </c>
      <c r="B25" s="2" t="inlineStr">
        <is>
          <t>Storage boxes, plastic with lid</t>
        </is>
      </c>
      <c r="C25" s="2" t="inlineStr">
        <is>
          <t>带盖塑料收纳箱</t>
        </is>
      </c>
      <c r="D25" s="2" t="inlineStr">
        <is>
          <t>Buy: reusable</t>
        </is>
      </c>
      <c r="E25" s="2" t="inlineStr">
        <is>
          <t>Both plans</t>
        </is>
      </c>
      <c r="F25" s="2" t="inlineStr">
        <is>
          <t>Reusable</t>
        </is>
      </c>
      <c r="G25" s="2" t="inlineStr">
        <is>
          <t>boxes</t>
        </is>
      </c>
      <c r="H25" s="2">
        <f>IF(OR($E25="Both plans",'Read me'!$C$9="A and B",AND($E25="Plan A (freezer)",'Read me'!$C$9="A"),AND($E25="Plan B (no freezer)",'Read me'!$C$9="B")),1,0)</f>
        <v/>
      </c>
      <c r="I25" s="2" t="n">
        <v>1</v>
      </c>
      <c r="J25" s="2" t="n">
        <v>1</v>
      </c>
      <c r="K25" s="2" t="n"/>
      <c r="L25" s="2" t="n"/>
      <c r="M25" s="2" t="n"/>
      <c r="N25" s="2" t="n"/>
      <c r="O25" s="2" t="n"/>
      <c r="P25" s="2" t="n"/>
      <c r="Q25" s="2" t="n"/>
      <c r="R25" s="2" t="n">
        <v>1</v>
      </c>
      <c r="S25" s="2" t="n">
        <v>1</v>
      </c>
      <c r="T25" s="2" t="n"/>
      <c r="U25" s="2" t="n"/>
      <c r="V25" s="2" t="n"/>
      <c r="W25" s="2" t="n"/>
      <c r="X25" s="2" t="n"/>
      <c r="Y25" s="2" t="n"/>
      <c r="Z25" s="2" t="n"/>
      <c r="AA25" s="2" t="n"/>
      <c r="AB25" s="2" t="n"/>
      <c r="AC25" s="2" t="n"/>
      <c r="AD25" s="2" t="n"/>
      <c r="AE25" s="2" t="n"/>
      <c r="AF25" s="2" t="n"/>
      <c r="AG25" s="2" t="n"/>
      <c r="AH25" s="2" t="n"/>
      <c r="AI25" s="2" t="n"/>
      <c r="AJ25" s="2" t="n"/>
      <c r="AK25" s="2" t="n"/>
      <c r="AL25" s="2" t="n"/>
      <c r="AM25" s="2">
        <f>N(I25)+N(S25)+N(AC25)</f>
        <v/>
      </c>
      <c r="AN25" s="2">
        <f>N(J25)+N(T25)+N(AD25)</f>
        <v/>
      </c>
      <c r="AO25" s="2">
        <f>N(K25)+N(U25)+N(AE25)</f>
        <v/>
      </c>
      <c r="AP25" s="2">
        <f>N(L25)+N(V25)+N(AF25)</f>
        <v/>
      </c>
      <c r="AQ25" s="2">
        <f>N(M25)+N(W25)+N(AG25)</f>
        <v/>
      </c>
      <c r="AR25" s="2">
        <f>N(N25)+N(X25)+N(AH25)</f>
        <v/>
      </c>
      <c r="AS25" s="2">
        <f>N(O25)+N(Y25)+N(AI25)</f>
        <v/>
      </c>
      <c r="AT25" s="2">
        <f>N(P25)+N(Z25)+N(AJ25)</f>
        <v/>
      </c>
      <c r="AU25" s="2">
        <f>N(Q25)+N(AA25)+N(AK25)</f>
        <v/>
      </c>
      <c r="AV25" s="2">
        <f>N(R25)+N(AB25)+N(AL25)</f>
        <v/>
      </c>
      <c r="AW25" s="2">
        <f>SUM(I25:R25)</f>
        <v/>
      </c>
      <c r="AX25" s="2">
        <f>SUM(S25:AB25)</f>
        <v/>
      </c>
      <c r="AY25" s="2">
        <f>SUM(AC25:AL25)</f>
        <v/>
      </c>
    </row>
    <row r="26">
      <c r="A26" s="2" t="inlineStr">
        <is>
          <t>small_lidded_pots|both|pots</t>
        </is>
      </c>
      <c r="B26" s="2" t="inlineStr">
        <is>
          <t>Small lidded pots</t>
        </is>
      </c>
      <c r="C26" s="2" t="inlineStr">
        <is>
          <t>带盖小样品盒</t>
        </is>
      </c>
      <c r="D26" s="2" t="inlineStr">
        <is>
          <t>Buy: reusable</t>
        </is>
      </c>
      <c r="E26" s="2" t="inlineStr">
        <is>
          <t>Both plans</t>
        </is>
      </c>
      <c r="F26" s="2" t="inlineStr">
        <is>
          <t>Reusable</t>
        </is>
      </c>
      <c r="G26" s="2" t="inlineStr">
        <is>
          <t>pots</t>
        </is>
      </c>
      <c r="H26" s="2">
        <f>IF(OR($E26="Both plans",'Read me'!$C$9="A and B",AND($E26="Plan A (freezer)",'Read me'!$C$9="A"),AND($E26="Plan B (no freezer)",'Read me'!$C$9="B")),1,0)</f>
        <v/>
      </c>
      <c r="I26" s="2" t="n"/>
      <c r="J26" s="2" t="n"/>
      <c r="K26" s="2" t="n"/>
      <c r="L26" s="2" t="n"/>
      <c r="M26" s="2" t="n"/>
      <c r="N26" s="2" t="n"/>
      <c r="O26" s="2" t="n"/>
      <c r="P26" s="2" t="n"/>
      <c r="Q26" s="2" t="n"/>
      <c r="R26" s="2" t="n"/>
      <c r="S26" s="2" t="n"/>
      <c r="T26" s="2" t="n"/>
      <c r="U26" s="2" t="n"/>
      <c r="V26" s="2" t="n">
        <v>30</v>
      </c>
      <c r="W26" s="2" t="n"/>
      <c r="X26" s="2" t="n"/>
      <c r="Y26" s="2" t="n"/>
      <c r="Z26" s="2" t="n">
        <v>23</v>
      </c>
      <c r="AA26" s="2" t="n"/>
      <c r="AB26" s="2" t="n"/>
      <c r="AC26" s="2" t="n"/>
      <c r="AD26" s="2" t="n"/>
      <c r="AE26" s="2" t="n"/>
      <c r="AF26" s="2" t="n"/>
      <c r="AG26" s="2" t="n"/>
      <c r="AH26" s="2" t="n"/>
      <c r="AI26" s="2" t="n"/>
      <c r="AJ26" s="2" t="n"/>
      <c r="AK26" s="2" t="n"/>
      <c r="AL26" s="2" t="n"/>
      <c r="AM26" s="2">
        <f>N(I26)+N(S26)+N(AC26)</f>
        <v/>
      </c>
      <c r="AN26" s="2">
        <f>N(J26)+N(T26)+N(AD26)</f>
        <v/>
      </c>
      <c r="AO26" s="2">
        <f>N(K26)+N(U26)+N(AE26)</f>
        <v/>
      </c>
      <c r="AP26" s="2">
        <f>N(L26)+N(V26)+N(AF26)</f>
        <v/>
      </c>
      <c r="AQ26" s="2">
        <f>N(M26)+N(W26)+N(AG26)</f>
        <v/>
      </c>
      <c r="AR26" s="2">
        <f>N(N26)+N(X26)+N(AH26)</f>
        <v/>
      </c>
      <c r="AS26" s="2">
        <f>N(O26)+N(Y26)+N(AI26)</f>
        <v/>
      </c>
      <c r="AT26" s="2">
        <f>N(P26)+N(Z26)+N(AJ26)</f>
        <v/>
      </c>
      <c r="AU26" s="2">
        <f>N(Q26)+N(AA26)+N(AK26)</f>
        <v/>
      </c>
      <c r="AV26" s="2">
        <f>N(R26)+N(AB26)+N(AL26)</f>
        <v/>
      </c>
      <c r="AW26" s="2">
        <f>SUM(I26:R26)</f>
        <v/>
      </c>
      <c r="AX26" s="2">
        <f>SUM(S26:AB26)</f>
        <v/>
      </c>
      <c r="AY26" s="2">
        <f>SUM(AC26:AL26)</f>
        <v/>
      </c>
    </row>
    <row r="27">
      <c r="A27" s="2" t="inlineStr">
        <is>
          <t>ballpoint_pens_identical|both|pens</t>
        </is>
      </c>
      <c r="B27" s="2" t="inlineStr">
        <is>
          <t>Ballpoint pens, identical</t>
        </is>
      </c>
      <c r="C27" s="2" t="inlineStr">
        <is>
          <t>圆珠笔（同款同色）</t>
        </is>
      </c>
      <c r="D27" s="2" t="inlineStr">
        <is>
          <t>Buy: reusable</t>
        </is>
      </c>
      <c r="E27" s="2" t="inlineStr">
        <is>
          <t>Both plans</t>
        </is>
      </c>
      <c r="F27" s="2" t="inlineStr">
        <is>
          <t>Reusable</t>
        </is>
      </c>
      <c r="G27" s="2" t="inlineStr">
        <is>
          <t>pens</t>
        </is>
      </c>
      <c r="H27" s="2">
        <f>IF(OR($E27="Both plans",'Read me'!$C$9="A and B",AND($E27="Plan A (freezer)",'Read me'!$C$9="A"),AND($E27="Plan B (no freezer)",'Read me'!$C$9="B")),1,0)</f>
        <v/>
      </c>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v>24</v>
      </c>
      <c r="AH27" s="2" t="n"/>
      <c r="AI27" s="2" t="n"/>
      <c r="AJ27" s="2" t="n">
        <v>25</v>
      </c>
      <c r="AK27" s="2" t="n">
        <v>24</v>
      </c>
      <c r="AL27" s="2" t="n"/>
      <c r="AM27" s="2">
        <f>N(I27)+N(S27)+N(AC27)</f>
        <v/>
      </c>
      <c r="AN27" s="2">
        <f>N(J27)+N(T27)+N(AD27)</f>
        <v/>
      </c>
      <c r="AO27" s="2">
        <f>N(K27)+N(U27)+N(AE27)</f>
        <v/>
      </c>
      <c r="AP27" s="2">
        <f>N(L27)+N(V27)+N(AF27)</f>
        <v/>
      </c>
      <c r="AQ27" s="2">
        <f>N(M27)+N(W27)+N(AG27)</f>
        <v/>
      </c>
      <c r="AR27" s="2">
        <f>N(N27)+N(X27)+N(AH27)</f>
        <v/>
      </c>
      <c r="AS27" s="2">
        <f>N(O27)+N(Y27)+N(AI27)</f>
        <v/>
      </c>
      <c r="AT27" s="2">
        <f>N(P27)+N(Z27)+N(AJ27)</f>
        <v/>
      </c>
      <c r="AU27" s="2">
        <f>N(Q27)+N(AA27)+N(AK27)</f>
        <v/>
      </c>
      <c r="AV27" s="2">
        <f>N(R27)+N(AB27)+N(AL27)</f>
        <v/>
      </c>
      <c r="AW27" s="2">
        <f>SUM(I27:R27)</f>
        <v/>
      </c>
      <c r="AX27" s="2">
        <f>SUM(S27:AB27)</f>
        <v/>
      </c>
      <c r="AY27" s="2">
        <f>SUM(AC27:AL27)</f>
        <v/>
      </c>
    </row>
    <row r="28">
      <c r="A28" s="2" t="inlineStr">
        <is>
          <t>cool_box|A|boxes</t>
        </is>
      </c>
      <c r="B28" s="2" t="inlineStr">
        <is>
          <t>Cool box, insulated, with lid</t>
        </is>
      </c>
      <c r="C28" s="2" t="inlineStr">
        <is>
          <t>保温箱（带盖）</t>
        </is>
      </c>
      <c r="D28" s="2" t="inlineStr">
        <is>
          <t>Buy: reusable</t>
        </is>
      </c>
      <c r="E28" s="2" t="inlineStr">
        <is>
          <t>Plan A (freezer)</t>
        </is>
      </c>
      <c r="F28" s="2" t="inlineStr">
        <is>
          <t>Reusable</t>
        </is>
      </c>
      <c r="G28" s="2" t="inlineStr">
        <is>
          <t>boxes</t>
        </is>
      </c>
      <c r="H28" s="2">
        <f>IF(OR($E28="Both plans",'Read me'!$C$9="A and B",AND($E28="Plan A (freezer)",'Read me'!$C$9="A"),AND($E28="Plan B (no freezer)",'Read me'!$C$9="B")),1,0)</f>
        <v/>
      </c>
      <c r="I28" s="2" t="n"/>
      <c r="J28" s="2" t="n"/>
      <c r="K28" s="2" t="n"/>
      <c r="L28" s="2" t="n"/>
      <c r="M28" s="2" t="n"/>
      <c r="N28" s="2" t="n">
        <v>1</v>
      </c>
      <c r="O28" s="2" t="n"/>
      <c r="P28" s="2" t="n">
        <v>6</v>
      </c>
      <c r="Q28" s="2" t="n"/>
      <c r="R28" s="2" t="n"/>
      <c r="S28" s="2" t="n"/>
      <c r="T28" s="2" t="n"/>
      <c r="U28" s="2" t="n"/>
      <c r="V28" s="2" t="n"/>
      <c r="W28" s="2" t="n"/>
      <c r="X28" s="2" t="n"/>
      <c r="Y28" s="2" t="n"/>
      <c r="Z28" s="2" t="n"/>
      <c r="AA28" s="2" t="n"/>
      <c r="AB28" s="2" t="n"/>
      <c r="AC28" s="2" t="n"/>
      <c r="AD28" s="2" t="n"/>
      <c r="AE28" s="2" t="n"/>
      <c r="AF28" s="2" t="n"/>
      <c r="AG28" s="2" t="n"/>
      <c r="AH28" s="2" t="n">
        <v>1</v>
      </c>
      <c r="AI28" s="2" t="n"/>
      <c r="AJ28" s="2" t="n">
        <v>1</v>
      </c>
      <c r="AK28" s="2" t="n"/>
      <c r="AL28" s="2" t="n"/>
      <c r="AM28" s="2">
        <f>N(I28)+N(S28)+N(AC28)</f>
        <v/>
      </c>
      <c r="AN28" s="2">
        <f>N(J28)+N(T28)+N(AD28)</f>
        <v/>
      </c>
      <c r="AO28" s="2">
        <f>N(K28)+N(U28)+N(AE28)</f>
        <v/>
      </c>
      <c r="AP28" s="2">
        <f>N(L28)+N(V28)+N(AF28)</f>
        <v/>
      </c>
      <c r="AQ28" s="2">
        <f>N(M28)+N(W28)+N(AG28)</f>
        <v/>
      </c>
      <c r="AR28" s="2">
        <f>N(N28)+N(X28)+N(AH28)</f>
        <v/>
      </c>
      <c r="AS28" s="2">
        <f>N(O28)+N(Y28)+N(AI28)</f>
        <v/>
      </c>
      <c r="AT28" s="2">
        <f>N(P28)+N(Z28)+N(AJ28)</f>
        <v/>
      </c>
      <c r="AU28" s="2">
        <f>N(Q28)+N(AA28)+N(AK28)</f>
        <v/>
      </c>
      <c r="AV28" s="2">
        <f>N(R28)+N(AB28)+N(AL28)</f>
        <v/>
      </c>
      <c r="AW28" s="2">
        <f>SUM(I28:R28)</f>
        <v/>
      </c>
      <c r="AX28" s="2">
        <f>SUM(S28:AB28)</f>
        <v/>
      </c>
      <c r="AY28" s="2">
        <f>SUM(AC28:AL28)</f>
        <v/>
      </c>
    </row>
    <row r="29">
      <c r="A29" s="2" t="inlineStr">
        <is>
          <t>height_charts_paper|both|charts</t>
        </is>
      </c>
      <c r="B29" s="2" t="inlineStr">
        <is>
          <t>Height charts, paper, for the wall, 130 to 190 cm</t>
        </is>
      </c>
      <c r="C29" s="2" t="inlineStr">
        <is>
          <t>纸质身高表（墙贴，130至190厘米）</t>
        </is>
      </c>
      <c r="D29" s="2" t="inlineStr">
        <is>
          <t>Buy: reusable</t>
        </is>
      </c>
      <c r="E29" s="2" t="inlineStr">
        <is>
          <t>Both plans</t>
        </is>
      </c>
      <c r="F29" s="2" t="inlineStr">
        <is>
          <t>Reusable</t>
        </is>
      </c>
      <c r="G29" s="2" t="inlineStr">
        <is>
          <t>charts</t>
        </is>
      </c>
      <c r="H29" s="2">
        <f>IF(OR($E29="Both plans",'Read me'!$C$9="A and B",AND($E29="Plan A (freezer)",'Read me'!$C$9="A"),AND($E29="Plan B (no freezer)",'Read me'!$C$9="B")),1,0)</f>
        <v/>
      </c>
      <c r="I29" s="2" t="n"/>
      <c r="J29" s="2" t="n"/>
      <c r="K29" s="2" t="n"/>
      <c r="L29" s="2" t="n"/>
      <c r="M29" s="2" t="n"/>
      <c r="N29" s="2" t="n"/>
      <c r="O29" s="2" t="n"/>
      <c r="P29" s="2" t="n"/>
      <c r="Q29" s="2" t="n"/>
      <c r="R29" s="2" t="n"/>
      <c r="S29" s="2" t="n"/>
      <c r="T29" s="2" t="n"/>
      <c r="U29" s="2" t="n"/>
      <c r="V29" s="2" t="n"/>
      <c r="W29" s="2" t="n"/>
      <c r="X29" s="2" t="n">
        <v>3</v>
      </c>
      <c r="Y29" s="2" t="n"/>
      <c r="Z29" s="2" t="n"/>
      <c r="AA29" s="2" t="n"/>
      <c r="AB29" s="2" t="n"/>
      <c r="AC29" s="2" t="n"/>
      <c r="AD29" s="2" t="n"/>
      <c r="AE29" s="2" t="n"/>
      <c r="AF29" s="2" t="n"/>
      <c r="AG29" s="2" t="n"/>
      <c r="AH29" s="2" t="n"/>
      <c r="AI29" s="2" t="n"/>
      <c r="AJ29" s="2" t="n"/>
      <c r="AK29" s="2" t="n"/>
      <c r="AL29" s="2" t="n"/>
      <c r="AM29" s="2">
        <f>N(I29)+N(S29)+N(AC29)</f>
        <v/>
      </c>
      <c r="AN29" s="2">
        <f>N(J29)+N(T29)+N(AD29)</f>
        <v/>
      </c>
      <c r="AO29" s="2">
        <f>N(K29)+N(U29)+N(AE29)</f>
        <v/>
      </c>
      <c r="AP29" s="2">
        <f>N(L29)+N(V29)+N(AF29)</f>
        <v/>
      </c>
      <c r="AQ29" s="2">
        <f>N(M29)+N(W29)+N(AG29)</f>
        <v/>
      </c>
      <c r="AR29" s="2">
        <f>N(N29)+N(X29)+N(AH29)</f>
        <v/>
      </c>
      <c r="AS29" s="2">
        <f>N(O29)+N(Y29)+N(AI29)</f>
        <v/>
      </c>
      <c r="AT29" s="2">
        <f>N(P29)+N(Z29)+N(AJ29)</f>
        <v/>
      </c>
      <c r="AU29" s="2">
        <f>N(Q29)+N(AA29)+N(AK29)</f>
        <v/>
      </c>
      <c r="AV29" s="2">
        <f>N(R29)+N(AB29)+N(AL29)</f>
        <v/>
      </c>
      <c r="AW29" s="2">
        <f>SUM(I29:R29)</f>
        <v/>
      </c>
      <c r="AX29" s="2">
        <f>SUM(S29:AB29)</f>
        <v/>
      </c>
      <c r="AY29" s="2">
        <f>SUM(AC29:AL29)</f>
        <v/>
      </c>
    </row>
    <row r="30">
      <c r="A30" s="2" t="inlineStr">
        <is>
          <t>ice_cube_trays|A|trays</t>
        </is>
      </c>
      <c r="B30" s="2" t="inlineStr">
        <is>
          <t>Ice-cube trays</t>
        </is>
      </c>
      <c r="C30" s="2" t="inlineStr">
        <is>
          <t>冰格</t>
        </is>
      </c>
      <c r="D30" s="2" t="inlineStr">
        <is>
          <t>Buy: reusable</t>
        </is>
      </c>
      <c r="E30" s="2" t="inlineStr">
        <is>
          <t>Plan A (freezer)</t>
        </is>
      </c>
      <c r="F30" s="2" t="inlineStr">
        <is>
          <t>Reusable</t>
        </is>
      </c>
      <c r="G30" s="2" t="inlineStr">
        <is>
          <t>trays</t>
        </is>
      </c>
      <c r="H30" s="2">
        <f>IF(OR($E30="Both plans",'Read me'!$C$9="A and B",AND($E30="Plan A (freezer)",'Read me'!$C$9="A"),AND($E30="Plan B (no freezer)",'Read me'!$C$9="B")),1,0)</f>
        <v/>
      </c>
      <c r="I30" s="2" t="n"/>
      <c r="J30" s="2" t="n"/>
      <c r="K30" s="2" t="n"/>
      <c r="L30" s="2" t="n"/>
      <c r="M30" s="2" t="n"/>
      <c r="N30" s="2" t="n">
        <v>2</v>
      </c>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f>N(I30)+N(S30)+N(AC30)</f>
        <v/>
      </c>
      <c r="AN30" s="2">
        <f>N(J30)+N(T30)+N(AD30)</f>
        <v/>
      </c>
      <c r="AO30" s="2">
        <f>N(K30)+N(U30)+N(AE30)</f>
        <v/>
      </c>
      <c r="AP30" s="2">
        <f>N(L30)+N(V30)+N(AF30)</f>
        <v/>
      </c>
      <c r="AQ30" s="2">
        <f>N(M30)+N(W30)+N(AG30)</f>
        <v/>
      </c>
      <c r="AR30" s="2">
        <f>N(N30)+N(X30)+N(AH30)</f>
        <v/>
      </c>
      <c r="AS30" s="2">
        <f>N(O30)+N(Y30)+N(AI30)</f>
        <v/>
      </c>
      <c r="AT30" s="2">
        <f>N(P30)+N(Z30)+N(AJ30)</f>
        <v/>
      </c>
      <c r="AU30" s="2">
        <f>N(Q30)+N(AA30)+N(AK30)</f>
        <v/>
      </c>
      <c r="AV30" s="2">
        <f>N(R30)+N(AB30)+N(AL30)</f>
        <v/>
      </c>
      <c r="AW30" s="2">
        <f>SUM(I30:R30)</f>
        <v/>
      </c>
      <c r="AX30" s="2">
        <f>SUM(S30:AB30)</f>
        <v/>
      </c>
      <c r="AY30" s="2">
        <f>SUM(AC30:AL30)</f>
        <v/>
      </c>
    </row>
    <row r="31">
      <c r="A31" s="2" t="inlineStr">
        <is>
          <t>polystyrene_cups|A|cups</t>
        </is>
      </c>
      <c r="B31" s="2" t="inlineStr">
        <is>
          <t>Polystyrene cups (insulated foam cups)</t>
        </is>
      </c>
      <c r="C31" s="2" t="inlineStr">
        <is>
          <t>泡沫杯（聚苯乙烯，隔热）</t>
        </is>
      </c>
      <c r="D31" s="2" t="inlineStr">
        <is>
          <t>Buy: reusable</t>
        </is>
      </c>
      <c r="E31" s="2" t="inlineStr">
        <is>
          <t>Plan A (freezer)</t>
        </is>
      </c>
      <c r="F31" s="2" t="inlineStr">
        <is>
          <t>Reusable</t>
        </is>
      </c>
      <c r="G31" s="2" t="inlineStr">
        <is>
          <t>cups</t>
        </is>
      </c>
      <c r="H31" s="2">
        <f>IF(OR($E31="Both plans",'Read me'!$C$9="A and B",AND($E31="Plan A (freezer)",'Read me'!$C$9="A"),AND($E31="Plan B (no freezer)",'Read me'!$C$9="B")),1,0)</f>
        <v/>
      </c>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v>6</v>
      </c>
      <c r="AI31" s="2" t="n"/>
      <c r="AJ31" s="2" t="n">
        <v>1</v>
      </c>
      <c r="AK31" s="2" t="n"/>
      <c r="AL31" s="2" t="n"/>
      <c r="AM31" s="2">
        <f>N(I31)+N(S31)+N(AC31)</f>
        <v/>
      </c>
      <c r="AN31" s="2">
        <f>N(J31)+N(T31)+N(AD31)</f>
        <v/>
      </c>
      <c r="AO31" s="2">
        <f>N(K31)+N(U31)+N(AE31)</f>
        <v/>
      </c>
      <c r="AP31" s="2">
        <f>N(L31)+N(V31)+N(AF31)</f>
        <v/>
      </c>
      <c r="AQ31" s="2">
        <f>N(M31)+N(W31)+N(AG31)</f>
        <v/>
      </c>
      <c r="AR31" s="2">
        <f>N(N31)+N(X31)+N(AH31)</f>
        <v/>
      </c>
      <c r="AS31" s="2">
        <f>N(O31)+N(Y31)+N(AI31)</f>
        <v/>
      </c>
      <c r="AT31" s="2">
        <f>N(P31)+N(Z31)+N(AJ31)</f>
        <v/>
      </c>
      <c r="AU31" s="2">
        <f>N(Q31)+N(AA31)+N(AK31)</f>
        <v/>
      </c>
      <c r="AV31" s="2">
        <f>N(R31)+N(AB31)+N(AL31)</f>
        <v/>
      </c>
      <c r="AW31" s="2">
        <f>SUM(I31:R31)</f>
        <v/>
      </c>
      <c r="AX31" s="2">
        <f>SUM(S31:AB31)</f>
        <v/>
      </c>
      <c r="AY31" s="2">
        <f>SUM(AC31:AL31)</f>
        <v/>
      </c>
    </row>
    <row r="32">
      <c r="A32" s="2" t="inlineStr">
        <is>
          <t>mini_whiteboards|both|boards</t>
        </is>
      </c>
      <c r="B32" s="2" t="inlineStr">
        <is>
          <t>Mini whiteboards</t>
        </is>
      </c>
      <c r="C32" s="2" t="inlineStr">
        <is>
          <t>小白板（学生用）</t>
        </is>
      </c>
      <c r="D32" s="2" t="inlineStr">
        <is>
          <t>Buy: reusable</t>
        </is>
      </c>
      <c r="E32" s="2" t="inlineStr">
        <is>
          <t>Both plans</t>
        </is>
      </c>
      <c r="F32" s="2" t="inlineStr">
        <is>
          <t>Reusable</t>
        </is>
      </c>
      <c r="G32" s="2" t="inlineStr">
        <is>
          <t>boards</t>
        </is>
      </c>
      <c r="H32" s="2">
        <f>IF(OR($E32="Both plans",'Read me'!$C$9="A and B",AND($E32="Plan A (freezer)",'Read me'!$C$9="A"),AND($E32="Plan B (no freezer)",'Read me'!$C$9="B")),1,0)</f>
        <v/>
      </c>
      <c r="I32" s="2" t="n"/>
      <c r="J32" s="2" t="n"/>
      <c r="K32" s="2" t="n"/>
      <c r="L32" s="2" t="n"/>
      <c r="M32" s="2" t="n"/>
      <c r="N32" s="2" t="n"/>
      <c r="O32" s="2" t="n"/>
      <c r="P32" s="2" t="n"/>
      <c r="Q32" s="2" t="n"/>
      <c r="R32" s="2" t="n"/>
      <c r="S32" s="2" t="n"/>
      <c r="T32" s="2" t="n"/>
      <c r="U32" s="2" t="n"/>
      <c r="V32" s="2" t="n"/>
      <c r="W32" s="2" t="n"/>
      <c r="X32" s="2" t="n"/>
      <c r="Y32" s="2" t="n">
        <v>24</v>
      </c>
      <c r="Z32" s="2" t="n"/>
      <c r="AA32" s="2" t="n"/>
      <c r="AB32" s="2" t="n"/>
      <c r="AC32" s="2" t="n"/>
      <c r="AD32" s="2" t="n"/>
      <c r="AE32" s="2" t="n"/>
      <c r="AF32" s="2" t="n"/>
      <c r="AG32" s="2" t="n"/>
      <c r="AH32" s="2" t="n"/>
      <c r="AI32" s="2" t="n"/>
      <c r="AJ32" s="2" t="n"/>
      <c r="AK32" s="2" t="n"/>
      <c r="AL32" s="2" t="n"/>
      <c r="AM32" s="2">
        <f>N(I32)+N(S32)+N(AC32)</f>
        <v/>
      </c>
      <c r="AN32" s="2">
        <f>N(J32)+N(T32)+N(AD32)</f>
        <v/>
      </c>
      <c r="AO32" s="2">
        <f>N(K32)+N(U32)+N(AE32)</f>
        <v/>
      </c>
      <c r="AP32" s="2">
        <f>N(L32)+N(V32)+N(AF32)</f>
        <v/>
      </c>
      <c r="AQ32" s="2">
        <f>N(M32)+N(W32)+N(AG32)</f>
        <v/>
      </c>
      <c r="AR32" s="2">
        <f>N(N32)+N(X32)+N(AH32)</f>
        <v/>
      </c>
      <c r="AS32" s="2">
        <f>N(O32)+N(Y32)+N(AI32)</f>
        <v/>
      </c>
      <c r="AT32" s="2">
        <f>N(P32)+N(Z32)+N(AJ32)</f>
        <v/>
      </c>
      <c r="AU32" s="2">
        <f>N(Q32)+N(AA32)+N(AK32)</f>
        <v/>
      </c>
      <c r="AV32" s="2">
        <f>N(R32)+N(AB32)+N(AL32)</f>
        <v/>
      </c>
      <c r="AW32" s="2">
        <f>SUM(I32:R32)</f>
        <v/>
      </c>
      <c r="AX32" s="2">
        <f>SUM(S32:AB32)</f>
        <v/>
      </c>
      <c r="AY32" s="2">
        <f>SUM(AC32:AL32)</f>
        <v/>
      </c>
    </row>
    <row r="33">
      <c r="A33" s="2" t="inlineStr">
        <is>
          <t>waste_bowl|both|bowls</t>
        </is>
      </c>
      <c r="B33" s="2" t="inlineStr">
        <is>
          <t>Waste bowl</t>
        </is>
      </c>
      <c r="C33" s="2" t="inlineStr">
        <is>
          <t>废料盆</t>
        </is>
      </c>
      <c r="D33" s="2" t="inlineStr">
        <is>
          <t>Buy: reusable</t>
        </is>
      </c>
      <c r="E33" s="2" t="inlineStr">
        <is>
          <t>Both plans</t>
        </is>
      </c>
      <c r="F33" s="2" t="inlineStr">
        <is>
          <t>Reusable</t>
        </is>
      </c>
      <c r="G33" s="2" t="inlineStr">
        <is>
          <t>bowls</t>
        </is>
      </c>
      <c r="H33" s="2">
        <f>IF(OR($E33="Both plans",'Read me'!$C$9="A and B",AND($E33="Plan A (freezer)",'Read me'!$C$9="A"),AND($E33="Plan B (no freezer)",'Read me'!$C$9="B")),1,0)</f>
        <v/>
      </c>
      <c r="I33" s="2" t="n"/>
      <c r="J33" s="2" t="n"/>
      <c r="K33" s="2" t="n"/>
      <c r="L33" s="2" t="n"/>
      <c r="M33" s="2" t="n"/>
      <c r="N33" s="2" t="n"/>
      <c r="O33" s="2" t="n"/>
      <c r="P33" s="2" t="n">
        <v>6</v>
      </c>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f>N(I33)+N(S33)+N(AC33)</f>
        <v/>
      </c>
      <c r="AN33" s="2">
        <f>N(J33)+N(T33)+N(AD33)</f>
        <v/>
      </c>
      <c r="AO33" s="2">
        <f>N(K33)+N(U33)+N(AE33)</f>
        <v/>
      </c>
      <c r="AP33" s="2">
        <f>N(L33)+N(V33)+N(AF33)</f>
        <v/>
      </c>
      <c r="AQ33" s="2">
        <f>N(M33)+N(W33)+N(AG33)</f>
        <v/>
      </c>
      <c r="AR33" s="2">
        <f>N(N33)+N(X33)+N(AH33)</f>
        <v/>
      </c>
      <c r="AS33" s="2">
        <f>N(O33)+N(Y33)+N(AI33)</f>
        <v/>
      </c>
      <c r="AT33" s="2">
        <f>N(P33)+N(Z33)+N(AJ33)</f>
        <v/>
      </c>
      <c r="AU33" s="2">
        <f>N(Q33)+N(AA33)+N(AK33)</f>
        <v/>
      </c>
      <c r="AV33" s="2">
        <f>N(R33)+N(AB33)+N(AL33)</f>
        <v/>
      </c>
      <c r="AW33" s="2">
        <f>SUM(I33:R33)</f>
        <v/>
      </c>
      <c r="AX33" s="2">
        <f>SUM(S33:AB33)</f>
        <v/>
      </c>
      <c r="AY33" s="2">
        <f>SUM(AC33:AL33)</f>
        <v/>
      </c>
    </row>
    <row r="34">
      <c r="A34" s="2" t="inlineStr">
        <is>
          <t>bell_signal|both|bell</t>
        </is>
      </c>
      <c r="B34" s="2" t="inlineStr">
        <is>
          <t>Bell, hand bell or desk bell (timing signal)</t>
        </is>
      </c>
      <c r="C34" s="2" t="inlineStr">
        <is>
          <t>手摇铃或桌铃（计时提示用）</t>
        </is>
      </c>
      <c r="D34" s="2" t="inlineStr">
        <is>
          <t>Buy: reusable</t>
        </is>
      </c>
      <c r="E34" s="2" t="inlineStr">
        <is>
          <t>Both plans</t>
        </is>
      </c>
      <c r="F34" s="2" t="inlineStr">
        <is>
          <t>Reusable</t>
        </is>
      </c>
      <c r="G34" s="2" t="inlineStr">
        <is>
          <t>bell</t>
        </is>
      </c>
      <c r="H34" s="2">
        <f>IF(OR($E34="Both plans",'Read me'!$C$9="A and B",AND($E34="Plan A (freezer)",'Read me'!$C$9="A"),AND($E34="Plan B (no freezer)",'Read me'!$C$9="B")),1,0)</f>
        <v/>
      </c>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v>1</v>
      </c>
      <c r="AM34" s="2">
        <f>N(I34)+N(S34)+N(AC34)</f>
        <v/>
      </c>
      <c r="AN34" s="2">
        <f>N(J34)+N(T34)+N(AD34)</f>
        <v/>
      </c>
      <c r="AO34" s="2">
        <f>N(K34)+N(U34)+N(AE34)</f>
        <v/>
      </c>
      <c r="AP34" s="2">
        <f>N(L34)+N(V34)+N(AF34)</f>
        <v/>
      </c>
      <c r="AQ34" s="2">
        <f>N(M34)+N(W34)+N(AG34)</f>
        <v/>
      </c>
      <c r="AR34" s="2">
        <f>N(N34)+N(X34)+N(AH34)</f>
        <v/>
      </c>
      <c r="AS34" s="2">
        <f>N(O34)+N(Y34)+N(AI34)</f>
        <v/>
      </c>
      <c r="AT34" s="2">
        <f>N(P34)+N(Z34)+N(AJ34)</f>
        <v/>
      </c>
      <c r="AU34" s="2">
        <f>N(Q34)+N(AA34)+N(AK34)</f>
        <v/>
      </c>
      <c r="AV34" s="2">
        <f>N(R34)+N(AB34)+N(AL34)</f>
        <v/>
      </c>
      <c r="AW34" s="2">
        <f>SUM(I34:R34)</f>
        <v/>
      </c>
      <c r="AX34" s="2">
        <f>SUM(S34:AB34)</f>
        <v/>
      </c>
      <c r="AY34" s="2">
        <f>SUM(AC34:AL34)</f>
        <v/>
      </c>
    </row>
    <row r="35">
      <c r="A35" s="2" t="inlineStr">
        <is>
          <t>paper_a3_white|both|sheets</t>
        </is>
      </c>
      <c r="B35" s="2" t="inlineStr">
        <is>
          <t>A3 paper, white, 80 gsm</t>
        </is>
      </c>
      <c r="C35" s="2" t="inlineStr">
        <is>
          <t>A3复印纸（白色，80克）</t>
        </is>
      </c>
      <c r="D35" s="2" t="inlineStr">
        <is>
          <t>Stationery and card</t>
        </is>
      </c>
      <c r="E35" s="2" t="inlineStr">
        <is>
          <t>Both plans</t>
        </is>
      </c>
      <c r="F35" s="2" t="inlineStr">
        <is>
          <t>Used up</t>
        </is>
      </c>
      <c r="G35" s="2" t="inlineStr">
        <is>
          <t>sheets</t>
        </is>
      </c>
      <c r="H35" s="2">
        <f>IF(OR($E35="Both plans",'Read me'!$C$9="A and B",AND($E35="Plan A (freezer)",'Read me'!$C$9="A"),AND($E35="Plan B (no freezer)",'Read me'!$C$9="B")),1,0)</f>
        <v/>
      </c>
      <c r="I35" s="2" t="n">
        <v>3</v>
      </c>
      <c r="J35" s="2" t="n">
        <v>1</v>
      </c>
      <c r="K35" s="2" t="n"/>
      <c r="L35" s="2" t="n"/>
      <c r="M35" s="2" t="n"/>
      <c r="N35" s="2" t="n">
        <v>9</v>
      </c>
      <c r="O35" s="2" t="n">
        <v>1</v>
      </c>
      <c r="P35" s="2" t="n">
        <v>1</v>
      </c>
      <c r="Q35" s="2" t="n">
        <v>8</v>
      </c>
      <c r="R35" s="2" t="n"/>
      <c r="S35" s="2" t="n">
        <v>4</v>
      </c>
      <c r="T35" s="2" t="n"/>
      <c r="U35" s="2" t="n"/>
      <c r="V35" s="2" t="n">
        <v>1</v>
      </c>
      <c r="W35" s="2" t="n">
        <v>1</v>
      </c>
      <c r="X35" s="2" t="n"/>
      <c r="Y35" s="2" t="n"/>
      <c r="Z35" s="2" t="n">
        <v>1</v>
      </c>
      <c r="AA35" s="2" t="n">
        <v>13</v>
      </c>
      <c r="AB35" s="2" t="n"/>
      <c r="AC35" s="2" t="n">
        <v>6</v>
      </c>
      <c r="AD35" s="2" t="n"/>
      <c r="AE35" s="2" t="n"/>
      <c r="AF35" s="2" t="n">
        <v>1</v>
      </c>
      <c r="AG35" s="2" t="n"/>
      <c r="AH35" s="2" t="n">
        <v>2</v>
      </c>
      <c r="AI35" s="2" t="n">
        <v>8</v>
      </c>
      <c r="AJ35" s="2" t="n"/>
      <c r="AK35" s="2" t="n">
        <v>12</v>
      </c>
      <c r="AL35" s="2" t="n">
        <v>1</v>
      </c>
      <c r="AM35" s="2">
        <f>N(I35)+N(S35)+N(AC35)</f>
        <v/>
      </c>
      <c r="AN35" s="2">
        <f>N(J35)+N(T35)+N(AD35)</f>
        <v/>
      </c>
      <c r="AO35" s="2">
        <f>N(K35)+N(U35)+N(AE35)</f>
        <v/>
      </c>
      <c r="AP35" s="2">
        <f>N(L35)+N(V35)+N(AF35)</f>
        <v/>
      </c>
      <c r="AQ35" s="2">
        <f>N(M35)+N(W35)+N(AG35)</f>
        <v/>
      </c>
      <c r="AR35" s="2">
        <f>N(N35)+N(X35)+N(AH35)</f>
        <v/>
      </c>
      <c r="AS35" s="2">
        <f>N(O35)+N(Y35)+N(AI35)</f>
        <v/>
      </c>
      <c r="AT35" s="2">
        <f>N(P35)+N(Z35)+N(AJ35)</f>
        <v/>
      </c>
      <c r="AU35" s="2">
        <f>N(Q35)+N(AA35)+N(AK35)</f>
        <v/>
      </c>
      <c r="AV35" s="2">
        <f>N(R35)+N(AB35)+N(AL35)</f>
        <v/>
      </c>
      <c r="AW35" s="2">
        <f>SUM(I35:R35)</f>
        <v/>
      </c>
      <c r="AX35" s="2">
        <f>SUM(S35:AB35)</f>
        <v/>
      </c>
      <c r="AY35" s="2">
        <f>SUM(AC35:AL35)</f>
        <v/>
      </c>
    </row>
    <row r="36">
      <c r="A36" s="2" t="inlineStr">
        <is>
          <t>folder_a4_case_file|both|folders</t>
        </is>
      </c>
      <c r="B36" s="2" t="inlineStr">
        <is>
          <t>A4 folders for case files</t>
        </is>
      </c>
      <c r="C36" s="2" t="inlineStr">
        <is>
          <t>A4文件夹（案件档案用）</t>
        </is>
      </c>
      <c r="D36" s="2" t="inlineStr">
        <is>
          <t>Stationery and card</t>
        </is>
      </c>
      <c r="E36" s="2" t="inlineStr">
        <is>
          <t>Both plans</t>
        </is>
      </c>
      <c r="F36" s="2" t="inlineStr">
        <is>
          <t>Used up</t>
        </is>
      </c>
      <c r="G36" s="2" t="inlineStr">
        <is>
          <t>folders</t>
        </is>
      </c>
      <c r="H36" s="2">
        <f>IF(OR($E36="Both plans",'Read me'!$C$9="A and B",AND($E36="Plan A (freezer)",'Read me'!$C$9="A"),AND($E36="Plan B (no freezer)",'Read me'!$C$9="B")),1,0)</f>
        <v/>
      </c>
      <c r="I36" s="2" t="n"/>
      <c r="J36" s="2" t="n"/>
      <c r="K36" s="2" t="n"/>
      <c r="L36" s="2" t="n"/>
      <c r="M36" s="2" t="n"/>
      <c r="N36" s="2" t="n"/>
      <c r="O36" s="2" t="n"/>
      <c r="P36" s="2" t="n"/>
      <c r="Q36" s="2" t="n"/>
      <c r="R36" s="2" t="n"/>
      <c r="S36" s="2" t="n">
        <v>24</v>
      </c>
      <c r="T36" s="2" t="n"/>
      <c r="U36" s="2" t="n"/>
      <c r="V36" s="2" t="n"/>
      <c r="W36" s="2" t="n"/>
      <c r="X36" s="2" t="n"/>
      <c r="Y36" s="2" t="n"/>
      <c r="Z36" s="2" t="n"/>
      <c r="AA36" s="2" t="n"/>
      <c r="AB36" s="2" t="n"/>
      <c r="AC36" s="2" t="n"/>
      <c r="AD36" s="2" t="n"/>
      <c r="AE36" s="2" t="n"/>
      <c r="AF36" s="2" t="n"/>
      <c r="AG36" s="2" t="n"/>
      <c r="AH36" s="2" t="n"/>
      <c r="AI36" s="2" t="n"/>
      <c r="AJ36" s="2" t="n"/>
      <c r="AK36" s="2" t="n"/>
      <c r="AL36" s="2" t="n"/>
      <c r="AM36" s="2">
        <f>N(I36)+N(S36)+N(AC36)</f>
        <v/>
      </c>
      <c r="AN36" s="2">
        <f>N(J36)+N(T36)+N(AD36)</f>
        <v/>
      </c>
      <c r="AO36" s="2">
        <f>N(K36)+N(U36)+N(AE36)</f>
        <v/>
      </c>
      <c r="AP36" s="2">
        <f>N(L36)+N(V36)+N(AF36)</f>
        <v/>
      </c>
      <c r="AQ36" s="2">
        <f>N(M36)+N(W36)+N(AG36)</f>
        <v/>
      </c>
      <c r="AR36" s="2">
        <f>N(N36)+N(X36)+N(AH36)</f>
        <v/>
      </c>
      <c r="AS36" s="2">
        <f>N(O36)+N(Y36)+N(AI36)</f>
        <v/>
      </c>
      <c r="AT36" s="2">
        <f>N(P36)+N(Z36)+N(AJ36)</f>
        <v/>
      </c>
      <c r="AU36" s="2">
        <f>N(Q36)+N(AA36)+N(AK36)</f>
        <v/>
      </c>
      <c r="AV36" s="2">
        <f>N(R36)+N(AB36)+N(AL36)</f>
        <v/>
      </c>
      <c r="AW36" s="2">
        <f>SUM(I36:R36)</f>
        <v/>
      </c>
      <c r="AX36" s="2">
        <f>SUM(S36:AB36)</f>
        <v/>
      </c>
      <c r="AY36" s="2">
        <f>SUM(AC36:AL36)</f>
        <v/>
      </c>
    </row>
    <row r="37">
      <c r="A37" s="2" t="inlineStr">
        <is>
          <t>envelope_c4|both|envelopes</t>
        </is>
      </c>
      <c r="B37" s="2" t="inlineStr">
        <is>
          <t>Envelopes, C4 (for A4)</t>
        </is>
      </c>
      <c r="C37" s="2" t="inlineStr">
        <is>
          <t>C4信封（可平放A4纸）</t>
        </is>
      </c>
      <c r="D37" s="2" t="inlineStr">
        <is>
          <t>Stationery and card</t>
        </is>
      </c>
      <c r="E37" s="2" t="inlineStr">
        <is>
          <t>Both plans</t>
        </is>
      </c>
      <c r="F37" s="2" t="inlineStr">
        <is>
          <t>Reusable</t>
        </is>
      </c>
      <c r="G37" s="2" t="inlineStr">
        <is>
          <t>envelopes</t>
        </is>
      </c>
      <c r="H37" s="2">
        <f>IF(OR($E37="Both plans",'Read me'!$C$9="A and B",AND($E37="Plan A (freezer)",'Read me'!$C$9="A"),AND($E37="Plan B (no freezer)",'Read me'!$C$9="B")),1,0)</f>
        <v/>
      </c>
      <c r="I37" s="2" t="n">
        <v>18</v>
      </c>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f>N(I37)+N(S37)+N(AC37)</f>
        <v/>
      </c>
      <c r="AN37" s="2">
        <f>N(J37)+N(T37)+N(AD37)</f>
        <v/>
      </c>
      <c r="AO37" s="2">
        <f>N(K37)+N(U37)+N(AE37)</f>
        <v/>
      </c>
      <c r="AP37" s="2">
        <f>N(L37)+N(V37)+N(AF37)</f>
        <v/>
      </c>
      <c r="AQ37" s="2">
        <f>N(M37)+N(W37)+N(AG37)</f>
        <v/>
      </c>
      <c r="AR37" s="2">
        <f>N(N37)+N(X37)+N(AH37)</f>
        <v/>
      </c>
      <c r="AS37" s="2">
        <f>N(O37)+N(Y37)+N(AI37)</f>
        <v/>
      </c>
      <c r="AT37" s="2">
        <f>N(P37)+N(Z37)+N(AJ37)</f>
        <v/>
      </c>
      <c r="AU37" s="2">
        <f>N(Q37)+N(AA37)+N(AK37)</f>
        <v/>
      </c>
      <c r="AV37" s="2">
        <f>N(R37)+N(AB37)+N(AL37)</f>
        <v/>
      </c>
      <c r="AW37" s="2">
        <f>SUM(I37:R37)</f>
        <v/>
      </c>
      <c r="AX37" s="2">
        <f>SUM(S37:AB37)</f>
        <v/>
      </c>
      <c r="AY37" s="2">
        <f>SUM(AC37:AL37)</f>
        <v/>
      </c>
    </row>
    <row r="38">
      <c r="A38" s="2" t="inlineStr">
        <is>
          <t>envelope_c6|both|envelopes</t>
        </is>
      </c>
      <c r="B38" s="2" t="inlineStr">
        <is>
          <t>Envelopes, C6 (for small card sets)</t>
        </is>
      </c>
      <c r="C38" s="2" t="inlineStr">
        <is>
          <t>C6信封（可装A6及名片大小卡片）</t>
        </is>
      </c>
      <c r="D38" s="2" t="inlineStr">
        <is>
          <t>Stationery and card</t>
        </is>
      </c>
      <c r="E38" s="2" t="inlineStr">
        <is>
          <t>Both plans</t>
        </is>
      </c>
      <c r="F38" s="2" t="inlineStr">
        <is>
          <t>Reusable</t>
        </is>
      </c>
      <c r="G38" s="2" t="inlineStr">
        <is>
          <t>envelopes</t>
        </is>
      </c>
      <c r="H38" s="2">
        <f>IF(OR($E38="Both plans",'Read me'!$C$9="A and B",AND($E38="Plan A (freezer)",'Read me'!$C$9="A"),AND($E38="Plan B (no freezer)",'Read me'!$C$9="B")),1,0)</f>
        <v/>
      </c>
      <c r="I38" s="2" t="n"/>
      <c r="J38" s="2" t="n">
        <v>6</v>
      </c>
      <c r="K38" s="2" t="n"/>
      <c r="L38" s="2" t="n"/>
      <c r="M38" s="2" t="n"/>
      <c r="N38" s="2" t="n"/>
      <c r="O38" s="2" t="n"/>
      <c r="P38" s="2" t="n"/>
      <c r="Q38" s="2" t="n"/>
      <c r="R38" s="2" t="n"/>
      <c r="S38" s="2" t="n"/>
      <c r="T38" s="2" t="n"/>
      <c r="U38" s="2" t="n"/>
      <c r="V38" s="2" t="n"/>
      <c r="W38" s="2" t="n"/>
      <c r="X38" s="2" t="n"/>
      <c r="Y38" s="2" t="n"/>
      <c r="Z38" s="2" t="n"/>
      <c r="AA38" s="2" t="n"/>
      <c r="AB38" s="2" t="n"/>
      <c r="AC38" s="2" t="n">
        <v>6</v>
      </c>
      <c r="AD38" s="2" t="n">
        <v>6</v>
      </c>
      <c r="AE38" s="2" t="n"/>
      <c r="AF38" s="2" t="n">
        <v>6</v>
      </c>
      <c r="AG38" s="2" t="n"/>
      <c r="AH38" s="2" t="n"/>
      <c r="AI38" s="2" t="n">
        <v>6</v>
      </c>
      <c r="AJ38" s="2" t="n"/>
      <c r="AK38" s="2" t="n"/>
      <c r="AL38" s="2" t="n">
        <v>2</v>
      </c>
      <c r="AM38" s="2">
        <f>N(I38)+N(S38)+N(AC38)</f>
        <v/>
      </c>
      <c r="AN38" s="2">
        <f>N(J38)+N(T38)+N(AD38)</f>
        <v/>
      </c>
      <c r="AO38" s="2">
        <f>N(K38)+N(U38)+N(AE38)</f>
        <v/>
      </c>
      <c r="AP38" s="2">
        <f>N(L38)+N(V38)+N(AF38)</f>
        <v/>
      </c>
      <c r="AQ38" s="2">
        <f>N(M38)+N(W38)+N(AG38)</f>
        <v/>
      </c>
      <c r="AR38" s="2">
        <f>N(N38)+N(X38)+N(AH38)</f>
        <v/>
      </c>
      <c r="AS38" s="2">
        <f>N(O38)+N(Y38)+N(AI38)</f>
        <v/>
      </c>
      <c r="AT38" s="2">
        <f>N(P38)+N(Z38)+N(AJ38)</f>
        <v/>
      </c>
      <c r="AU38" s="2">
        <f>N(Q38)+N(AA38)+N(AK38)</f>
        <v/>
      </c>
      <c r="AV38" s="2">
        <f>N(R38)+N(AB38)+N(AL38)</f>
        <v/>
      </c>
      <c r="AW38" s="2">
        <f>SUM(I38:R38)</f>
        <v/>
      </c>
      <c r="AX38" s="2">
        <f>SUM(S38:AB38)</f>
        <v/>
      </c>
      <c r="AY38" s="2">
        <f>SUM(AC38:AL38)</f>
        <v/>
      </c>
    </row>
    <row r="39">
      <c r="A39" s="2" t="inlineStr">
        <is>
          <t>group_role_cards_y9|both|sets of 5</t>
        </is>
      </c>
      <c r="B39" s="2" t="inlineStr">
        <is>
          <t>Group role cards (Year 9)</t>
        </is>
      </c>
      <c r="C39" s="2" t="inlineStr">
        <is>
          <t>小组角色卡（九年级）</t>
        </is>
      </c>
      <c r="D39" s="2" t="inlineStr">
        <is>
          <t>Stationery and card</t>
        </is>
      </c>
      <c r="E39" s="2" t="inlineStr">
        <is>
          <t>Both plans</t>
        </is>
      </c>
      <c r="F39" s="2" t="inlineStr">
        <is>
          <t>Kept by class</t>
        </is>
      </c>
      <c r="G39" s="2" t="inlineStr">
        <is>
          <t>sets of 5</t>
        </is>
      </c>
      <c r="H39" s="2">
        <f>IF(OR($E39="Both plans",'Read me'!$C$9="A and B",AND($E39="Plan A (freezer)",'Read me'!$C$9="A"),AND($E39="Plan B (no freezer)",'Read me'!$C$9="B")),1,0)</f>
        <v/>
      </c>
      <c r="I39" s="2" t="n"/>
      <c r="J39" s="2" t="n"/>
      <c r="K39" s="2" t="n"/>
      <c r="L39" s="2" t="n"/>
      <c r="M39" s="2" t="n"/>
      <c r="N39" s="2" t="n"/>
      <c r="O39" s="2" t="n"/>
      <c r="P39" s="2" t="n"/>
      <c r="Q39" s="2" t="n"/>
      <c r="R39" s="2" t="n"/>
      <c r="S39" s="2" t="n"/>
      <c r="T39" s="2" t="n"/>
      <c r="U39" s="2" t="n"/>
      <c r="V39" s="2" t="n"/>
      <c r="W39" s="2" t="n"/>
      <c r="X39" s="2" t="n"/>
      <c r="Y39" s="2" t="n"/>
      <c r="Z39" s="2" t="n"/>
      <c r="AA39" s="2" t="n"/>
      <c r="AB39" s="2" t="n"/>
      <c r="AC39" s="2" t="n">
        <v>6</v>
      </c>
      <c r="AD39" s="2" t="n"/>
      <c r="AE39" s="2" t="n"/>
      <c r="AF39" s="2" t="n"/>
      <c r="AG39" s="2" t="n"/>
      <c r="AH39" s="2" t="n"/>
      <c r="AI39" s="2" t="n"/>
      <c r="AJ39" s="2" t="n"/>
      <c r="AK39" s="2" t="n"/>
      <c r="AL39" s="2" t="n"/>
      <c r="AM39" s="2">
        <f>N(I39)+N(S39)+N(AC39)</f>
        <v/>
      </c>
      <c r="AN39" s="2">
        <f>N(J39)+N(T39)+N(AD39)</f>
        <v/>
      </c>
      <c r="AO39" s="2">
        <f>N(K39)+N(U39)+N(AE39)</f>
        <v/>
      </c>
      <c r="AP39" s="2">
        <f>N(L39)+N(V39)+N(AF39)</f>
        <v/>
      </c>
      <c r="AQ39" s="2">
        <f>N(M39)+N(W39)+N(AG39)</f>
        <v/>
      </c>
      <c r="AR39" s="2">
        <f>N(N39)+N(X39)+N(AH39)</f>
        <v/>
      </c>
      <c r="AS39" s="2">
        <f>N(O39)+N(Y39)+N(AI39)</f>
        <v/>
      </c>
      <c r="AT39" s="2">
        <f>N(P39)+N(Z39)+N(AJ39)</f>
        <v/>
      </c>
      <c r="AU39" s="2">
        <f>N(Q39)+N(AA39)+N(AK39)</f>
        <v/>
      </c>
      <c r="AV39" s="2">
        <f>N(R39)+N(AB39)+N(AL39)</f>
        <v/>
      </c>
      <c r="AW39" s="2">
        <f>SUM(I39:R39)</f>
        <v/>
      </c>
      <c r="AX39" s="2">
        <f>SUM(S39:AB39)</f>
        <v/>
      </c>
      <c r="AY39" s="2">
        <f>SUM(AC39:AL39)</f>
        <v/>
      </c>
    </row>
    <row r="40">
      <c r="A40" s="2" t="inlineStr">
        <is>
          <t>laminating_pouch_a3|both|pouches</t>
        </is>
      </c>
      <c r="B40" s="2" t="inlineStr">
        <is>
          <t>Laminating pouches, A3</t>
        </is>
      </c>
      <c r="C40" s="2" t="inlineStr">
        <is>
          <t>塑封膜 A3</t>
        </is>
      </c>
      <c r="D40" s="2" t="inlineStr">
        <is>
          <t>Stationery and card</t>
        </is>
      </c>
      <c r="E40" s="2" t="inlineStr">
        <is>
          <t>Both plans</t>
        </is>
      </c>
      <c r="F40" s="2" t="inlineStr">
        <is>
          <t>Used up</t>
        </is>
      </c>
      <c r="G40" s="2" t="inlineStr">
        <is>
          <t>pouches</t>
        </is>
      </c>
      <c r="H40" s="2">
        <f>IF(OR($E40="Both plans",'Read me'!$C$9="A and B",AND($E40="Plan A (freezer)",'Read me'!$C$9="A"),AND($E40="Plan B (no freezer)",'Read me'!$C$9="B")),1,0)</f>
        <v/>
      </c>
      <c r="I40" s="2" t="n"/>
      <c r="J40" s="2" t="n"/>
      <c r="K40" s="2" t="n"/>
      <c r="L40" s="2" t="n"/>
      <c r="M40" s="2" t="n"/>
      <c r="N40" s="2" t="n">
        <v>1</v>
      </c>
      <c r="O40" s="2" t="n">
        <v>1</v>
      </c>
      <c r="P40" s="2" t="n"/>
      <c r="Q40" s="2" t="n"/>
      <c r="R40" s="2" t="n"/>
      <c r="S40" s="2" t="n"/>
      <c r="T40" s="2" t="n"/>
      <c r="U40" s="2" t="n"/>
      <c r="V40" s="2" t="n"/>
      <c r="W40" s="2" t="n"/>
      <c r="X40" s="2" t="n"/>
      <c r="Y40" s="2" t="n"/>
      <c r="Z40" s="2" t="n"/>
      <c r="AA40" s="2" t="n"/>
      <c r="AB40" s="2" t="n"/>
      <c r="AC40" s="2" t="n">
        <v>6</v>
      </c>
      <c r="AD40" s="2" t="n"/>
      <c r="AE40" s="2" t="n"/>
      <c r="AF40" s="2" t="n"/>
      <c r="AG40" s="2" t="n"/>
      <c r="AH40" s="2" t="n"/>
      <c r="AI40" s="2" t="n"/>
      <c r="AJ40" s="2" t="n"/>
      <c r="AK40" s="2" t="n"/>
      <c r="AL40" s="2" t="n"/>
      <c r="AM40" s="2">
        <f>N(I40)+N(S40)+N(AC40)</f>
        <v/>
      </c>
      <c r="AN40" s="2">
        <f>N(J40)+N(T40)+N(AD40)</f>
        <v/>
      </c>
      <c r="AO40" s="2">
        <f>N(K40)+N(U40)+N(AE40)</f>
        <v/>
      </c>
      <c r="AP40" s="2">
        <f>N(L40)+N(V40)+N(AF40)</f>
        <v/>
      </c>
      <c r="AQ40" s="2">
        <f>N(M40)+N(W40)+N(AG40)</f>
        <v/>
      </c>
      <c r="AR40" s="2">
        <f>N(N40)+N(X40)+N(AH40)</f>
        <v/>
      </c>
      <c r="AS40" s="2">
        <f>N(O40)+N(Y40)+N(AI40)</f>
        <v/>
      </c>
      <c r="AT40" s="2">
        <f>N(P40)+N(Z40)+N(AJ40)</f>
        <v/>
      </c>
      <c r="AU40" s="2">
        <f>N(Q40)+N(AA40)+N(AK40)</f>
        <v/>
      </c>
      <c r="AV40" s="2">
        <f>N(R40)+N(AB40)+N(AL40)</f>
        <v/>
      </c>
      <c r="AW40" s="2">
        <f>SUM(I40:R40)</f>
        <v/>
      </c>
      <c r="AX40" s="2">
        <f>SUM(S40:AB40)</f>
        <v/>
      </c>
      <c r="AY40" s="2">
        <f>SUM(AC40:AL40)</f>
        <v/>
      </c>
    </row>
    <row r="41">
      <c r="A41" s="2" t="inlineStr">
        <is>
          <t>laminating_pouch_a4|both|pouches</t>
        </is>
      </c>
      <c r="B41" s="2" t="inlineStr">
        <is>
          <t>Laminating pouches, A4</t>
        </is>
      </c>
      <c r="C41" s="2" t="inlineStr">
        <is>
          <t>塑封膜 A4</t>
        </is>
      </c>
      <c r="D41" s="2" t="inlineStr">
        <is>
          <t>Stationery and card</t>
        </is>
      </c>
      <c r="E41" s="2" t="inlineStr">
        <is>
          <t>Both plans</t>
        </is>
      </c>
      <c r="F41" s="2" t="inlineStr">
        <is>
          <t>Used up</t>
        </is>
      </c>
      <c r="G41" s="2" t="inlineStr">
        <is>
          <t>pouches</t>
        </is>
      </c>
      <c r="H41" s="2">
        <f>IF(OR($E41="Both plans",'Read me'!$C$9="A and B",AND($E41="Plan A (freezer)",'Read me'!$C$9="A"),AND($E41="Plan B (no freezer)",'Read me'!$C$9="B")),1,0)</f>
        <v/>
      </c>
      <c r="I41" s="2" t="n">
        <v>6</v>
      </c>
      <c r="J41" s="2" t="n"/>
      <c r="K41" s="2" t="n"/>
      <c r="L41" s="2" t="n"/>
      <c r="M41" s="2" t="n"/>
      <c r="N41" s="2" t="n"/>
      <c r="O41" s="2" t="n"/>
      <c r="P41" s="2" t="n">
        <v>6</v>
      </c>
      <c r="Q41" s="2" t="n">
        <v>6</v>
      </c>
      <c r="R41" s="2" t="n"/>
      <c r="S41" s="2" t="n">
        <v>6</v>
      </c>
      <c r="T41" s="2" t="n"/>
      <c r="U41" s="2" t="n"/>
      <c r="V41" s="2" t="n"/>
      <c r="W41" s="2" t="n"/>
      <c r="X41" s="2" t="n"/>
      <c r="Y41" s="2" t="n">
        <v>10</v>
      </c>
      <c r="Z41" s="2" t="n"/>
      <c r="AA41" s="2" t="n"/>
      <c r="AB41" s="2" t="n"/>
      <c r="AC41" s="2" t="n"/>
      <c r="AD41" s="2" t="n"/>
      <c r="AE41" s="2" t="n"/>
      <c r="AF41" s="2" t="n"/>
      <c r="AG41" s="2" t="n"/>
      <c r="AH41" s="2" t="n"/>
      <c r="AI41" s="2" t="n"/>
      <c r="AJ41" s="2" t="n">
        <v>8</v>
      </c>
      <c r="AK41" s="2" t="n"/>
      <c r="AL41" s="2" t="n"/>
      <c r="AM41" s="2">
        <f>N(I41)+N(S41)+N(AC41)</f>
        <v/>
      </c>
      <c r="AN41" s="2">
        <f>N(J41)+N(T41)+N(AD41)</f>
        <v/>
      </c>
      <c r="AO41" s="2">
        <f>N(K41)+N(U41)+N(AE41)</f>
        <v/>
      </c>
      <c r="AP41" s="2">
        <f>N(L41)+N(V41)+N(AF41)</f>
        <v/>
      </c>
      <c r="AQ41" s="2">
        <f>N(M41)+N(W41)+N(AG41)</f>
        <v/>
      </c>
      <c r="AR41" s="2">
        <f>N(N41)+N(X41)+N(AH41)</f>
        <v/>
      </c>
      <c r="AS41" s="2">
        <f>N(O41)+N(Y41)+N(AI41)</f>
        <v/>
      </c>
      <c r="AT41" s="2">
        <f>N(P41)+N(Z41)+N(AJ41)</f>
        <v/>
      </c>
      <c r="AU41" s="2">
        <f>N(Q41)+N(AA41)+N(AK41)</f>
        <v/>
      </c>
      <c r="AV41" s="2">
        <f>N(R41)+N(AB41)+N(AL41)</f>
        <v/>
      </c>
      <c r="AW41" s="2">
        <f>SUM(I41:R41)</f>
        <v/>
      </c>
      <c r="AX41" s="2">
        <f>SUM(S41:AB41)</f>
        <v/>
      </c>
      <c r="AY41" s="2">
        <f>SUM(AC41:AL41)</f>
        <v/>
      </c>
    </row>
    <row r="42">
      <c r="A42" s="2" t="inlineStr">
        <is>
          <t>laminating_pouch_a5|both|pouches</t>
        </is>
      </c>
      <c r="B42" s="2" t="inlineStr">
        <is>
          <t>Laminating pouches, A5</t>
        </is>
      </c>
      <c r="C42" s="2" t="inlineStr">
        <is>
          <t>塑封膜 A5</t>
        </is>
      </c>
      <c r="D42" s="2" t="inlineStr">
        <is>
          <t>Stationery and card</t>
        </is>
      </c>
      <c r="E42" s="2" t="inlineStr">
        <is>
          <t>Both plans</t>
        </is>
      </c>
      <c r="F42" s="2" t="inlineStr">
        <is>
          <t>Used up</t>
        </is>
      </c>
      <c r="G42" s="2" t="inlineStr">
        <is>
          <t>pouches</t>
        </is>
      </c>
      <c r="H42" s="2">
        <f>IF(OR($E42="Both plans",'Read me'!$C$9="A and B",AND($E42="Plan A (freezer)",'Read me'!$C$9="A"),AND($E42="Plan B (no freezer)",'Read me'!$C$9="B")),1,0)</f>
        <v/>
      </c>
      <c r="I42" s="2" t="n">
        <v>30</v>
      </c>
      <c r="J42" s="2" t="n"/>
      <c r="K42" s="2" t="n"/>
      <c r="L42" s="2" t="n">
        <v>6</v>
      </c>
      <c r="M42" s="2" t="n"/>
      <c r="N42" s="2" t="n"/>
      <c r="O42" s="2" t="n"/>
      <c r="P42" s="2" t="n">
        <v>2</v>
      </c>
      <c r="Q42" s="2" t="n"/>
      <c r="R42" s="2" t="n"/>
      <c r="S42" s="2" t="n">
        <v>30</v>
      </c>
      <c r="T42" s="2" t="n"/>
      <c r="U42" s="2" t="n">
        <v>6</v>
      </c>
      <c r="V42" s="2" t="n">
        <v>6</v>
      </c>
      <c r="W42" s="2" t="n">
        <v>6</v>
      </c>
      <c r="X42" s="2" t="n">
        <v>7</v>
      </c>
      <c r="Y42" s="2" t="n"/>
      <c r="Z42" s="2" t="n"/>
      <c r="AA42" s="2" t="n"/>
      <c r="AB42" s="2" t="n"/>
      <c r="AC42" s="2" t="n"/>
      <c r="AD42" s="2" t="n"/>
      <c r="AE42" s="2" t="n">
        <v>24</v>
      </c>
      <c r="AF42" s="2" t="n"/>
      <c r="AG42" s="2" t="n">
        <v>6</v>
      </c>
      <c r="AH42" s="2" t="n">
        <v>6</v>
      </c>
      <c r="AI42" s="2" t="n"/>
      <c r="AJ42" s="2" t="n">
        <v>6</v>
      </c>
      <c r="AK42" s="2" t="n">
        <v>6</v>
      </c>
      <c r="AL42" s="2" t="n"/>
      <c r="AM42" s="2">
        <f>N(I42)+N(S42)+N(AC42)</f>
        <v/>
      </c>
      <c r="AN42" s="2">
        <f>N(J42)+N(T42)+N(AD42)</f>
        <v/>
      </c>
      <c r="AO42" s="2">
        <f>N(K42)+N(U42)+N(AE42)</f>
        <v/>
      </c>
      <c r="AP42" s="2">
        <f>N(L42)+N(V42)+N(AF42)</f>
        <v/>
      </c>
      <c r="AQ42" s="2">
        <f>N(M42)+N(W42)+N(AG42)</f>
        <v/>
      </c>
      <c r="AR42" s="2">
        <f>N(N42)+N(X42)+N(AH42)</f>
        <v/>
      </c>
      <c r="AS42" s="2">
        <f>N(O42)+N(Y42)+N(AI42)</f>
        <v/>
      </c>
      <c r="AT42" s="2">
        <f>N(P42)+N(Z42)+N(AJ42)</f>
        <v/>
      </c>
      <c r="AU42" s="2">
        <f>N(Q42)+N(AA42)+N(AK42)</f>
        <v/>
      </c>
      <c r="AV42" s="2">
        <f>N(R42)+N(AB42)+N(AL42)</f>
        <v/>
      </c>
      <c r="AW42" s="2">
        <f>SUM(I42:R42)</f>
        <v/>
      </c>
      <c r="AX42" s="2">
        <f>SUM(S42:AB42)</f>
        <v/>
      </c>
      <c r="AY42" s="2">
        <f>SUM(AC42:AL42)</f>
        <v/>
      </c>
    </row>
    <row r="43">
      <c r="A43" s="2" t="inlineStr">
        <is>
          <t>tape_masking|both|rolls</t>
        </is>
      </c>
      <c r="B43" s="2" t="inlineStr">
        <is>
          <t>Masking tape</t>
        </is>
      </c>
      <c r="C43" s="2" t="inlineStr">
        <is>
          <t>美纹纸胶带</t>
        </is>
      </c>
      <c r="D43" s="2" t="inlineStr">
        <is>
          <t>Stationery and card</t>
        </is>
      </c>
      <c r="E43" s="2" t="inlineStr">
        <is>
          <t>Both plans</t>
        </is>
      </c>
      <c r="F43" s="2" t="inlineStr">
        <is>
          <t>Used up</t>
        </is>
      </c>
      <c r="G43" s="2" t="inlineStr">
        <is>
          <t>rolls</t>
        </is>
      </c>
      <c r="H43" s="2">
        <f>IF(OR($E43="Both plans",'Read me'!$C$9="A and B",AND($E43="Plan A (freezer)",'Read me'!$C$9="A"),AND($E43="Plan B (no freezer)",'Read me'!$C$9="B")),1,0)</f>
        <v/>
      </c>
      <c r="I43" s="2" t="n"/>
      <c r="J43" s="2" t="n">
        <v>1</v>
      </c>
      <c r="K43" s="2" t="n">
        <v>1</v>
      </c>
      <c r="L43" s="2" t="n">
        <v>1</v>
      </c>
      <c r="M43" s="2" t="n"/>
      <c r="N43" s="2" t="n"/>
      <c r="O43" s="2" t="n">
        <v>6</v>
      </c>
      <c r="P43" s="2" t="n"/>
      <c r="Q43" s="2" t="n"/>
      <c r="R43" s="2" t="n"/>
      <c r="S43" s="2" t="n">
        <v>1</v>
      </c>
      <c r="T43" s="2" t="n"/>
      <c r="U43" s="2" t="n"/>
      <c r="V43" s="2" t="n"/>
      <c r="W43" s="2" t="n"/>
      <c r="X43" s="2" t="n">
        <v>1</v>
      </c>
      <c r="Y43" s="2" t="n"/>
      <c r="Z43" s="2" t="n"/>
      <c r="AA43" s="2" t="n"/>
      <c r="AB43" s="2" t="n"/>
      <c r="AC43" s="2" t="n"/>
      <c r="AD43" s="2" t="n"/>
      <c r="AE43" s="2" t="n"/>
      <c r="AF43" s="2" t="n"/>
      <c r="AG43" s="2" t="n"/>
      <c r="AH43" s="2" t="n"/>
      <c r="AI43" s="2" t="n"/>
      <c r="AJ43" s="2" t="n"/>
      <c r="AK43" s="2" t="n"/>
      <c r="AL43" s="2" t="n"/>
      <c r="AM43" s="2">
        <f>N(I43)+N(S43)+N(AC43)</f>
        <v/>
      </c>
      <c r="AN43" s="2">
        <f>N(J43)+N(T43)+N(AD43)</f>
        <v/>
      </c>
      <c r="AO43" s="2">
        <f>N(K43)+N(U43)+N(AE43)</f>
        <v/>
      </c>
      <c r="AP43" s="2">
        <f>N(L43)+N(V43)+N(AF43)</f>
        <v/>
      </c>
      <c r="AQ43" s="2">
        <f>N(M43)+N(W43)+N(AG43)</f>
        <v/>
      </c>
      <c r="AR43" s="2">
        <f>N(N43)+N(X43)+N(AH43)</f>
        <v/>
      </c>
      <c r="AS43" s="2">
        <f>N(O43)+N(Y43)+N(AI43)</f>
        <v/>
      </c>
      <c r="AT43" s="2">
        <f>N(P43)+N(Z43)+N(AJ43)</f>
        <v/>
      </c>
      <c r="AU43" s="2">
        <f>N(Q43)+N(AA43)+N(AK43)</f>
        <v/>
      </c>
      <c r="AV43" s="2">
        <f>N(R43)+N(AB43)+N(AL43)</f>
        <v/>
      </c>
      <c r="AW43" s="2">
        <f>SUM(I43:R43)</f>
        <v/>
      </c>
      <c r="AX43" s="2">
        <f>SUM(S43:AB43)</f>
        <v/>
      </c>
      <c r="AY43" s="2">
        <f>SUM(AC43:AL43)</f>
        <v/>
      </c>
    </row>
    <row r="44">
      <c r="A44" s="2" t="inlineStr">
        <is>
          <t>name_cards|both|cards</t>
        </is>
      </c>
      <c r="B44" s="2" t="inlineStr">
        <is>
          <t>Name cards, one per student</t>
        </is>
      </c>
      <c r="C44" s="2" t="inlineStr">
        <is>
          <t>姓名卡（每人一张）</t>
        </is>
      </c>
      <c r="D44" s="2" t="inlineStr">
        <is>
          <t>Stationery and card</t>
        </is>
      </c>
      <c r="E44" s="2" t="inlineStr">
        <is>
          <t>Both plans</t>
        </is>
      </c>
      <c r="F44" s="2" t="inlineStr">
        <is>
          <t>Kept by class</t>
        </is>
      </c>
      <c r="G44" s="2" t="inlineStr">
        <is>
          <t>cards</t>
        </is>
      </c>
      <c r="H44" s="2">
        <f>IF(OR($E44="Both plans",'Read me'!$C$9="A and B",AND($E44="Plan A (freezer)",'Read me'!$C$9="A"),AND($E44="Plan B (no freezer)",'Read me'!$C$9="B")),1,0)</f>
        <v/>
      </c>
      <c r="I44" s="2" t="n">
        <v>24</v>
      </c>
      <c r="J44" s="2" t="n"/>
      <c r="K44" s="2" t="n"/>
      <c r="L44" s="2" t="n"/>
      <c r="M44" s="2" t="n"/>
      <c r="N44" s="2" t="n"/>
      <c r="O44" s="2" t="n"/>
      <c r="P44" s="2" t="n"/>
      <c r="Q44" s="2" t="n"/>
      <c r="R44" s="2" t="n"/>
      <c r="S44" s="2" t="n">
        <v>24</v>
      </c>
      <c r="T44" s="2" t="n"/>
      <c r="U44" s="2" t="n"/>
      <c r="V44" s="2" t="n"/>
      <c r="W44" s="2" t="n"/>
      <c r="X44" s="2" t="n"/>
      <c r="Y44" s="2" t="n"/>
      <c r="Z44" s="2" t="n"/>
      <c r="AA44" s="2" t="n"/>
      <c r="AB44" s="2" t="n"/>
      <c r="AC44" s="2" t="n"/>
      <c r="AD44" s="2" t="n"/>
      <c r="AE44" s="2" t="n"/>
      <c r="AF44" s="2" t="n"/>
      <c r="AG44" s="2" t="n"/>
      <c r="AH44" s="2" t="n"/>
      <c r="AI44" s="2" t="n"/>
      <c r="AJ44" s="2" t="n"/>
      <c r="AK44" s="2" t="n"/>
      <c r="AL44" s="2" t="n"/>
      <c r="AM44" s="2">
        <f>N(I44)+N(S44)+N(AC44)</f>
        <v/>
      </c>
      <c r="AN44" s="2">
        <f>N(J44)+N(T44)+N(AD44)</f>
        <v/>
      </c>
      <c r="AO44" s="2">
        <f>N(K44)+N(U44)+N(AE44)</f>
        <v/>
      </c>
      <c r="AP44" s="2">
        <f>N(L44)+N(V44)+N(AF44)</f>
        <v/>
      </c>
      <c r="AQ44" s="2">
        <f>N(M44)+N(W44)+N(AG44)</f>
        <v/>
      </c>
      <c r="AR44" s="2">
        <f>N(N44)+N(X44)+N(AH44)</f>
        <v/>
      </c>
      <c r="AS44" s="2">
        <f>N(O44)+N(Y44)+N(AI44)</f>
        <v/>
      </c>
      <c r="AT44" s="2">
        <f>N(P44)+N(Z44)+N(AJ44)</f>
        <v/>
      </c>
      <c r="AU44" s="2">
        <f>N(Q44)+N(AA44)+N(AK44)</f>
        <v/>
      </c>
      <c r="AV44" s="2">
        <f>N(R44)+N(AB44)+N(AL44)</f>
        <v/>
      </c>
      <c r="AW44" s="2">
        <f>SUM(I44:R44)</f>
        <v/>
      </c>
      <c r="AX44" s="2">
        <f>SUM(S44:AB44)</f>
        <v/>
      </c>
      <c r="AY44" s="2">
        <f>SUM(AC44:AL44)</f>
        <v/>
      </c>
    </row>
    <row r="45">
      <c r="A45" s="2" t="inlineStr">
        <is>
          <t>pencils_hb|both|pencils</t>
        </is>
      </c>
      <c r="B45" s="2" t="inlineStr">
        <is>
          <t>Pencils, HB</t>
        </is>
      </c>
      <c r="C45" s="2" t="inlineStr">
        <is>
          <t>铅笔（HB）</t>
        </is>
      </c>
      <c r="D45" s="2" t="inlineStr">
        <is>
          <t>Stationery and card</t>
        </is>
      </c>
      <c r="E45" s="2" t="inlineStr">
        <is>
          <t>Both plans</t>
        </is>
      </c>
      <c r="F45" s="2" t="inlineStr">
        <is>
          <t>Reusable</t>
        </is>
      </c>
      <c r="G45" s="2" t="inlineStr">
        <is>
          <t>pencils</t>
        </is>
      </c>
      <c r="H45" s="2">
        <f>IF(OR($E45="Both plans",'Read me'!$C$9="A and B",AND($E45="Plan A (freezer)",'Read me'!$C$9="A"),AND($E45="Plan B (no freezer)",'Read me'!$C$9="B")),1,0)</f>
        <v/>
      </c>
      <c r="I45" s="2" t="n">
        <v>24</v>
      </c>
      <c r="J45" s="2" t="n">
        <v>24</v>
      </c>
      <c r="K45" s="2" t="n"/>
      <c r="L45" s="2" t="n"/>
      <c r="M45" s="2" t="n">
        <v>24</v>
      </c>
      <c r="N45" s="2" t="n"/>
      <c r="O45" s="2" t="n">
        <v>6</v>
      </c>
      <c r="P45" s="2" t="n"/>
      <c r="Q45" s="2" t="n"/>
      <c r="R45" s="2" t="n">
        <v>26</v>
      </c>
      <c r="S45" s="2" t="n">
        <v>24</v>
      </c>
      <c r="T45" s="2" t="n"/>
      <c r="U45" s="2" t="n">
        <v>30</v>
      </c>
      <c r="V45" s="2" t="n"/>
      <c r="W45" s="2" t="n"/>
      <c r="X45" s="2" t="n">
        <v>24</v>
      </c>
      <c r="Y45" s="2" t="n"/>
      <c r="Z45" s="2" t="n">
        <v>20</v>
      </c>
      <c r="AA45" s="2" t="n"/>
      <c r="AB45" s="2" t="n">
        <v>24</v>
      </c>
      <c r="AC45" s="2" t="n">
        <v>24</v>
      </c>
      <c r="AD45" s="2" t="n"/>
      <c r="AE45" s="2" t="n"/>
      <c r="AF45" s="2" t="n">
        <v>24</v>
      </c>
      <c r="AG45" s="2" t="n"/>
      <c r="AH45" s="2" t="n"/>
      <c r="AI45" s="2" t="n">
        <v>24</v>
      </c>
      <c r="AJ45" s="2" t="n">
        <v>2</v>
      </c>
      <c r="AK45" s="2" t="n">
        <v>24</v>
      </c>
      <c r="AL45" s="2" t="n"/>
      <c r="AM45" s="2">
        <f>N(I45)+N(S45)+N(AC45)</f>
        <v/>
      </c>
      <c r="AN45" s="2">
        <f>N(J45)+N(T45)+N(AD45)</f>
        <v/>
      </c>
      <c r="AO45" s="2">
        <f>N(K45)+N(U45)+N(AE45)</f>
        <v/>
      </c>
      <c r="AP45" s="2">
        <f>N(L45)+N(V45)+N(AF45)</f>
        <v/>
      </c>
      <c r="AQ45" s="2">
        <f>N(M45)+N(W45)+N(AG45)</f>
        <v/>
      </c>
      <c r="AR45" s="2">
        <f>N(N45)+N(X45)+N(AH45)</f>
        <v/>
      </c>
      <c r="AS45" s="2">
        <f>N(O45)+N(Y45)+N(AI45)</f>
        <v/>
      </c>
      <c r="AT45" s="2">
        <f>N(P45)+N(Z45)+N(AJ45)</f>
        <v/>
      </c>
      <c r="AU45" s="2">
        <f>N(Q45)+N(AA45)+N(AK45)</f>
        <v/>
      </c>
      <c r="AV45" s="2">
        <f>N(R45)+N(AB45)+N(AL45)</f>
        <v/>
      </c>
      <c r="AW45" s="2">
        <f>SUM(I45:R45)</f>
        <v/>
      </c>
      <c r="AX45" s="2">
        <f>SUM(S45:AB45)</f>
        <v/>
      </c>
      <c r="AY45" s="2">
        <f>SUM(AC45:AL45)</f>
        <v/>
      </c>
    </row>
    <row r="46">
      <c r="A46" s="2" t="inlineStr">
        <is>
          <t>print_footprint_true_size|both|prints</t>
        </is>
      </c>
      <c r="B46" s="2" t="inlineStr">
        <is>
          <t>Scene footprint print, true size (24 cm), A4</t>
        </is>
      </c>
      <c r="C46" s="2" t="inlineStr">
        <is>
          <t>现场脚印打印图（实际尺寸，24厘米）A4</t>
        </is>
      </c>
      <c r="D46" s="2" t="inlineStr">
        <is>
          <t>Stationery and card</t>
        </is>
      </c>
      <c r="E46" s="2" t="inlineStr">
        <is>
          <t>Both plans</t>
        </is>
      </c>
      <c r="F46" s="2" t="inlineStr">
        <is>
          <t>Used up</t>
        </is>
      </c>
      <c r="G46" s="2" t="inlineStr">
        <is>
          <t>prints</t>
        </is>
      </c>
      <c r="H46" s="2">
        <f>IF(OR($E46="Both plans",'Read me'!$C$9="A and B",AND($E46="Plan A (freezer)",'Read me'!$C$9="A"),AND($E46="Plan B (no freezer)",'Read me'!$C$9="B")),1,0)</f>
        <v/>
      </c>
      <c r="I46" s="2" t="n"/>
      <c r="J46" s="2" t="n"/>
      <c r="K46" s="2" t="n"/>
      <c r="L46" s="2" t="n"/>
      <c r="M46" s="2" t="n"/>
      <c r="N46" s="2" t="n"/>
      <c r="O46" s="2" t="n"/>
      <c r="P46" s="2" t="n"/>
      <c r="Q46" s="2" t="n"/>
      <c r="R46" s="2" t="n"/>
      <c r="S46" s="2" t="n">
        <v>1</v>
      </c>
      <c r="T46" s="2" t="n"/>
      <c r="U46" s="2" t="n"/>
      <c r="V46" s="2" t="n"/>
      <c r="W46" s="2" t="n"/>
      <c r="X46" s="2" t="n">
        <v>7</v>
      </c>
      <c r="Y46" s="2" t="n"/>
      <c r="Z46" s="2" t="n"/>
      <c r="AA46" s="2" t="n"/>
      <c r="AB46" s="2" t="n"/>
      <c r="AC46" s="2" t="n"/>
      <c r="AD46" s="2" t="n"/>
      <c r="AE46" s="2" t="n"/>
      <c r="AF46" s="2" t="n"/>
      <c r="AG46" s="2" t="n"/>
      <c r="AH46" s="2" t="n"/>
      <c r="AI46" s="2" t="n"/>
      <c r="AJ46" s="2" t="n"/>
      <c r="AK46" s="2" t="n"/>
      <c r="AL46" s="2" t="n"/>
      <c r="AM46" s="2">
        <f>N(I46)+N(S46)+N(AC46)</f>
        <v/>
      </c>
      <c r="AN46" s="2">
        <f>N(J46)+N(T46)+N(AD46)</f>
        <v/>
      </c>
      <c r="AO46" s="2">
        <f>N(K46)+N(U46)+N(AE46)</f>
        <v/>
      </c>
      <c r="AP46" s="2">
        <f>N(L46)+N(V46)+N(AF46)</f>
        <v/>
      </c>
      <c r="AQ46" s="2">
        <f>N(M46)+N(W46)+N(AG46)</f>
        <v/>
      </c>
      <c r="AR46" s="2">
        <f>N(N46)+N(X46)+N(AH46)</f>
        <v/>
      </c>
      <c r="AS46" s="2">
        <f>N(O46)+N(Y46)+N(AI46)</f>
        <v/>
      </c>
      <c r="AT46" s="2">
        <f>N(P46)+N(Z46)+N(AJ46)</f>
        <v/>
      </c>
      <c r="AU46" s="2">
        <f>N(Q46)+N(AA46)+N(AK46)</f>
        <v/>
      </c>
      <c r="AV46" s="2">
        <f>N(R46)+N(AB46)+N(AL46)</f>
        <v/>
      </c>
      <c r="AW46" s="2">
        <f>SUM(I46:R46)</f>
        <v/>
      </c>
      <c r="AX46" s="2">
        <f>SUM(S46:AB46)</f>
        <v/>
      </c>
      <c r="AY46" s="2">
        <f>SUM(AC46:AL46)</f>
        <v/>
      </c>
    </row>
    <row r="47">
      <c r="A47" s="2" t="inlineStr">
        <is>
          <t>card_white_a4_160gsm|both|sheets</t>
        </is>
      </c>
      <c r="B47" s="2" t="inlineStr">
        <is>
          <t>White card, A4, 160 gsm</t>
        </is>
      </c>
      <c r="C47" s="2" t="inlineStr">
        <is>
          <t>160克白卡纸 A4</t>
        </is>
      </c>
      <c r="D47" s="2" t="inlineStr">
        <is>
          <t>Stationery and card</t>
        </is>
      </c>
      <c r="E47" s="2" t="inlineStr">
        <is>
          <t>Both plans</t>
        </is>
      </c>
      <c r="F47" s="2" t="inlineStr">
        <is>
          <t>Used up</t>
        </is>
      </c>
      <c r="G47" s="2" t="inlineStr">
        <is>
          <t>sheets</t>
        </is>
      </c>
      <c r="H47" s="2">
        <f>IF(OR($E47="Both plans",'Read me'!$C$9="A and B",AND($E47="Plan A (freezer)",'Read me'!$C$9="A"),AND($E47="Plan B (no freezer)",'Read me'!$C$9="B")),1,0)</f>
        <v/>
      </c>
      <c r="I47" s="2" t="n">
        <v>18</v>
      </c>
      <c r="J47" s="2" t="n">
        <v>12</v>
      </c>
      <c r="K47" s="2" t="n">
        <v>9</v>
      </c>
      <c r="L47" s="2" t="n">
        <v>9</v>
      </c>
      <c r="M47" s="2" t="n">
        <v>3</v>
      </c>
      <c r="N47" s="2" t="n"/>
      <c r="O47" s="2" t="n"/>
      <c r="P47" s="2" t="n"/>
      <c r="Q47" s="2" t="n"/>
      <c r="R47" s="2" t="n">
        <v>27</v>
      </c>
      <c r="S47" s="2" t="n">
        <v>49</v>
      </c>
      <c r="T47" s="2" t="n">
        <v>12</v>
      </c>
      <c r="U47" s="2" t="n"/>
      <c r="V47" s="2" t="n"/>
      <c r="W47" s="2" t="n"/>
      <c r="X47" s="2" t="n"/>
      <c r="Y47" s="2" t="n"/>
      <c r="Z47" s="2" t="n"/>
      <c r="AA47" s="2" t="n">
        <v>6</v>
      </c>
      <c r="AB47" s="2" t="n">
        <v>31</v>
      </c>
      <c r="AC47" s="2" t="n">
        <v>12</v>
      </c>
      <c r="AD47" s="2" t="n"/>
      <c r="AE47" s="2" t="n">
        <v>1</v>
      </c>
      <c r="AF47" s="2" t="n">
        <v>12</v>
      </c>
      <c r="AG47" s="2" t="n"/>
      <c r="AH47" s="2" t="n"/>
      <c r="AI47" s="2" t="n">
        <v>18</v>
      </c>
      <c r="AJ47" s="2" t="n"/>
      <c r="AK47" s="2" t="n"/>
      <c r="AL47" s="2" t="n">
        <v>27</v>
      </c>
      <c r="AM47" s="2">
        <f>N(I47)+N(S47)+N(AC47)</f>
        <v/>
      </c>
      <c r="AN47" s="2">
        <f>N(J47)+N(T47)+N(AD47)</f>
        <v/>
      </c>
      <c r="AO47" s="2">
        <f>N(K47)+N(U47)+N(AE47)</f>
        <v/>
      </c>
      <c r="AP47" s="2">
        <f>N(L47)+N(V47)+N(AF47)</f>
        <v/>
      </c>
      <c r="AQ47" s="2">
        <f>N(M47)+N(W47)+N(AG47)</f>
        <v/>
      </c>
      <c r="AR47" s="2">
        <f>N(N47)+N(X47)+N(AH47)</f>
        <v/>
      </c>
      <c r="AS47" s="2">
        <f>N(O47)+N(Y47)+N(AI47)</f>
        <v/>
      </c>
      <c r="AT47" s="2">
        <f>N(P47)+N(Z47)+N(AJ47)</f>
        <v/>
      </c>
      <c r="AU47" s="2">
        <f>N(Q47)+N(AA47)+N(AK47)</f>
        <v/>
      </c>
      <c r="AV47" s="2">
        <f>N(R47)+N(AB47)+N(AL47)</f>
        <v/>
      </c>
      <c r="AW47" s="2">
        <f>SUM(I47:R47)</f>
        <v/>
      </c>
      <c r="AX47" s="2">
        <f>SUM(S47:AB47)</f>
        <v/>
      </c>
      <c r="AY47" s="2">
        <f>SUM(AC47:AL47)</f>
        <v/>
      </c>
    </row>
    <row r="48">
      <c r="A48" s="2" t="inlineStr">
        <is>
          <t>paper_a4_plain_white|both|sheets</t>
        </is>
      </c>
      <c r="B48" s="2" t="inlineStr">
        <is>
          <t>A4 paper, plain white, 80 gsm</t>
        </is>
      </c>
      <c r="C48" s="2" t="inlineStr">
        <is>
          <t>A4复印纸（白色，80克）</t>
        </is>
      </c>
      <c r="D48" s="2" t="inlineStr">
        <is>
          <t>Stationery and card</t>
        </is>
      </c>
      <c r="E48" s="2" t="inlineStr">
        <is>
          <t>Both plans</t>
        </is>
      </c>
      <c r="F48" s="2" t="inlineStr">
        <is>
          <t>Used up</t>
        </is>
      </c>
      <c r="G48" s="2" t="inlineStr">
        <is>
          <t>sheets</t>
        </is>
      </c>
      <c r="H48" s="2">
        <f>IF(OR($E48="Both plans",'Read me'!$C$9="A and B",AND($E48="Plan A (freezer)",'Read me'!$C$9="A"),AND($E48="Plan B (no freezer)",'Read me'!$C$9="B")),1,0)</f>
        <v/>
      </c>
      <c r="I48" s="2" t="n"/>
      <c r="J48" s="2" t="n">
        <v>3</v>
      </c>
      <c r="K48" s="2" t="n"/>
      <c r="L48" s="2" t="n"/>
      <c r="M48" s="2" t="n"/>
      <c r="N48" s="2" t="n"/>
      <c r="O48" s="2" t="n"/>
      <c r="P48" s="2" t="n"/>
      <c r="Q48" s="2" t="n"/>
      <c r="R48" s="2" t="n"/>
      <c r="S48" s="2" t="n"/>
      <c r="T48" s="2" t="n"/>
      <c r="U48" s="2" t="n"/>
      <c r="V48" s="2" t="n"/>
      <c r="W48" s="2" t="n">
        <v>6</v>
      </c>
      <c r="X48" s="2" t="n"/>
      <c r="Y48" s="2" t="n"/>
      <c r="Z48" s="2" t="n">
        <v>4</v>
      </c>
      <c r="AA48" s="2" t="n"/>
      <c r="AB48" s="2" t="n"/>
      <c r="AC48" s="2" t="n"/>
      <c r="AD48" s="2" t="n"/>
      <c r="AE48" s="2" t="n"/>
      <c r="AF48" s="2" t="n"/>
      <c r="AG48" s="2" t="n"/>
      <c r="AH48" s="2" t="n"/>
      <c r="AI48" s="2" t="n"/>
      <c r="AJ48" s="2" t="n">
        <v>10</v>
      </c>
      <c r="AK48" s="2" t="n"/>
      <c r="AL48" s="2" t="n"/>
      <c r="AM48" s="2">
        <f>N(I48)+N(S48)+N(AC48)</f>
        <v/>
      </c>
      <c r="AN48" s="2">
        <f>N(J48)+N(T48)+N(AD48)</f>
        <v/>
      </c>
      <c r="AO48" s="2">
        <f>N(K48)+N(U48)+N(AE48)</f>
        <v/>
      </c>
      <c r="AP48" s="2">
        <f>N(L48)+N(V48)+N(AF48)</f>
        <v/>
      </c>
      <c r="AQ48" s="2">
        <f>N(M48)+N(W48)+N(AG48)</f>
        <v/>
      </c>
      <c r="AR48" s="2">
        <f>N(N48)+N(X48)+N(AH48)</f>
        <v/>
      </c>
      <c r="AS48" s="2">
        <f>N(O48)+N(Y48)+N(AI48)</f>
        <v/>
      </c>
      <c r="AT48" s="2">
        <f>N(P48)+N(Z48)+N(AJ48)</f>
        <v/>
      </c>
      <c r="AU48" s="2">
        <f>N(Q48)+N(AA48)+N(AK48)</f>
        <v/>
      </c>
      <c r="AV48" s="2">
        <f>N(R48)+N(AB48)+N(AL48)</f>
        <v/>
      </c>
      <c r="AW48" s="2">
        <f>SUM(I48:R48)</f>
        <v/>
      </c>
      <c r="AX48" s="2">
        <f>SUM(S48:AB48)</f>
        <v/>
      </c>
      <c r="AY48" s="2">
        <f>SUM(AC48:AL48)</f>
        <v/>
      </c>
    </row>
    <row r="49">
      <c r="A49" s="2" t="inlineStr">
        <is>
          <t>tape_clear|both|rolls</t>
        </is>
      </c>
      <c r="B49" s="2" t="inlineStr">
        <is>
          <t>Clear sticky tape</t>
        </is>
      </c>
      <c r="C49" s="2" t="inlineStr">
        <is>
          <t>透明胶带</t>
        </is>
      </c>
      <c r="D49" s="2" t="inlineStr">
        <is>
          <t>Stationery and card</t>
        </is>
      </c>
      <c r="E49" s="2" t="inlineStr">
        <is>
          <t>Both plans</t>
        </is>
      </c>
      <c r="F49" s="2" t="inlineStr">
        <is>
          <t>Used up</t>
        </is>
      </c>
      <c r="G49" s="2" t="inlineStr">
        <is>
          <t>rolls</t>
        </is>
      </c>
      <c r="H49" s="2">
        <f>IF(OR($E49="Both plans",'Read me'!$C$9="A and B",AND($E49="Plan A (freezer)",'Read me'!$C$9="A"),AND($E49="Plan B (no freezer)",'Read me'!$C$9="B")),1,0)</f>
        <v/>
      </c>
      <c r="I49" s="2" t="n"/>
      <c r="J49" s="2" t="n"/>
      <c r="K49" s="2" t="n"/>
      <c r="L49" s="2" t="n"/>
      <c r="M49" s="2" t="n"/>
      <c r="N49" s="2" t="n"/>
      <c r="O49" s="2" t="n"/>
      <c r="P49" s="2" t="n"/>
      <c r="Q49" s="2" t="n"/>
      <c r="R49" s="2" t="n"/>
      <c r="S49" s="2" t="n"/>
      <c r="T49" s="2" t="n">
        <v>6</v>
      </c>
      <c r="U49" s="2" t="n">
        <v>6</v>
      </c>
      <c r="V49" s="2" t="n">
        <v>6</v>
      </c>
      <c r="W49" s="2" t="n"/>
      <c r="X49" s="2" t="n"/>
      <c r="Y49" s="2" t="n"/>
      <c r="Z49" s="2" t="n">
        <v>4</v>
      </c>
      <c r="AA49" s="2" t="n"/>
      <c r="AB49" s="2" t="n"/>
      <c r="AC49" s="2" t="n"/>
      <c r="AD49" s="2" t="n"/>
      <c r="AE49" s="2" t="n"/>
      <c r="AF49" s="2" t="n"/>
      <c r="AG49" s="2" t="n"/>
      <c r="AH49" s="2" t="n"/>
      <c r="AI49" s="2" t="n"/>
      <c r="AJ49" s="2" t="n"/>
      <c r="AK49" s="2" t="n"/>
      <c r="AL49" s="2" t="n">
        <v>1</v>
      </c>
      <c r="AM49" s="2">
        <f>N(I49)+N(S49)+N(AC49)</f>
        <v/>
      </c>
      <c r="AN49" s="2">
        <f>N(J49)+N(T49)+N(AD49)</f>
        <v/>
      </c>
      <c r="AO49" s="2">
        <f>N(K49)+N(U49)+N(AE49)</f>
        <v/>
      </c>
      <c r="AP49" s="2">
        <f>N(L49)+N(V49)+N(AF49)</f>
        <v/>
      </c>
      <c r="AQ49" s="2">
        <f>N(M49)+N(W49)+N(AG49)</f>
        <v/>
      </c>
      <c r="AR49" s="2">
        <f>N(N49)+N(X49)+N(AH49)</f>
        <v/>
      </c>
      <c r="AS49" s="2">
        <f>N(O49)+N(Y49)+N(AI49)</f>
        <v/>
      </c>
      <c r="AT49" s="2">
        <f>N(P49)+N(Z49)+N(AJ49)</f>
        <v/>
      </c>
      <c r="AU49" s="2">
        <f>N(Q49)+N(AA49)+N(AK49)</f>
        <v/>
      </c>
      <c r="AV49" s="2">
        <f>N(R49)+N(AB49)+N(AL49)</f>
        <v/>
      </c>
      <c r="AW49" s="2">
        <f>SUM(I49:R49)</f>
        <v/>
      </c>
      <c r="AX49" s="2">
        <f>SUM(S49:AB49)</f>
        <v/>
      </c>
      <c r="AY49" s="2">
        <f>SUM(AC49:AL49)</f>
        <v/>
      </c>
    </row>
    <row r="50">
      <c r="A50" s="2" t="inlineStr">
        <is>
          <t>paper_clips_28mm|both|clips</t>
        </is>
      </c>
      <c r="B50" s="2" t="inlineStr">
        <is>
          <t>Paper clips, standard 28 mm</t>
        </is>
      </c>
      <c r="C50" s="2" t="inlineStr">
        <is>
          <t>回形针（标准28毫米）</t>
        </is>
      </c>
      <c r="D50" s="2" t="inlineStr">
        <is>
          <t>Stationery and card</t>
        </is>
      </c>
      <c r="E50" s="2" t="inlineStr">
        <is>
          <t>Both plans</t>
        </is>
      </c>
      <c r="F50" s="2" t="inlineStr">
        <is>
          <t>Used up</t>
        </is>
      </c>
      <c r="G50" s="2" t="inlineStr">
        <is>
          <t>clips</t>
        </is>
      </c>
      <c r="H50" s="2">
        <f>IF(OR($E50="Both plans",'Read me'!$C$9="A and B",AND($E50="Plan A (freezer)",'Read me'!$C$9="A"),AND($E50="Plan B (no freezer)",'Read me'!$C$9="B")),1,0)</f>
        <v/>
      </c>
      <c r="I50" s="2" t="n"/>
      <c r="J50" s="2" t="n">
        <v>1</v>
      </c>
      <c r="K50" s="2" t="n">
        <v>26</v>
      </c>
      <c r="L50" s="2" t="n">
        <v>12</v>
      </c>
      <c r="M50" s="2" t="n"/>
      <c r="N50" s="2" t="n"/>
      <c r="O50" s="2" t="n"/>
      <c r="P50" s="2" t="n"/>
      <c r="Q50" s="2" t="n"/>
      <c r="R50" s="2" t="n"/>
      <c r="S50" s="2" t="n"/>
      <c r="T50" s="2" t="n"/>
      <c r="U50" s="2" t="n">
        <v>30</v>
      </c>
      <c r="V50" s="2" t="n"/>
      <c r="W50" s="2" t="n"/>
      <c r="X50" s="2" t="n"/>
      <c r="Y50" s="2" t="n"/>
      <c r="Z50" s="2" t="n"/>
      <c r="AA50" s="2" t="n"/>
      <c r="AB50" s="2" t="n"/>
      <c r="AC50" s="2" t="n"/>
      <c r="AD50" s="2" t="n"/>
      <c r="AE50" s="2" t="n"/>
      <c r="AF50" s="2" t="n"/>
      <c r="AG50" s="2" t="n"/>
      <c r="AH50" s="2" t="n"/>
      <c r="AI50" s="2" t="n"/>
      <c r="AJ50" s="2" t="n"/>
      <c r="AK50" s="2" t="n"/>
      <c r="AL50" s="2" t="n"/>
      <c r="AM50" s="2">
        <f>N(I50)+N(S50)+N(AC50)</f>
        <v/>
      </c>
      <c r="AN50" s="2">
        <f>N(J50)+N(T50)+N(AD50)</f>
        <v/>
      </c>
      <c r="AO50" s="2">
        <f>N(K50)+N(U50)+N(AE50)</f>
        <v/>
      </c>
      <c r="AP50" s="2">
        <f>N(L50)+N(V50)+N(AF50)</f>
        <v/>
      </c>
      <c r="AQ50" s="2">
        <f>N(M50)+N(W50)+N(AG50)</f>
        <v/>
      </c>
      <c r="AR50" s="2">
        <f>N(N50)+N(X50)+N(AH50)</f>
        <v/>
      </c>
      <c r="AS50" s="2">
        <f>N(O50)+N(Y50)+N(AI50)</f>
        <v/>
      </c>
      <c r="AT50" s="2">
        <f>N(P50)+N(Z50)+N(AJ50)</f>
        <v/>
      </c>
      <c r="AU50" s="2">
        <f>N(Q50)+N(AA50)+N(AK50)</f>
        <v/>
      </c>
      <c r="AV50" s="2">
        <f>N(R50)+N(AB50)+N(AL50)</f>
        <v/>
      </c>
      <c r="AW50" s="2">
        <f>SUM(I50:R50)</f>
        <v/>
      </c>
      <c r="AX50" s="2">
        <f>SUM(S50:AB50)</f>
        <v/>
      </c>
      <c r="AY50" s="2">
        <f>SUM(AC50:AL50)</f>
        <v/>
      </c>
    </row>
    <row r="51">
      <c r="A51" s="2" t="inlineStr">
        <is>
          <t>marker_permanent_black|both|markers</t>
        </is>
      </c>
      <c r="B51" s="2" t="inlineStr">
        <is>
          <t>Permanent marker pens, black</t>
        </is>
      </c>
      <c r="C51" s="2" t="inlineStr">
        <is>
          <t>黑色油性记号笔</t>
        </is>
      </c>
      <c r="D51" s="2" t="inlineStr">
        <is>
          <t>Stationery and card</t>
        </is>
      </c>
      <c r="E51" s="2" t="inlineStr">
        <is>
          <t>Both plans</t>
        </is>
      </c>
      <c r="F51" s="2" t="inlineStr">
        <is>
          <t>Reusable</t>
        </is>
      </c>
      <c r="G51" s="2" t="inlineStr">
        <is>
          <t>markers</t>
        </is>
      </c>
      <c r="H51" s="2">
        <f>IF(OR($E51="Both plans",'Read me'!$C$9="A and B",AND($E51="Plan A (freezer)",'Read me'!$C$9="A"),AND($E51="Plan B (no freezer)",'Read me'!$C$9="B")),1,0)</f>
        <v/>
      </c>
      <c r="I51" s="2" t="n"/>
      <c r="J51" s="2" t="n">
        <v>1</v>
      </c>
      <c r="K51" s="2" t="n"/>
      <c r="L51" s="2" t="n"/>
      <c r="M51" s="2" t="n">
        <v>1</v>
      </c>
      <c r="N51" s="2" t="n">
        <v>1</v>
      </c>
      <c r="O51" s="2" t="n">
        <v>1</v>
      </c>
      <c r="P51" s="2" t="n">
        <v>1</v>
      </c>
      <c r="Q51" s="2" t="n"/>
      <c r="R51" s="2" t="n"/>
      <c r="S51" s="2" t="n"/>
      <c r="T51" s="2" t="n"/>
      <c r="U51" s="2" t="n"/>
      <c r="V51" s="2" t="n"/>
      <c r="W51" s="2" t="n"/>
      <c r="X51" s="2" t="n"/>
      <c r="Y51" s="2" t="n"/>
      <c r="Z51" s="2" t="n">
        <v>2</v>
      </c>
      <c r="AA51" s="2" t="n"/>
      <c r="AB51" s="2" t="n"/>
      <c r="AC51" s="2" t="n"/>
      <c r="AD51" s="2" t="n"/>
      <c r="AE51" s="2" t="n"/>
      <c r="AF51" s="2" t="n"/>
      <c r="AG51" s="2" t="n"/>
      <c r="AH51" s="2" t="n"/>
      <c r="AI51" s="2" t="n"/>
      <c r="AJ51" s="2" t="n"/>
      <c r="AK51" s="2" t="n"/>
      <c r="AL51" s="2" t="n"/>
      <c r="AM51" s="2">
        <f>N(I51)+N(S51)+N(AC51)</f>
        <v/>
      </c>
      <c r="AN51" s="2">
        <f>N(J51)+N(T51)+N(AD51)</f>
        <v/>
      </c>
      <c r="AO51" s="2">
        <f>N(K51)+N(U51)+N(AE51)</f>
        <v/>
      </c>
      <c r="AP51" s="2">
        <f>N(L51)+N(V51)+N(AF51)</f>
        <v/>
      </c>
      <c r="AQ51" s="2">
        <f>N(M51)+N(W51)+N(AG51)</f>
        <v/>
      </c>
      <c r="AR51" s="2">
        <f>N(N51)+N(X51)+N(AH51)</f>
        <v/>
      </c>
      <c r="AS51" s="2">
        <f>N(O51)+N(Y51)+N(AI51)</f>
        <v/>
      </c>
      <c r="AT51" s="2">
        <f>N(P51)+N(Z51)+N(AJ51)</f>
        <v/>
      </c>
      <c r="AU51" s="2">
        <f>N(Q51)+N(AA51)+N(AK51)</f>
        <v/>
      </c>
      <c r="AV51" s="2">
        <f>N(R51)+N(AB51)+N(AL51)</f>
        <v/>
      </c>
      <c r="AW51" s="2">
        <f>SUM(I51:R51)</f>
        <v/>
      </c>
      <c r="AX51" s="2">
        <f>SUM(S51:AB51)</f>
        <v/>
      </c>
      <c r="AY51" s="2">
        <f>SUM(AC51:AL51)</f>
        <v/>
      </c>
    </row>
    <row r="52">
      <c r="A52" s="2" t="inlineStr">
        <is>
          <t>pencils_soft_2b_4b|both|pencils</t>
        </is>
      </c>
      <c r="B52" s="2" t="inlineStr">
        <is>
          <t>Soft pencils, 2B to 4B</t>
        </is>
      </c>
      <c r="C52" s="2" t="inlineStr">
        <is>
          <t>2B至4B铅笔（软芯）</t>
        </is>
      </c>
      <c r="D52" s="2" t="inlineStr">
        <is>
          <t>Stationery and card</t>
        </is>
      </c>
      <c r="E52" s="2" t="inlineStr">
        <is>
          <t>Both plans</t>
        </is>
      </c>
      <c r="F52" s="2" t="inlineStr">
        <is>
          <t>Reusable</t>
        </is>
      </c>
      <c r="G52" s="2" t="inlineStr">
        <is>
          <t>pencils</t>
        </is>
      </c>
      <c r="H52" s="2">
        <f>IF(OR($E52="Both plans",'Read me'!$C$9="A and B",AND($E52="Plan A (freezer)",'Read me'!$C$9="A"),AND($E52="Plan B (no freezer)",'Read me'!$C$9="B")),1,0)</f>
        <v/>
      </c>
      <c r="I52" s="2" t="n"/>
      <c r="J52" s="2" t="n"/>
      <c r="K52" s="2" t="n"/>
      <c r="L52" s="2" t="n"/>
      <c r="M52" s="2" t="n"/>
      <c r="N52" s="2" t="n"/>
      <c r="O52" s="2" t="n"/>
      <c r="P52" s="2" t="n"/>
      <c r="Q52" s="2" t="n"/>
      <c r="R52" s="2" t="n"/>
      <c r="S52" s="2" t="n"/>
      <c r="T52" s="2" t="n">
        <v>24</v>
      </c>
      <c r="U52" s="2" t="n"/>
      <c r="V52" s="2" t="n"/>
      <c r="W52" s="2" t="n"/>
      <c r="X52" s="2" t="n"/>
      <c r="Y52" s="2" t="n"/>
      <c r="Z52" s="2" t="n"/>
      <c r="AA52" s="2" t="n"/>
      <c r="AB52" s="2" t="n"/>
      <c r="AC52" s="2" t="n"/>
      <c r="AD52" s="2" t="n"/>
      <c r="AE52" s="2" t="n"/>
      <c r="AF52" s="2" t="n"/>
      <c r="AG52" s="2" t="n"/>
      <c r="AH52" s="2" t="n"/>
      <c r="AI52" s="2" t="n"/>
      <c r="AJ52" s="2" t="n"/>
      <c r="AK52" s="2" t="n"/>
      <c r="AL52" s="2" t="n"/>
      <c r="AM52" s="2">
        <f>N(I52)+N(S52)+N(AC52)</f>
        <v/>
      </c>
      <c r="AN52" s="2">
        <f>N(J52)+N(T52)+N(AD52)</f>
        <v/>
      </c>
      <c r="AO52" s="2">
        <f>N(K52)+N(U52)+N(AE52)</f>
        <v/>
      </c>
      <c r="AP52" s="2">
        <f>N(L52)+N(V52)+N(AF52)</f>
        <v/>
      </c>
      <c r="AQ52" s="2">
        <f>N(M52)+N(W52)+N(AG52)</f>
        <v/>
      </c>
      <c r="AR52" s="2">
        <f>N(N52)+N(X52)+N(AH52)</f>
        <v/>
      </c>
      <c r="AS52" s="2">
        <f>N(O52)+N(Y52)+N(AI52)</f>
        <v/>
      </c>
      <c r="AT52" s="2">
        <f>N(P52)+N(Z52)+N(AJ52)</f>
        <v/>
      </c>
      <c r="AU52" s="2">
        <f>N(Q52)+N(AA52)+N(AK52)</f>
        <v/>
      </c>
      <c r="AV52" s="2">
        <f>N(R52)+N(AB52)+N(AL52)</f>
        <v/>
      </c>
      <c r="AW52" s="2">
        <f>SUM(I52:R52)</f>
        <v/>
      </c>
      <c r="AX52" s="2">
        <f>SUM(S52:AB52)</f>
        <v/>
      </c>
      <c r="AY52" s="2">
        <f>SUM(AC52:AL52)</f>
        <v/>
      </c>
    </row>
    <row r="53">
      <c r="A53" s="2" t="inlineStr">
        <is>
          <t>marker_whiteboard|both|pens</t>
        </is>
      </c>
      <c r="B53" s="2" t="inlineStr">
        <is>
          <t>Whiteboard marker (board pen)</t>
        </is>
      </c>
      <c r="C53" s="2" t="inlineStr">
        <is>
          <t>白板笔（教师用）</t>
        </is>
      </c>
      <c r="D53" s="2" t="inlineStr">
        <is>
          <t>Stationery and card</t>
        </is>
      </c>
      <c r="E53" s="2" t="inlineStr">
        <is>
          <t>Both plans</t>
        </is>
      </c>
      <c r="F53" s="2" t="inlineStr">
        <is>
          <t>Reusable</t>
        </is>
      </c>
      <c r="G53" s="2" t="inlineStr">
        <is>
          <t>pens</t>
        </is>
      </c>
      <c r="H53" s="2">
        <f>IF(OR($E53="Both plans",'Read me'!$C$9="A and B",AND($E53="Plan A (freezer)",'Read me'!$C$9="A"),AND($E53="Plan B (no freezer)",'Read me'!$C$9="B")),1,0)</f>
        <v/>
      </c>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v>1</v>
      </c>
      <c r="AE53" s="2" t="n"/>
      <c r="AF53" s="2" t="n"/>
      <c r="AG53" s="2" t="n"/>
      <c r="AH53" s="2" t="n"/>
      <c r="AI53" s="2" t="n"/>
      <c r="AJ53" s="2" t="n"/>
      <c r="AK53" s="2" t="n"/>
      <c r="AL53" s="2" t="n"/>
      <c r="AM53" s="2">
        <f>N(I53)+N(S53)+N(AC53)</f>
        <v/>
      </c>
      <c r="AN53" s="2">
        <f>N(J53)+N(T53)+N(AD53)</f>
        <v/>
      </c>
      <c r="AO53" s="2">
        <f>N(K53)+N(U53)+N(AE53)</f>
        <v/>
      </c>
      <c r="AP53" s="2">
        <f>N(L53)+N(V53)+N(AF53)</f>
        <v/>
      </c>
      <c r="AQ53" s="2">
        <f>N(M53)+N(W53)+N(AG53)</f>
        <v/>
      </c>
      <c r="AR53" s="2">
        <f>N(N53)+N(X53)+N(AH53)</f>
        <v/>
      </c>
      <c r="AS53" s="2">
        <f>N(O53)+N(Y53)+N(AI53)</f>
        <v/>
      </c>
      <c r="AT53" s="2">
        <f>N(P53)+N(Z53)+N(AJ53)</f>
        <v/>
      </c>
      <c r="AU53" s="2">
        <f>N(Q53)+N(AA53)+N(AK53)</f>
        <v/>
      </c>
      <c r="AV53" s="2">
        <f>N(R53)+N(AB53)+N(AL53)</f>
        <v/>
      </c>
      <c r="AW53" s="2">
        <f>SUM(I53:R53)</f>
        <v/>
      </c>
      <c r="AX53" s="2">
        <f>SUM(S53:AB53)</f>
        <v/>
      </c>
      <c r="AY53" s="2">
        <f>SUM(AC53:AL53)</f>
        <v/>
      </c>
    </row>
    <row r="54">
      <c r="A54" s="2" t="inlineStr">
        <is>
          <t>envelope_c5|both|envelopes</t>
        </is>
      </c>
      <c r="B54" s="2" t="inlineStr">
        <is>
          <t>Envelopes, C5 (for A5)</t>
        </is>
      </c>
      <c r="C54" s="2" t="inlineStr">
        <is>
          <t>C5信封（可放A5纸）</t>
        </is>
      </c>
      <c r="D54" s="2" t="inlineStr">
        <is>
          <t>Stationery and card</t>
        </is>
      </c>
      <c r="E54" s="2" t="inlineStr">
        <is>
          <t>Both plans</t>
        </is>
      </c>
      <c r="F54" s="2" t="inlineStr">
        <is>
          <t>Kept by class</t>
        </is>
      </c>
      <c r="G54" s="2" t="inlineStr">
        <is>
          <t>envelopes</t>
        </is>
      </c>
      <c r="H54" s="2">
        <f>IF(OR($E54="Both plans",'Read me'!$C$9="A and B",AND($E54="Plan A (freezer)",'Read me'!$C$9="A"),AND($E54="Plan B (no freezer)",'Read me'!$C$9="B")),1,0)</f>
        <v/>
      </c>
      <c r="I54" s="2" t="n"/>
      <c r="J54" s="2" t="n"/>
      <c r="K54" s="2" t="n">
        <v>6</v>
      </c>
      <c r="L54" s="2" t="n">
        <v>6</v>
      </c>
      <c r="M54" s="2" t="n">
        <v>6</v>
      </c>
      <c r="N54" s="2" t="n"/>
      <c r="O54" s="2" t="n"/>
      <c r="P54" s="2" t="n"/>
      <c r="Q54" s="2" t="n"/>
      <c r="R54" s="2" t="n"/>
      <c r="S54" s="2" t="n"/>
      <c r="T54" s="2" t="n"/>
      <c r="U54" s="2" t="n"/>
      <c r="V54" s="2" t="n"/>
      <c r="W54" s="2" t="n"/>
      <c r="X54" s="2" t="n"/>
      <c r="Y54" s="2" t="n"/>
      <c r="Z54" s="2" t="n"/>
      <c r="AA54" s="2" t="n">
        <v>1</v>
      </c>
      <c r="AB54" s="2" t="n"/>
      <c r="AC54" s="2" t="n"/>
      <c r="AD54" s="2" t="n"/>
      <c r="AE54" s="2" t="n"/>
      <c r="AF54" s="2" t="n"/>
      <c r="AG54" s="2" t="n"/>
      <c r="AH54" s="2" t="n"/>
      <c r="AI54" s="2" t="n"/>
      <c r="AJ54" s="2" t="n"/>
      <c r="AK54" s="2" t="n"/>
      <c r="AL54" s="2" t="n"/>
      <c r="AM54" s="2">
        <f>N(I54)+N(S54)+N(AC54)</f>
        <v/>
      </c>
      <c r="AN54" s="2">
        <f>N(J54)+N(T54)+N(AD54)</f>
        <v/>
      </c>
      <c r="AO54" s="2">
        <f>N(K54)+N(U54)+N(AE54)</f>
        <v/>
      </c>
      <c r="AP54" s="2">
        <f>N(L54)+N(V54)+N(AF54)</f>
        <v/>
      </c>
      <c r="AQ54" s="2">
        <f>N(M54)+N(W54)+N(AG54)</f>
        <v/>
      </c>
      <c r="AR54" s="2">
        <f>N(N54)+N(X54)+N(AH54)</f>
        <v/>
      </c>
      <c r="AS54" s="2">
        <f>N(O54)+N(Y54)+N(AI54)</f>
        <v/>
      </c>
      <c r="AT54" s="2">
        <f>N(P54)+N(Z54)+N(AJ54)</f>
        <v/>
      </c>
      <c r="AU54" s="2">
        <f>N(Q54)+N(AA54)+N(AK54)</f>
        <v/>
      </c>
      <c r="AV54" s="2">
        <f>N(R54)+N(AB54)+N(AL54)</f>
        <v/>
      </c>
      <c r="AW54" s="2">
        <f>SUM(I54:R54)</f>
        <v/>
      </c>
      <c r="AX54" s="2">
        <f>SUM(S54:AB54)</f>
        <v/>
      </c>
      <c r="AY54" s="2">
        <f>SUM(AC54:AL54)</f>
        <v/>
      </c>
    </row>
    <row r="55">
      <c r="A55" s="2" t="inlineStr">
        <is>
          <t>card_black|both|pieces</t>
        </is>
      </c>
      <c r="B55" s="2" t="inlineStr">
        <is>
          <t>Black card, small pieces</t>
        </is>
      </c>
      <c r="C55" s="2" t="inlineStr">
        <is>
          <t>黑色卡纸（小张）</t>
        </is>
      </c>
      <c r="D55" s="2" t="inlineStr">
        <is>
          <t>Stationery and card</t>
        </is>
      </c>
      <c r="E55" s="2" t="inlineStr">
        <is>
          <t>Both plans</t>
        </is>
      </c>
      <c r="F55" s="2" t="inlineStr">
        <is>
          <t>Reusable</t>
        </is>
      </c>
      <c r="G55" s="2" t="inlineStr">
        <is>
          <t>pieces</t>
        </is>
      </c>
      <c r="H55" s="2">
        <f>IF(OR($E55="Both plans",'Read me'!$C$9="A and B",AND($E55="Plan A (freezer)",'Read me'!$C$9="A"),AND($E55="Plan B (no freezer)",'Read me'!$C$9="B")),1,0)</f>
        <v/>
      </c>
      <c r="I55" s="2" t="n"/>
      <c r="J55" s="2" t="n"/>
      <c r="K55" s="2" t="n"/>
      <c r="L55" s="2" t="n"/>
      <c r="M55" s="2" t="n"/>
      <c r="N55" s="2" t="n"/>
      <c r="O55" s="2" t="n"/>
      <c r="P55" s="2" t="n"/>
      <c r="Q55" s="2" t="n"/>
      <c r="R55" s="2" t="n"/>
      <c r="S55" s="2" t="n"/>
      <c r="T55" s="2" t="n"/>
      <c r="U55" s="2" t="n"/>
      <c r="V55" s="2" t="n">
        <v>6</v>
      </c>
      <c r="W55" s="2" t="n"/>
      <c r="X55" s="2" t="n"/>
      <c r="Y55" s="2" t="n"/>
      <c r="Z55" s="2" t="n">
        <v>2</v>
      </c>
      <c r="AA55" s="2" t="n"/>
      <c r="AB55" s="2" t="n"/>
      <c r="AC55" s="2" t="n"/>
      <c r="AD55" s="2" t="n"/>
      <c r="AE55" s="2" t="n"/>
      <c r="AF55" s="2" t="n"/>
      <c r="AG55" s="2" t="n"/>
      <c r="AH55" s="2" t="n"/>
      <c r="AI55" s="2" t="n"/>
      <c r="AJ55" s="2" t="n"/>
      <c r="AK55" s="2" t="n"/>
      <c r="AL55" s="2" t="n"/>
      <c r="AM55" s="2">
        <f>N(I55)+N(S55)+N(AC55)</f>
        <v/>
      </c>
      <c r="AN55" s="2">
        <f>N(J55)+N(T55)+N(AD55)</f>
        <v/>
      </c>
      <c r="AO55" s="2">
        <f>N(K55)+N(U55)+N(AE55)</f>
        <v/>
      </c>
      <c r="AP55" s="2">
        <f>N(L55)+N(V55)+N(AF55)</f>
        <v/>
      </c>
      <c r="AQ55" s="2">
        <f>N(M55)+N(W55)+N(AG55)</f>
        <v/>
      </c>
      <c r="AR55" s="2">
        <f>N(N55)+N(X55)+N(AH55)</f>
        <v/>
      </c>
      <c r="AS55" s="2">
        <f>N(O55)+N(Y55)+N(AI55)</f>
        <v/>
      </c>
      <c r="AT55" s="2">
        <f>N(P55)+N(Z55)+N(AJ55)</f>
        <v/>
      </c>
      <c r="AU55" s="2">
        <f>N(Q55)+N(AA55)+N(AK55)</f>
        <v/>
      </c>
      <c r="AV55" s="2">
        <f>N(R55)+N(AB55)+N(AL55)</f>
        <v/>
      </c>
      <c r="AW55" s="2">
        <f>SUM(I55:R55)</f>
        <v/>
      </c>
      <c r="AX55" s="2">
        <f>SUM(S55:AB55)</f>
        <v/>
      </c>
      <c r="AY55" s="2">
        <f>SUM(AC55:AL55)</f>
        <v/>
      </c>
    </row>
    <row r="56">
      <c r="A56" s="2" t="inlineStr">
        <is>
          <t>sticky_labels|both|labels</t>
        </is>
      </c>
      <c r="B56" s="2" t="inlineStr">
        <is>
          <t>Sticky labels</t>
        </is>
      </c>
      <c r="C56" s="2" t="inlineStr">
        <is>
          <t>不干胶标签</t>
        </is>
      </c>
      <c r="D56" s="2" t="inlineStr">
        <is>
          <t>Stationery and card</t>
        </is>
      </c>
      <c r="E56" s="2" t="inlineStr">
        <is>
          <t>Both plans</t>
        </is>
      </c>
      <c r="F56" s="2" t="inlineStr">
        <is>
          <t>Used up</t>
        </is>
      </c>
      <c r="G56" s="2" t="inlineStr">
        <is>
          <t>labels</t>
        </is>
      </c>
      <c r="H56" s="2">
        <f>IF(OR($E56="Both plans",'Read me'!$C$9="A and B",AND($E56="Plan A (freezer)",'Read me'!$C$9="A"),AND($E56="Plan B (no freezer)",'Read me'!$C$9="B")),1,0)</f>
        <v/>
      </c>
      <c r="I56" s="2" t="n"/>
      <c r="J56" s="2" t="n"/>
      <c r="K56" s="2" t="n"/>
      <c r="L56" s="2" t="n"/>
      <c r="M56" s="2" t="n"/>
      <c r="N56" s="2" t="n"/>
      <c r="O56" s="2" t="n"/>
      <c r="P56" s="2" t="n"/>
      <c r="Q56" s="2" t="n"/>
      <c r="R56" s="2" t="n"/>
      <c r="S56" s="2" t="n"/>
      <c r="T56" s="2" t="n"/>
      <c r="U56" s="2" t="n"/>
      <c r="V56" s="2" t="n">
        <v>42</v>
      </c>
      <c r="W56" s="2" t="n">
        <v>73</v>
      </c>
      <c r="X56" s="2" t="n"/>
      <c r="Y56" s="2" t="n">
        <v>6</v>
      </c>
      <c r="Z56" s="2" t="n">
        <v>49</v>
      </c>
      <c r="AA56" s="2" t="n"/>
      <c r="AB56" s="2" t="n"/>
      <c r="AC56" s="2" t="n"/>
      <c r="AD56" s="2" t="n"/>
      <c r="AE56" s="2" t="n"/>
      <c r="AF56" s="2" t="n"/>
      <c r="AG56" s="2" t="n"/>
      <c r="AH56" s="2" t="n"/>
      <c r="AI56" s="2" t="n"/>
      <c r="AJ56" s="2" t="n"/>
      <c r="AK56" s="2" t="n"/>
      <c r="AL56" s="2" t="n"/>
      <c r="AM56" s="2">
        <f>N(I56)+N(S56)+N(AC56)</f>
        <v/>
      </c>
      <c r="AN56" s="2">
        <f>N(J56)+N(T56)+N(AD56)</f>
        <v/>
      </c>
      <c r="AO56" s="2">
        <f>N(K56)+N(U56)+N(AE56)</f>
        <v/>
      </c>
      <c r="AP56" s="2">
        <f>N(L56)+N(V56)+N(AF56)</f>
        <v/>
      </c>
      <c r="AQ56" s="2">
        <f>N(M56)+N(W56)+N(AG56)</f>
        <v/>
      </c>
      <c r="AR56" s="2">
        <f>N(N56)+N(X56)+N(AH56)</f>
        <v/>
      </c>
      <c r="AS56" s="2">
        <f>N(O56)+N(Y56)+N(AI56)</f>
        <v/>
      </c>
      <c r="AT56" s="2">
        <f>N(P56)+N(Z56)+N(AJ56)</f>
        <v/>
      </c>
      <c r="AU56" s="2">
        <f>N(Q56)+N(AA56)+N(AK56)</f>
        <v/>
      </c>
      <c r="AV56" s="2">
        <f>N(R56)+N(AB56)+N(AL56)</f>
        <v/>
      </c>
      <c r="AW56" s="2">
        <f>SUM(I56:R56)</f>
        <v/>
      </c>
      <c r="AX56" s="2">
        <f>SUM(S56:AB56)</f>
        <v/>
      </c>
      <c r="AY56" s="2">
        <f>SUM(AC56:AL56)</f>
        <v/>
      </c>
    </row>
    <row r="57">
      <c r="A57" s="2" t="inlineStr">
        <is>
          <t>sticky_notes|both|notes</t>
        </is>
      </c>
      <c r="B57" s="2" t="inlineStr">
        <is>
          <t>Sticky notes</t>
        </is>
      </c>
      <c r="C57" s="2" t="inlineStr">
        <is>
          <t>便利贴</t>
        </is>
      </c>
      <c r="D57" s="2" t="inlineStr">
        <is>
          <t>Stationery and card</t>
        </is>
      </c>
      <c r="E57" s="2" t="inlineStr">
        <is>
          <t>Both plans</t>
        </is>
      </c>
      <c r="F57" s="2" t="inlineStr">
        <is>
          <t>Used up</t>
        </is>
      </c>
      <c r="G57" s="2" t="inlineStr">
        <is>
          <t>notes</t>
        </is>
      </c>
      <c r="H57" s="2">
        <f>IF(OR($E57="Both plans",'Read me'!$C$9="A and B",AND($E57="Plan A (freezer)",'Read me'!$C$9="A"),AND($E57="Plan B (no freezer)",'Read me'!$C$9="B")),1,0)</f>
        <v/>
      </c>
      <c r="I57" s="2" t="n"/>
      <c r="J57" s="2" t="n"/>
      <c r="K57" s="2" t="n"/>
      <c r="L57" s="2" t="n"/>
      <c r="M57" s="2" t="n"/>
      <c r="N57" s="2" t="n"/>
      <c r="O57" s="2" t="n"/>
      <c r="P57" s="2" t="n"/>
      <c r="Q57" s="2" t="n"/>
      <c r="R57" s="2" t="n">
        <v>200</v>
      </c>
      <c r="S57" s="2" t="n"/>
      <c r="T57" s="2" t="n"/>
      <c r="U57" s="2" t="n"/>
      <c r="V57" s="2" t="n"/>
      <c r="W57" s="2" t="n">
        <v>24</v>
      </c>
      <c r="X57" s="2" t="n"/>
      <c r="Y57" s="2" t="n"/>
      <c r="Z57" s="2" t="n"/>
      <c r="AA57" s="2" t="n"/>
      <c r="AB57" s="2" t="n"/>
      <c r="AC57" s="2" t="n"/>
      <c r="AD57" s="2" t="n"/>
      <c r="AE57" s="2" t="n"/>
      <c r="AF57" s="2" t="n">
        <v>36</v>
      </c>
      <c r="AG57" s="2" t="n"/>
      <c r="AH57" s="2" t="n"/>
      <c r="AI57" s="2" t="n"/>
      <c r="AJ57" s="2" t="n">
        <v>6</v>
      </c>
      <c r="AK57" s="2" t="n"/>
      <c r="AL57" s="2" t="n"/>
      <c r="AM57" s="2">
        <f>N(I57)+N(S57)+N(AC57)</f>
        <v/>
      </c>
      <c r="AN57" s="2">
        <f>N(J57)+N(T57)+N(AD57)</f>
        <v/>
      </c>
      <c r="AO57" s="2">
        <f>N(K57)+N(U57)+N(AE57)</f>
        <v/>
      </c>
      <c r="AP57" s="2">
        <f>N(L57)+N(V57)+N(AF57)</f>
        <v/>
      </c>
      <c r="AQ57" s="2">
        <f>N(M57)+N(W57)+N(AG57)</f>
        <v/>
      </c>
      <c r="AR57" s="2">
        <f>N(N57)+N(X57)+N(AH57)</f>
        <v/>
      </c>
      <c r="AS57" s="2">
        <f>N(O57)+N(Y57)+N(AI57)</f>
        <v/>
      </c>
      <c r="AT57" s="2">
        <f>N(P57)+N(Z57)+N(AJ57)</f>
        <v/>
      </c>
      <c r="AU57" s="2">
        <f>N(Q57)+N(AA57)+N(AK57)</f>
        <v/>
      </c>
      <c r="AV57" s="2">
        <f>N(R57)+N(AB57)+N(AL57)</f>
        <v/>
      </c>
      <c r="AW57" s="2">
        <f>SUM(I57:R57)</f>
        <v/>
      </c>
      <c r="AX57" s="2">
        <f>SUM(S57:AB57)</f>
        <v/>
      </c>
      <c r="AY57" s="2">
        <f>SUM(AC57:AL57)</f>
        <v/>
      </c>
    </row>
    <row r="58">
      <c r="A58" s="2" t="inlineStr">
        <is>
          <t>print_colour_ph_chart|both|colour prints</t>
        </is>
      </c>
      <c r="B58" s="2" t="inlineStr">
        <is>
          <t>Colour printing: red cabbage pH colour chart</t>
        </is>
      </c>
      <c r="C58" s="2" t="inlineStr">
        <is>
          <t>彩色打印：紫甘蓝pH比色卡</t>
        </is>
      </c>
      <c r="D58" s="2" t="inlineStr">
        <is>
          <t>Stationery and card</t>
        </is>
      </c>
      <c r="E58" s="2" t="inlineStr">
        <is>
          <t>Both plans</t>
        </is>
      </c>
      <c r="F58" s="2" t="inlineStr">
        <is>
          <t>Used up</t>
        </is>
      </c>
      <c r="G58" s="2" t="inlineStr">
        <is>
          <t>colour prints</t>
        </is>
      </c>
      <c r="H58" s="2">
        <f>IF(OR($E58="Both plans",'Read me'!$C$9="A and B",AND($E58="Plan A (freezer)",'Read me'!$C$9="A"),AND($E58="Plan B (no freezer)",'Read me'!$C$9="B")),1,0)</f>
        <v/>
      </c>
      <c r="I58" s="2" t="n"/>
      <c r="J58" s="2" t="n"/>
      <c r="K58" s="2" t="n"/>
      <c r="L58" s="2" t="n"/>
      <c r="M58" s="2" t="n"/>
      <c r="N58" s="2" t="n"/>
      <c r="O58" s="2" t="n"/>
      <c r="P58" s="2" t="n"/>
      <c r="Q58" s="2" t="n"/>
      <c r="R58" s="2" t="n"/>
      <c r="S58" s="2" t="n"/>
      <c r="T58" s="2" t="n"/>
      <c r="U58" s="2" t="n"/>
      <c r="V58" s="2" t="n"/>
      <c r="W58" s="2" t="n">
        <v>7</v>
      </c>
      <c r="X58" s="2" t="n"/>
      <c r="Y58" s="2" t="n"/>
      <c r="Z58" s="2" t="n"/>
      <c r="AA58" s="2" t="n"/>
      <c r="AB58" s="2" t="n"/>
      <c r="AC58" s="2" t="n"/>
      <c r="AD58" s="2" t="n"/>
      <c r="AE58" s="2" t="n"/>
      <c r="AF58" s="2" t="n"/>
      <c r="AG58" s="2" t="n"/>
      <c r="AH58" s="2" t="n"/>
      <c r="AI58" s="2" t="n"/>
      <c r="AJ58" s="2" t="n"/>
      <c r="AK58" s="2" t="n"/>
      <c r="AL58" s="2" t="n"/>
      <c r="AM58" s="2">
        <f>N(I58)+N(S58)+N(AC58)</f>
        <v/>
      </c>
      <c r="AN58" s="2">
        <f>N(J58)+N(T58)+N(AD58)</f>
        <v/>
      </c>
      <c r="AO58" s="2">
        <f>N(K58)+N(U58)+N(AE58)</f>
        <v/>
      </c>
      <c r="AP58" s="2">
        <f>N(L58)+N(V58)+N(AF58)</f>
        <v/>
      </c>
      <c r="AQ58" s="2">
        <f>N(M58)+N(W58)+N(AG58)</f>
        <v/>
      </c>
      <c r="AR58" s="2">
        <f>N(N58)+N(X58)+N(AH58)</f>
        <v/>
      </c>
      <c r="AS58" s="2">
        <f>N(O58)+N(Y58)+N(AI58)</f>
        <v/>
      </c>
      <c r="AT58" s="2">
        <f>N(P58)+N(Z58)+N(AJ58)</f>
        <v/>
      </c>
      <c r="AU58" s="2">
        <f>N(Q58)+N(AA58)+N(AK58)</f>
        <v/>
      </c>
      <c r="AV58" s="2">
        <f>N(R58)+N(AB58)+N(AL58)</f>
        <v/>
      </c>
      <c r="AW58" s="2">
        <f>SUM(I58:R58)</f>
        <v/>
      </c>
      <c r="AX58" s="2">
        <f>SUM(S58:AB58)</f>
        <v/>
      </c>
      <c r="AY58" s="2">
        <f>SUM(AC58:AL58)</f>
        <v/>
      </c>
    </row>
    <row r="59">
      <c r="A59" s="2" t="inlineStr">
        <is>
          <t>pencil_sharpener|both|sharpeners</t>
        </is>
      </c>
      <c r="B59" s="2" t="inlineStr">
        <is>
          <t>Pencil sharpener</t>
        </is>
      </c>
      <c r="C59" s="2" t="inlineStr">
        <is>
          <t>卷笔刀</t>
        </is>
      </c>
      <c r="D59" s="2" t="inlineStr">
        <is>
          <t>Stationery and card</t>
        </is>
      </c>
      <c r="E59" s="2" t="inlineStr">
        <is>
          <t>Both plans</t>
        </is>
      </c>
      <c r="F59" s="2" t="inlineStr">
        <is>
          <t>Reusable</t>
        </is>
      </c>
      <c r="G59" s="2" t="inlineStr">
        <is>
          <t>sharpeners</t>
        </is>
      </c>
      <c r="H59" s="2">
        <f>IF(OR($E59="Both plans",'Read me'!$C$9="A and B",AND($E59="Plan A (freezer)",'Read me'!$C$9="A"),AND($E59="Plan B (no freezer)",'Read me'!$C$9="B")),1,0)</f>
        <v/>
      </c>
      <c r="I59" s="2" t="n"/>
      <c r="J59" s="2" t="n"/>
      <c r="K59" s="2" t="n"/>
      <c r="L59" s="2" t="n"/>
      <c r="M59" s="2" t="n">
        <v>1</v>
      </c>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f>N(I59)+N(S59)+N(AC59)</f>
        <v/>
      </c>
      <c r="AN59" s="2">
        <f>N(J59)+N(T59)+N(AD59)</f>
        <v/>
      </c>
      <c r="AO59" s="2">
        <f>N(K59)+N(U59)+N(AE59)</f>
        <v/>
      </c>
      <c r="AP59" s="2">
        <f>N(L59)+N(V59)+N(AF59)</f>
        <v/>
      </c>
      <c r="AQ59" s="2">
        <f>N(M59)+N(W59)+N(AG59)</f>
        <v/>
      </c>
      <c r="AR59" s="2">
        <f>N(N59)+N(X59)+N(AH59)</f>
        <v/>
      </c>
      <c r="AS59" s="2">
        <f>N(O59)+N(Y59)+N(AI59)</f>
        <v/>
      </c>
      <c r="AT59" s="2">
        <f>N(P59)+N(Z59)+N(AJ59)</f>
        <v/>
      </c>
      <c r="AU59" s="2">
        <f>N(Q59)+N(AA59)+N(AK59)</f>
        <v/>
      </c>
      <c r="AV59" s="2">
        <f>N(R59)+N(AB59)+N(AL59)</f>
        <v/>
      </c>
      <c r="AW59" s="2">
        <f>SUM(I59:R59)</f>
        <v/>
      </c>
      <c r="AX59" s="2">
        <f>SUM(S59:AB59)</f>
        <v/>
      </c>
      <c r="AY59" s="2">
        <f>SUM(AC59:AL59)</f>
        <v/>
      </c>
    </row>
    <row r="60">
      <c r="A60" s="2" t="inlineStr">
        <is>
          <t>string|both|lengths</t>
        </is>
      </c>
      <c r="B60" s="2" t="inlineStr">
        <is>
          <t>String, strong</t>
        </is>
      </c>
      <c r="C60" s="2" t="inlineStr">
        <is>
          <t>结实的细绳</t>
        </is>
      </c>
      <c r="D60" s="2" t="inlineStr">
        <is>
          <t>Stationery and card</t>
        </is>
      </c>
      <c r="E60" s="2" t="inlineStr">
        <is>
          <t>Both plans</t>
        </is>
      </c>
      <c r="F60" s="2" t="inlineStr">
        <is>
          <t>Used up</t>
        </is>
      </c>
      <c r="G60" s="2" t="inlineStr">
        <is>
          <t>lengths</t>
        </is>
      </c>
      <c r="H60" s="2">
        <f>IF(OR($E60="Both plans",'Read me'!$C$9="A and B",AND($E60="Plan A (freezer)",'Read me'!$C$9="A"),AND($E60="Plan B (no freezer)",'Read me'!$C$9="B")),1,0)</f>
        <v/>
      </c>
      <c r="I60" s="2" t="n"/>
      <c r="J60" s="2" t="n"/>
      <c r="K60" s="2" t="n"/>
      <c r="L60" s="2" t="n"/>
      <c r="M60" s="2" t="n">
        <v>1</v>
      </c>
      <c r="N60" s="2" t="n"/>
      <c r="O60" s="2" t="n"/>
      <c r="P60" s="2" t="n">
        <v>13</v>
      </c>
      <c r="Q60" s="2" t="n"/>
      <c r="R60" s="2" t="n">
        <v>2</v>
      </c>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f>N(I60)+N(S60)+N(AC60)</f>
        <v/>
      </c>
      <c r="AN60" s="2">
        <f>N(J60)+N(T60)+N(AD60)</f>
        <v/>
      </c>
      <c r="AO60" s="2">
        <f>N(K60)+N(U60)+N(AE60)</f>
        <v/>
      </c>
      <c r="AP60" s="2">
        <f>N(L60)+N(V60)+N(AF60)</f>
        <v/>
      </c>
      <c r="AQ60" s="2">
        <f>N(M60)+N(W60)+N(AG60)</f>
        <v/>
      </c>
      <c r="AR60" s="2">
        <f>N(N60)+N(X60)+N(AH60)</f>
        <v/>
      </c>
      <c r="AS60" s="2">
        <f>N(O60)+N(Y60)+N(AI60)</f>
        <v/>
      </c>
      <c r="AT60" s="2">
        <f>N(P60)+N(Z60)+N(AJ60)</f>
        <v/>
      </c>
      <c r="AU60" s="2">
        <f>N(Q60)+N(AA60)+N(AK60)</f>
        <v/>
      </c>
      <c r="AV60" s="2">
        <f>N(R60)+N(AB60)+N(AL60)</f>
        <v/>
      </c>
      <c r="AW60" s="2">
        <f>SUM(I60:R60)</f>
        <v/>
      </c>
      <c r="AX60" s="2">
        <f>SUM(S60:AB60)</f>
        <v/>
      </c>
      <c r="AY60" s="2">
        <f>SUM(AC60:AL60)</f>
        <v/>
      </c>
    </row>
    <row r="61">
      <c r="A61" s="2" t="inlineStr">
        <is>
          <t>folder_a3_group|both|folders</t>
        </is>
      </c>
      <c r="B61" s="2" t="inlineStr">
        <is>
          <t>Group folders, A3</t>
        </is>
      </c>
      <c r="C61" s="2" t="inlineStr">
        <is>
          <t>A3文件夹（小组用）</t>
        </is>
      </c>
      <c r="D61" s="2" t="inlineStr">
        <is>
          <t>Stationery and card</t>
        </is>
      </c>
      <c r="E61" s="2" t="inlineStr">
        <is>
          <t>Both plans</t>
        </is>
      </c>
      <c r="F61" s="2" t="inlineStr">
        <is>
          <t>Kept by class</t>
        </is>
      </c>
      <c r="G61" s="2" t="inlineStr">
        <is>
          <t>folders</t>
        </is>
      </c>
      <c r="H61" s="2">
        <f>IF(OR($E61="Both plans",'Read me'!$C$9="A and B",AND($E61="Plan A (freezer)",'Read me'!$C$9="A"),AND($E61="Plan B (no freezer)",'Read me'!$C$9="B")),1,0)</f>
        <v/>
      </c>
      <c r="I61" s="2" t="n"/>
      <c r="J61" s="2" t="n"/>
      <c r="K61" s="2" t="n"/>
      <c r="L61" s="2" t="n"/>
      <c r="M61" s="2" t="n"/>
      <c r="N61" s="2" t="n">
        <v>6</v>
      </c>
      <c r="O61" s="2" t="n">
        <v>6</v>
      </c>
      <c r="P61" s="2" t="n">
        <v>6</v>
      </c>
      <c r="Q61" s="2" t="n">
        <v>6</v>
      </c>
      <c r="R61" s="2" t="n">
        <v>6</v>
      </c>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f>N(I61)+N(S61)+N(AC61)</f>
        <v/>
      </c>
      <c r="AN61" s="2">
        <f>N(J61)+N(T61)+N(AD61)</f>
        <v/>
      </c>
      <c r="AO61" s="2">
        <f>N(K61)+N(U61)+N(AE61)</f>
        <v/>
      </c>
      <c r="AP61" s="2">
        <f>N(L61)+N(V61)+N(AF61)</f>
        <v/>
      </c>
      <c r="AQ61" s="2">
        <f>N(M61)+N(W61)+N(AG61)</f>
        <v/>
      </c>
      <c r="AR61" s="2">
        <f>N(N61)+N(X61)+N(AH61)</f>
        <v/>
      </c>
      <c r="AS61" s="2">
        <f>N(O61)+N(Y61)+N(AI61)</f>
        <v/>
      </c>
      <c r="AT61" s="2">
        <f>N(P61)+N(Z61)+N(AJ61)</f>
        <v/>
      </c>
      <c r="AU61" s="2">
        <f>N(Q61)+N(AA61)+N(AK61)</f>
        <v/>
      </c>
      <c r="AV61" s="2">
        <f>N(R61)+N(AB61)+N(AL61)</f>
        <v/>
      </c>
      <c r="AW61" s="2">
        <f>SUM(I61:R61)</f>
        <v/>
      </c>
      <c r="AX61" s="2">
        <f>SUM(S61:AB61)</f>
        <v/>
      </c>
      <c r="AY61" s="2">
        <f>SUM(AC61:AL61)</f>
        <v/>
      </c>
    </row>
    <row r="62">
      <c r="A62" s="2" t="inlineStr">
        <is>
          <t>rubber_bands|both|bands</t>
        </is>
      </c>
      <c r="B62" s="2" t="inlineStr">
        <is>
          <t>Rubber bands (elastic bands)</t>
        </is>
      </c>
      <c r="C62" s="2" t="inlineStr">
        <is>
          <t>橡皮筋</t>
        </is>
      </c>
      <c r="D62" s="2" t="inlineStr">
        <is>
          <t>Stationery and card</t>
        </is>
      </c>
      <c r="E62" s="2" t="inlineStr">
        <is>
          <t>Both plans</t>
        </is>
      </c>
      <c r="F62" s="2" t="inlineStr">
        <is>
          <t>Used up</t>
        </is>
      </c>
      <c r="G62" s="2" t="inlineStr">
        <is>
          <t>bands</t>
        </is>
      </c>
      <c r="H62" s="2">
        <f>IF(OR($E62="Both plans",'Read me'!$C$9="A and B",AND($E62="Plan A (freezer)",'Read me'!$C$9="A"),AND($E62="Plan B (no freezer)",'Read me'!$C$9="B")),1,0)</f>
        <v/>
      </c>
      <c r="I62" s="2" t="n"/>
      <c r="J62" s="2" t="n"/>
      <c r="K62" s="2" t="n"/>
      <c r="L62" s="2" t="n"/>
      <c r="M62" s="2" t="n"/>
      <c r="N62" s="2" t="n">
        <v>36</v>
      </c>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v>9</v>
      </c>
      <c r="AK62" s="2" t="n"/>
      <c r="AL62" s="2" t="n"/>
      <c r="AM62" s="2">
        <f>N(I62)+N(S62)+N(AC62)</f>
        <v/>
      </c>
      <c r="AN62" s="2">
        <f>N(J62)+N(T62)+N(AD62)</f>
        <v/>
      </c>
      <c r="AO62" s="2">
        <f>N(K62)+N(U62)+N(AE62)</f>
        <v/>
      </c>
      <c r="AP62" s="2">
        <f>N(L62)+N(V62)+N(AF62)</f>
        <v/>
      </c>
      <c r="AQ62" s="2">
        <f>N(M62)+N(W62)+N(AG62)</f>
        <v/>
      </c>
      <c r="AR62" s="2">
        <f>N(N62)+N(X62)+N(AH62)</f>
        <v/>
      </c>
      <c r="AS62" s="2">
        <f>N(O62)+N(Y62)+N(AI62)</f>
        <v/>
      </c>
      <c r="AT62" s="2">
        <f>N(P62)+N(Z62)+N(AJ62)</f>
        <v/>
      </c>
      <c r="AU62" s="2">
        <f>N(Q62)+N(AA62)+N(AK62)</f>
        <v/>
      </c>
      <c r="AV62" s="2">
        <f>N(R62)+N(AB62)+N(AL62)</f>
        <v/>
      </c>
      <c r="AW62" s="2">
        <f>SUM(I62:R62)</f>
        <v/>
      </c>
      <c r="AX62" s="2">
        <f>SUM(S62:AB62)</f>
        <v/>
      </c>
      <c r="AY62" s="2">
        <f>SUM(AC62:AL62)</f>
        <v/>
      </c>
    </row>
    <row r="63">
      <c r="A63" s="2" t="inlineStr">
        <is>
          <t>sleeves_clear_a4|both|sleeves</t>
        </is>
      </c>
      <c r="B63" s="2" t="inlineStr">
        <is>
          <t>Clear plastic sleeves, A4</t>
        </is>
      </c>
      <c r="C63" s="2" t="inlineStr">
        <is>
          <t>A4透明文件套</t>
        </is>
      </c>
      <c r="D63" s="2" t="inlineStr">
        <is>
          <t>Stationery and card</t>
        </is>
      </c>
      <c r="E63" s="2" t="inlineStr">
        <is>
          <t>Both plans</t>
        </is>
      </c>
      <c r="F63" s="2" t="inlineStr">
        <is>
          <t>Reusable</t>
        </is>
      </c>
      <c r="G63" s="2" t="inlineStr">
        <is>
          <t>sleeves</t>
        </is>
      </c>
      <c r="H63" s="2">
        <f>IF(OR($E63="Both plans",'Read me'!$C$9="A and B",AND($E63="Plan A (freezer)",'Read me'!$C$9="A"),AND($E63="Plan B (no freezer)",'Read me'!$C$9="B")),1,0)</f>
        <v/>
      </c>
      <c r="I63" s="2" t="n"/>
      <c r="J63" s="2" t="n"/>
      <c r="K63" s="2" t="n"/>
      <c r="L63" s="2" t="n"/>
      <c r="M63" s="2" t="n"/>
      <c r="N63" s="2" t="n"/>
      <c r="O63" s="2" t="n"/>
      <c r="P63" s="2" t="n"/>
      <c r="Q63" s="2" t="n"/>
      <c r="R63" s="2" t="n"/>
      <c r="S63" s="2" t="n"/>
      <c r="T63" s="2" t="n"/>
      <c r="U63" s="2" t="n"/>
      <c r="V63" s="2" t="n"/>
      <c r="W63" s="2" t="n"/>
      <c r="X63" s="2" t="n"/>
      <c r="Y63" s="2" t="n">
        <v>2</v>
      </c>
      <c r="Z63" s="2" t="n"/>
      <c r="AA63" s="2" t="n"/>
      <c r="AB63" s="2" t="n"/>
      <c r="AC63" s="2" t="n"/>
      <c r="AD63" s="2" t="n"/>
      <c r="AE63" s="2" t="n"/>
      <c r="AF63" s="2" t="n"/>
      <c r="AG63" s="2" t="n"/>
      <c r="AH63" s="2" t="n"/>
      <c r="AI63" s="2" t="n"/>
      <c r="AJ63" s="2" t="n"/>
      <c r="AK63" s="2" t="n"/>
      <c r="AL63" s="2" t="n"/>
      <c r="AM63" s="2">
        <f>N(I63)+N(S63)+N(AC63)</f>
        <v/>
      </c>
      <c r="AN63" s="2">
        <f>N(J63)+N(T63)+N(AD63)</f>
        <v/>
      </c>
      <c r="AO63" s="2">
        <f>N(K63)+N(U63)+N(AE63)</f>
        <v/>
      </c>
      <c r="AP63" s="2">
        <f>N(L63)+N(V63)+N(AF63)</f>
        <v/>
      </c>
      <c r="AQ63" s="2">
        <f>N(M63)+N(W63)+N(AG63)</f>
        <v/>
      </c>
      <c r="AR63" s="2">
        <f>N(N63)+N(X63)+N(AH63)</f>
        <v/>
      </c>
      <c r="AS63" s="2">
        <f>N(O63)+N(Y63)+N(AI63)</f>
        <v/>
      </c>
      <c r="AT63" s="2">
        <f>N(P63)+N(Z63)+N(AJ63)</f>
        <v/>
      </c>
      <c r="AU63" s="2">
        <f>N(Q63)+N(AA63)+N(AK63)</f>
        <v/>
      </c>
      <c r="AV63" s="2">
        <f>N(R63)+N(AB63)+N(AL63)</f>
        <v/>
      </c>
      <c r="AW63" s="2">
        <f>SUM(I63:R63)</f>
        <v/>
      </c>
      <c r="AX63" s="2">
        <f>SUM(S63:AB63)</f>
        <v/>
      </c>
      <c r="AY63" s="2">
        <f>SUM(AC63:AL63)</f>
        <v/>
      </c>
    </row>
    <row r="64">
      <c r="A64" s="2" t="inlineStr">
        <is>
          <t>pens_dry_wipe_fine|both|pens</t>
        </is>
      </c>
      <c r="B64" s="2" t="inlineStr">
        <is>
          <t>Dry-wipe pens, fine tip</t>
        </is>
      </c>
      <c r="C64" s="2" t="inlineStr">
        <is>
          <t>白板笔（细头）</t>
        </is>
      </c>
      <c r="D64" s="2" t="inlineStr">
        <is>
          <t>Stationery and card</t>
        </is>
      </c>
      <c r="E64" s="2" t="inlineStr">
        <is>
          <t>Both plans</t>
        </is>
      </c>
      <c r="F64" s="2" t="inlineStr">
        <is>
          <t>Reusable</t>
        </is>
      </c>
      <c r="G64" s="2" t="inlineStr">
        <is>
          <t>pens</t>
        </is>
      </c>
      <c r="H64" s="2">
        <f>IF(OR($E64="Both plans",'Read me'!$C$9="A and B",AND($E64="Plan A (freezer)",'Read me'!$C$9="A"),AND($E64="Plan B (no freezer)",'Read me'!$C$9="B")),1,0)</f>
        <v/>
      </c>
      <c r="I64" s="2" t="n"/>
      <c r="J64" s="2" t="n"/>
      <c r="K64" s="2" t="n"/>
      <c r="L64" s="2" t="n"/>
      <c r="M64" s="2" t="n"/>
      <c r="N64" s="2" t="n"/>
      <c r="O64" s="2" t="n"/>
      <c r="P64" s="2" t="n"/>
      <c r="Q64" s="2" t="n"/>
      <c r="R64" s="2" t="n"/>
      <c r="S64" s="2" t="n"/>
      <c r="T64" s="2" t="n"/>
      <c r="U64" s="2" t="n"/>
      <c r="V64" s="2" t="n"/>
      <c r="W64" s="2" t="n"/>
      <c r="X64" s="2" t="n"/>
      <c r="Y64" s="2" t="n">
        <v>24</v>
      </c>
      <c r="Z64" s="2" t="n"/>
      <c r="AA64" s="2" t="n"/>
      <c r="AB64" s="2" t="n"/>
      <c r="AC64" s="2" t="n"/>
      <c r="AD64" s="2" t="n"/>
      <c r="AE64" s="2" t="n"/>
      <c r="AF64" s="2" t="n"/>
      <c r="AG64" s="2" t="n"/>
      <c r="AH64" s="2" t="n"/>
      <c r="AI64" s="2" t="n"/>
      <c r="AJ64" s="2" t="n">
        <v>6</v>
      </c>
      <c r="AK64" s="2" t="n"/>
      <c r="AL64" s="2" t="n"/>
      <c r="AM64" s="2">
        <f>N(I64)+N(S64)+N(AC64)</f>
        <v/>
      </c>
      <c r="AN64" s="2">
        <f>N(J64)+N(T64)+N(AD64)</f>
        <v/>
      </c>
      <c r="AO64" s="2">
        <f>N(K64)+N(U64)+N(AE64)</f>
        <v/>
      </c>
      <c r="AP64" s="2">
        <f>N(L64)+N(V64)+N(AF64)</f>
        <v/>
      </c>
      <c r="AQ64" s="2">
        <f>N(M64)+N(W64)+N(AG64)</f>
        <v/>
      </c>
      <c r="AR64" s="2">
        <f>N(N64)+N(X64)+N(AH64)</f>
        <v/>
      </c>
      <c r="AS64" s="2">
        <f>N(O64)+N(Y64)+N(AI64)</f>
        <v/>
      </c>
      <c r="AT64" s="2">
        <f>N(P64)+N(Z64)+N(AJ64)</f>
        <v/>
      </c>
      <c r="AU64" s="2">
        <f>N(Q64)+N(AA64)+N(AK64)</f>
        <v/>
      </c>
      <c r="AV64" s="2">
        <f>N(R64)+N(AB64)+N(AL64)</f>
        <v/>
      </c>
      <c r="AW64" s="2">
        <f>SUM(I64:R64)</f>
        <v/>
      </c>
      <c r="AX64" s="2">
        <f>SUM(S64:AB64)</f>
        <v/>
      </c>
      <c r="AY64" s="2">
        <f>SUM(AC64:AL64)</f>
        <v/>
      </c>
    </row>
    <row r="65">
      <c r="A65" s="2" t="inlineStr">
        <is>
          <t>clipboard_a4|both|clipboards</t>
        </is>
      </c>
      <c r="B65" s="2" t="inlineStr">
        <is>
          <t>Clipboard, A4</t>
        </is>
      </c>
      <c r="C65" s="2" t="inlineStr">
        <is>
          <t>A4写字板夹</t>
        </is>
      </c>
      <c r="D65" s="2" t="inlineStr">
        <is>
          <t>Stationery and card</t>
        </is>
      </c>
      <c r="E65" s="2" t="inlineStr">
        <is>
          <t>Both plans</t>
        </is>
      </c>
      <c r="F65" s="2" t="inlineStr">
        <is>
          <t>Reusable</t>
        </is>
      </c>
      <c r="G65" s="2" t="inlineStr">
        <is>
          <t>clipboards</t>
        </is>
      </c>
      <c r="H65" s="2">
        <f>IF(OR($E65="Both plans",'Read me'!$C$9="A and B",AND($E65="Plan A (freezer)",'Read me'!$C$9="A"),AND($E65="Plan B (no freezer)",'Read me'!$C$9="B")),1,0)</f>
        <v/>
      </c>
      <c r="I65" s="2" t="n"/>
      <c r="J65" s="2" t="n"/>
      <c r="K65" s="2" t="n"/>
      <c r="L65" s="2" t="n"/>
      <c r="M65" s="2" t="n"/>
      <c r="N65" s="2" t="n"/>
      <c r="O65" s="2" t="n"/>
      <c r="P65" s="2" t="n"/>
      <c r="Q65" s="2" t="n"/>
      <c r="R65" s="2" t="n">
        <v>1</v>
      </c>
      <c r="S65" s="2" t="n"/>
      <c r="T65" s="2" t="n"/>
      <c r="U65" s="2" t="n"/>
      <c r="V65" s="2" t="n"/>
      <c r="W65" s="2" t="n"/>
      <c r="X65" s="2" t="n"/>
      <c r="Y65" s="2" t="n"/>
      <c r="Z65" s="2" t="n"/>
      <c r="AA65" s="2" t="n"/>
      <c r="AB65" s="2" t="n"/>
      <c r="AC65" s="2" t="n"/>
      <c r="AD65" s="2" t="n"/>
      <c r="AE65" s="2" t="n"/>
      <c r="AF65" s="2" t="n"/>
      <c r="AG65" s="2" t="n"/>
      <c r="AH65" s="2" t="n"/>
      <c r="AI65" s="2" t="n"/>
      <c r="AJ65" s="2" t="n">
        <v>1</v>
      </c>
      <c r="AK65" s="2" t="n"/>
      <c r="AL65" s="2" t="n">
        <v>1</v>
      </c>
      <c r="AM65" s="2">
        <f>N(I65)+N(S65)+N(AC65)</f>
        <v/>
      </c>
      <c r="AN65" s="2">
        <f>N(J65)+N(T65)+N(AD65)</f>
        <v/>
      </c>
      <c r="AO65" s="2">
        <f>N(K65)+N(U65)+N(AE65)</f>
        <v/>
      </c>
      <c r="AP65" s="2">
        <f>N(L65)+N(V65)+N(AF65)</f>
        <v/>
      </c>
      <c r="AQ65" s="2">
        <f>N(M65)+N(W65)+N(AG65)</f>
        <v/>
      </c>
      <c r="AR65" s="2">
        <f>N(N65)+N(X65)+N(AH65)</f>
        <v/>
      </c>
      <c r="AS65" s="2">
        <f>N(O65)+N(Y65)+N(AI65)</f>
        <v/>
      </c>
      <c r="AT65" s="2">
        <f>N(P65)+N(Z65)+N(AJ65)</f>
        <v/>
      </c>
      <c r="AU65" s="2">
        <f>N(Q65)+N(AA65)+N(AK65)</f>
        <v/>
      </c>
      <c r="AV65" s="2">
        <f>N(R65)+N(AB65)+N(AL65)</f>
        <v/>
      </c>
      <c r="AW65" s="2">
        <f>SUM(I65:R65)</f>
        <v/>
      </c>
      <c r="AX65" s="2">
        <f>SUM(S65:AB65)</f>
        <v/>
      </c>
      <c r="AY65" s="2">
        <f>SUM(AC65:AL65)</f>
        <v/>
      </c>
    </row>
    <row r="66">
      <c r="A66" s="2" t="inlineStr">
        <is>
          <t>pens_felt_black_thick|both|pens</t>
        </is>
      </c>
      <c r="B66" s="2" t="inlineStr">
        <is>
          <t>Black felt-tip pens, thick tip</t>
        </is>
      </c>
      <c r="C66" s="2" t="inlineStr">
        <is>
          <t>黑色马克笔（粗头）</t>
        </is>
      </c>
      <c r="D66" s="2" t="inlineStr">
        <is>
          <t>Stationery and card</t>
        </is>
      </c>
      <c r="E66" s="2" t="inlineStr">
        <is>
          <t>Both plans</t>
        </is>
      </c>
      <c r="F66" s="2" t="inlineStr">
        <is>
          <t>Reusable</t>
        </is>
      </c>
      <c r="G66" s="2" t="inlineStr">
        <is>
          <t>pens</t>
        </is>
      </c>
      <c r="H66" s="2">
        <f>IF(OR($E66="Both plans",'Read me'!$C$9="A and B",AND($E66="Plan A (freezer)",'Read me'!$C$9="A"),AND($E66="Plan B (no freezer)",'Read me'!$C$9="B")),1,0)</f>
        <v/>
      </c>
      <c r="I66" s="2" t="n"/>
      <c r="J66" s="2" t="n"/>
      <c r="K66" s="2" t="n"/>
      <c r="L66" s="2" t="n"/>
      <c r="M66" s="2" t="n"/>
      <c r="N66" s="2" t="n"/>
      <c r="O66" s="2" t="n"/>
      <c r="P66" s="2" t="n"/>
      <c r="Q66" s="2" t="n">
        <v>12</v>
      </c>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f>N(I66)+N(S66)+N(AC66)</f>
        <v/>
      </c>
      <c r="AN66" s="2">
        <f>N(J66)+N(T66)+N(AD66)</f>
        <v/>
      </c>
      <c r="AO66" s="2">
        <f>N(K66)+N(U66)+N(AE66)</f>
        <v/>
      </c>
      <c r="AP66" s="2">
        <f>N(L66)+N(V66)+N(AF66)</f>
        <v/>
      </c>
      <c r="AQ66" s="2">
        <f>N(M66)+N(W66)+N(AG66)</f>
        <v/>
      </c>
      <c r="AR66" s="2">
        <f>N(N66)+N(X66)+N(AH66)</f>
        <v/>
      </c>
      <c r="AS66" s="2">
        <f>N(O66)+N(Y66)+N(AI66)</f>
        <v/>
      </c>
      <c r="AT66" s="2">
        <f>N(P66)+N(Z66)+N(AJ66)</f>
        <v/>
      </c>
      <c r="AU66" s="2">
        <f>N(Q66)+N(AA66)+N(AK66)</f>
        <v/>
      </c>
      <c r="AV66" s="2">
        <f>N(R66)+N(AB66)+N(AL66)</f>
        <v/>
      </c>
      <c r="AW66" s="2">
        <f>SUM(I66:R66)</f>
        <v/>
      </c>
      <c r="AX66" s="2">
        <f>SUM(S66:AB66)</f>
        <v/>
      </c>
      <c r="AY66" s="2">
        <f>SUM(AC66:AL66)</f>
        <v/>
      </c>
    </row>
    <row r="67">
      <c r="A67" s="2" t="inlineStr">
        <is>
          <t>pens_felt_black_thin|both|pens</t>
        </is>
      </c>
      <c r="B67" s="2" t="inlineStr">
        <is>
          <t>Black felt-tip pens, thin tip</t>
        </is>
      </c>
      <c r="C67" s="2" t="inlineStr">
        <is>
          <t>黑色马克笔（细头）</t>
        </is>
      </c>
      <c r="D67" s="2" t="inlineStr">
        <is>
          <t>Stationery and card</t>
        </is>
      </c>
      <c r="E67" s="2" t="inlineStr">
        <is>
          <t>Both plans</t>
        </is>
      </c>
      <c r="F67" s="2" t="inlineStr">
        <is>
          <t>Reusable</t>
        </is>
      </c>
      <c r="G67" s="2" t="inlineStr">
        <is>
          <t>pens</t>
        </is>
      </c>
      <c r="H67" s="2">
        <f>IF(OR($E67="Both plans",'Read me'!$C$9="A and B",AND($E67="Plan A (freezer)",'Read me'!$C$9="A"),AND($E67="Plan B (no freezer)",'Read me'!$C$9="B")),1,0)</f>
        <v/>
      </c>
      <c r="I67" s="2" t="n"/>
      <c r="J67" s="2" t="n"/>
      <c r="K67" s="2" t="n"/>
      <c r="L67" s="2" t="n"/>
      <c r="M67" s="2" t="n"/>
      <c r="N67" s="2" t="n"/>
      <c r="O67" s="2" t="n"/>
      <c r="P67" s="2" t="n"/>
      <c r="Q67" s="2" t="n">
        <v>12</v>
      </c>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f>N(I67)+N(S67)+N(AC67)</f>
        <v/>
      </c>
      <c r="AN67" s="2">
        <f>N(J67)+N(T67)+N(AD67)</f>
        <v/>
      </c>
      <c r="AO67" s="2">
        <f>N(K67)+N(U67)+N(AE67)</f>
        <v/>
      </c>
      <c r="AP67" s="2">
        <f>N(L67)+N(V67)+N(AF67)</f>
        <v/>
      </c>
      <c r="AQ67" s="2">
        <f>N(M67)+N(W67)+N(AG67)</f>
        <v/>
      </c>
      <c r="AR67" s="2">
        <f>N(N67)+N(X67)+N(AH67)</f>
        <v/>
      </c>
      <c r="AS67" s="2">
        <f>N(O67)+N(Y67)+N(AI67)</f>
        <v/>
      </c>
      <c r="AT67" s="2">
        <f>N(P67)+N(Z67)+N(AJ67)</f>
        <v/>
      </c>
      <c r="AU67" s="2">
        <f>N(Q67)+N(AA67)+N(AK67)</f>
        <v/>
      </c>
      <c r="AV67" s="2">
        <f>N(R67)+N(AB67)+N(AL67)</f>
        <v/>
      </c>
      <c r="AW67" s="2">
        <f>SUM(I67:R67)</f>
        <v/>
      </c>
      <c r="AX67" s="2">
        <f>SUM(S67:AB67)</f>
        <v/>
      </c>
      <c r="AY67" s="2">
        <f>SUM(AC67:AL67)</f>
        <v/>
      </c>
    </row>
    <row r="68">
      <c r="A68" s="2" t="inlineStr">
        <is>
          <t>glue_sticks|both|glue sticks</t>
        </is>
      </c>
      <c r="B68" s="2" t="inlineStr">
        <is>
          <t>Glue sticks</t>
        </is>
      </c>
      <c r="C68" s="2" t="inlineStr">
        <is>
          <t>固体胶</t>
        </is>
      </c>
      <c r="D68" s="2" t="inlineStr">
        <is>
          <t>Stationery and card</t>
        </is>
      </c>
      <c r="E68" s="2" t="inlineStr">
        <is>
          <t>Both plans</t>
        </is>
      </c>
      <c r="F68" s="2" t="inlineStr">
        <is>
          <t>Used up</t>
        </is>
      </c>
      <c r="G68" s="2" t="inlineStr">
        <is>
          <t>glue sticks</t>
        </is>
      </c>
      <c r="H68" s="2">
        <f>IF(OR($E68="Both plans",'Read me'!$C$9="A and B",AND($E68="Plan A (freezer)",'Read me'!$C$9="A"),AND($E68="Plan B (no freezer)",'Read me'!$C$9="B")),1,0)</f>
        <v/>
      </c>
      <c r="I68" s="2" t="n"/>
      <c r="J68" s="2" t="n"/>
      <c r="K68" s="2" t="n"/>
      <c r="L68" s="2" t="n"/>
      <c r="M68" s="2" t="n"/>
      <c r="N68" s="2" t="n"/>
      <c r="O68" s="2" t="n"/>
      <c r="P68" s="2" t="n"/>
      <c r="Q68" s="2" t="n">
        <v>12</v>
      </c>
      <c r="R68" s="2" t="n"/>
      <c r="S68" s="2" t="n"/>
      <c r="T68" s="2" t="n"/>
      <c r="U68" s="2" t="n"/>
      <c r="V68" s="2" t="n"/>
      <c r="W68" s="2" t="n"/>
      <c r="X68" s="2" t="n"/>
      <c r="Y68" s="2" t="n"/>
      <c r="Z68" s="2" t="n"/>
      <c r="AA68" s="2" t="n">
        <v>6</v>
      </c>
      <c r="AB68" s="2" t="n"/>
      <c r="AC68" s="2" t="n"/>
      <c r="AD68" s="2" t="n"/>
      <c r="AE68" s="2" t="n"/>
      <c r="AF68" s="2" t="n"/>
      <c r="AG68" s="2" t="n"/>
      <c r="AH68" s="2" t="n"/>
      <c r="AI68" s="2" t="n"/>
      <c r="AJ68" s="2" t="n"/>
      <c r="AK68" s="2" t="n"/>
      <c r="AL68" s="2" t="n"/>
      <c r="AM68" s="2">
        <f>N(I68)+N(S68)+N(AC68)</f>
        <v/>
      </c>
      <c r="AN68" s="2">
        <f>N(J68)+N(T68)+N(AD68)</f>
        <v/>
      </c>
      <c r="AO68" s="2">
        <f>N(K68)+N(U68)+N(AE68)</f>
        <v/>
      </c>
      <c r="AP68" s="2">
        <f>N(L68)+N(V68)+N(AF68)</f>
        <v/>
      </c>
      <c r="AQ68" s="2">
        <f>N(M68)+N(W68)+N(AG68)</f>
        <v/>
      </c>
      <c r="AR68" s="2">
        <f>N(N68)+N(X68)+N(AH68)</f>
        <v/>
      </c>
      <c r="AS68" s="2">
        <f>N(O68)+N(Y68)+N(AI68)</f>
        <v/>
      </c>
      <c r="AT68" s="2">
        <f>N(P68)+N(Z68)+N(AJ68)</f>
        <v/>
      </c>
      <c r="AU68" s="2">
        <f>N(Q68)+N(AA68)+N(AK68)</f>
        <v/>
      </c>
      <c r="AV68" s="2">
        <f>N(R68)+N(AB68)+N(AL68)</f>
        <v/>
      </c>
      <c r="AW68" s="2">
        <f>SUM(I68:R68)</f>
        <v/>
      </c>
      <c r="AX68" s="2">
        <f>SUM(S68:AB68)</f>
        <v/>
      </c>
      <c r="AY68" s="2">
        <f>SUM(AC68:AL68)</f>
        <v/>
      </c>
    </row>
    <row r="69">
      <c r="A69" s="2" t="inlineStr">
        <is>
          <t>print_photo_ideas_board|both|print</t>
        </is>
      </c>
      <c r="B69" s="2" t="inlineStr">
        <is>
          <t>Photo print: Week 5 Ideas Parking Board</t>
        </is>
      </c>
      <c r="C69" s="2" t="inlineStr">
        <is>
          <t>照片打印：第5周想法停车场</t>
        </is>
      </c>
      <c r="D69" s="2" t="inlineStr">
        <is>
          <t>Stationery and card</t>
        </is>
      </c>
      <c r="E69" s="2" t="inlineStr">
        <is>
          <t>Both plans</t>
        </is>
      </c>
      <c r="F69" s="2" t="inlineStr">
        <is>
          <t>Used up</t>
        </is>
      </c>
      <c r="G69" s="2" t="inlineStr">
        <is>
          <t>print</t>
        </is>
      </c>
      <c r="H69" s="2">
        <f>IF(OR($E69="Both plans",'Read me'!$C$9="A and B",AND($E69="Plan A (freezer)",'Read me'!$C$9="A"),AND($E69="Plan B (no freezer)",'Read me'!$C$9="B")),1,0)</f>
        <v/>
      </c>
      <c r="I69" s="2" t="n"/>
      <c r="J69" s="2" t="n"/>
      <c r="K69" s="2" t="n"/>
      <c r="L69" s="2" t="n"/>
      <c r="M69" s="2" t="n"/>
      <c r="N69" s="2" t="n"/>
      <c r="O69" s="2" t="n"/>
      <c r="P69" s="2" t="n"/>
      <c r="Q69" s="2" t="n"/>
      <c r="R69" s="2" t="n"/>
      <c r="S69" s="2" t="n"/>
      <c r="T69" s="2" t="n"/>
      <c r="U69" s="2" t="n"/>
      <c r="V69" s="2" t="n"/>
      <c r="W69" s="2" t="n"/>
      <c r="X69" s="2" t="n"/>
      <c r="Y69" s="2" t="n"/>
      <c r="Z69" s="2" t="n"/>
      <c r="AA69" s="2" t="n">
        <v>1</v>
      </c>
      <c r="AB69" s="2" t="n"/>
      <c r="AC69" s="2" t="n"/>
      <c r="AD69" s="2" t="n"/>
      <c r="AE69" s="2" t="n"/>
      <c r="AF69" s="2" t="n"/>
      <c r="AG69" s="2" t="n"/>
      <c r="AH69" s="2" t="n"/>
      <c r="AI69" s="2" t="n"/>
      <c r="AJ69" s="2" t="n"/>
      <c r="AK69" s="2" t="n"/>
      <c r="AL69" s="2" t="n"/>
      <c r="AM69" s="2">
        <f>N(I69)+N(S69)+N(AC69)</f>
        <v/>
      </c>
      <c r="AN69" s="2">
        <f>N(J69)+N(T69)+N(AD69)</f>
        <v/>
      </c>
      <c r="AO69" s="2">
        <f>N(K69)+N(U69)+N(AE69)</f>
        <v/>
      </c>
      <c r="AP69" s="2">
        <f>N(L69)+N(V69)+N(AF69)</f>
        <v/>
      </c>
      <c r="AQ69" s="2">
        <f>N(M69)+N(W69)+N(AG69)</f>
        <v/>
      </c>
      <c r="AR69" s="2">
        <f>N(N69)+N(X69)+N(AH69)</f>
        <v/>
      </c>
      <c r="AS69" s="2">
        <f>N(O69)+N(Y69)+N(AI69)</f>
        <v/>
      </c>
      <c r="AT69" s="2">
        <f>N(P69)+N(Z69)+N(AJ69)</f>
        <v/>
      </c>
      <c r="AU69" s="2">
        <f>N(Q69)+N(AA69)+N(AK69)</f>
        <v/>
      </c>
      <c r="AV69" s="2">
        <f>N(R69)+N(AB69)+N(AL69)</f>
        <v/>
      </c>
      <c r="AW69" s="2">
        <f>SUM(I69:R69)</f>
        <v/>
      </c>
      <c r="AX69" s="2">
        <f>SUM(S69:AB69)</f>
        <v/>
      </c>
      <c r="AY69" s="2">
        <f>SUM(AC69:AL69)</f>
        <v/>
      </c>
    </row>
    <row r="70">
      <c r="A70" s="2" t="inlineStr">
        <is>
          <t>stapler|both|staplers</t>
        </is>
      </c>
      <c r="B70" s="2" t="inlineStr">
        <is>
          <t>Stapler (with staples)</t>
        </is>
      </c>
      <c r="C70" s="2" t="inlineStr">
        <is>
          <t>订书机（含订书钉）</t>
        </is>
      </c>
      <c r="D70" s="2" t="inlineStr">
        <is>
          <t>Stationery and card</t>
        </is>
      </c>
      <c r="E70" s="2" t="inlineStr">
        <is>
          <t>Both plans</t>
        </is>
      </c>
      <c r="F70" s="2" t="inlineStr">
        <is>
          <t>Reusable</t>
        </is>
      </c>
      <c r="G70" s="2" t="inlineStr">
        <is>
          <t>staplers</t>
        </is>
      </c>
      <c r="H70" s="2">
        <f>IF(OR($E70="Both plans",'Read me'!$C$9="A and B",AND($E70="Plan A (freezer)",'Read me'!$C$9="A"),AND($E70="Plan B (no freezer)",'Read me'!$C$9="B")),1,0)</f>
        <v/>
      </c>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v>6</v>
      </c>
      <c r="AL70" s="2" t="n"/>
      <c r="AM70" s="2">
        <f>N(I70)+N(S70)+N(AC70)</f>
        <v/>
      </c>
      <c r="AN70" s="2">
        <f>N(J70)+N(T70)+N(AD70)</f>
        <v/>
      </c>
      <c r="AO70" s="2">
        <f>N(K70)+N(U70)+N(AE70)</f>
        <v/>
      </c>
      <c r="AP70" s="2">
        <f>N(L70)+N(V70)+N(AF70)</f>
        <v/>
      </c>
      <c r="AQ70" s="2">
        <f>N(M70)+N(W70)+N(AG70)</f>
        <v/>
      </c>
      <c r="AR70" s="2">
        <f>N(N70)+N(X70)+N(AH70)</f>
        <v/>
      </c>
      <c r="AS70" s="2">
        <f>N(O70)+N(Y70)+N(AI70)</f>
        <v/>
      </c>
      <c r="AT70" s="2">
        <f>N(P70)+N(Z70)+N(AJ70)</f>
        <v/>
      </c>
      <c r="AU70" s="2">
        <f>N(Q70)+N(AA70)+N(AK70)</f>
        <v/>
      </c>
      <c r="AV70" s="2">
        <f>N(R70)+N(AB70)+N(AL70)</f>
        <v/>
      </c>
      <c r="AW70" s="2">
        <f>SUM(I70:R70)</f>
        <v/>
      </c>
      <c r="AX70" s="2">
        <f>SUM(S70:AB70)</f>
        <v/>
      </c>
      <c r="AY70" s="2">
        <f>SUM(AC70:AL70)</f>
        <v/>
      </c>
    </row>
    <row r="71">
      <c r="A71" s="2" t="inlineStr">
        <is>
          <t>poster_running_order|both|poster</t>
        </is>
      </c>
      <c r="B71" s="2" t="inlineStr">
        <is>
          <t>Running order poster (Year 9, Week 10)</t>
        </is>
      </c>
      <c r="C71" s="2" t="inlineStr">
        <is>
          <t>汇报顺序海报</t>
        </is>
      </c>
      <c r="D71" s="2" t="inlineStr">
        <is>
          <t>Stationery and card</t>
        </is>
      </c>
      <c r="E71" s="2" t="inlineStr">
        <is>
          <t>Both plans</t>
        </is>
      </c>
      <c r="F71" s="2" t="inlineStr">
        <is>
          <t>Used up</t>
        </is>
      </c>
      <c r="G71" s="2" t="inlineStr">
        <is>
          <t>poster</t>
        </is>
      </c>
      <c r="H71" s="2">
        <f>IF(OR($E71="Both plans",'Read me'!$C$9="A and B",AND($E71="Plan A (freezer)",'Read me'!$C$9="A"),AND($E71="Plan B (no freezer)",'Read me'!$C$9="B")),1,0)</f>
        <v/>
      </c>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v>1</v>
      </c>
      <c r="AM71" s="2">
        <f>N(I71)+N(S71)+N(AC71)</f>
        <v/>
      </c>
      <c r="AN71" s="2">
        <f>N(J71)+N(T71)+N(AD71)</f>
        <v/>
      </c>
      <c r="AO71" s="2">
        <f>N(K71)+N(U71)+N(AE71)</f>
        <v/>
      </c>
      <c r="AP71" s="2">
        <f>N(L71)+N(V71)+N(AF71)</f>
        <v/>
      </c>
      <c r="AQ71" s="2">
        <f>N(M71)+N(W71)+N(AG71)</f>
        <v/>
      </c>
      <c r="AR71" s="2">
        <f>N(N71)+N(X71)+N(AH71)</f>
        <v/>
      </c>
      <c r="AS71" s="2">
        <f>N(O71)+N(Y71)+N(AI71)</f>
        <v/>
      </c>
      <c r="AT71" s="2">
        <f>N(P71)+N(Z71)+N(AJ71)</f>
        <v/>
      </c>
      <c r="AU71" s="2">
        <f>N(Q71)+N(AA71)+N(AK71)</f>
        <v/>
      </c>
      <c r="AV71" s="2">
        <f>N(R71)+N(AB71)+N(AL71)</f>
        <v/>
      </c>
      <c r="AW71" s="2">
        <f>SUM(I71:R71)</f>
        <v/>
      </c>
      <c r="AX71" s="2">
        <f>SUM(S71:AB71)</f>
        <v/>
      </c>
      <c r="AY71" s="2">
        <f>SUM(AC71:AL71)</f>
        <v/>
      </c>
    </row>
    <row r="72">
      <c r="A72" s="2" t="inlineStr">
        <is>
          <t>cups_plastic_small_clear|both|cups</t>
        </is>
      </c>
      <c r="B72" s="2" t="inlineStr">
        <is>
          <t>Plastic cups, small, clear</t>
        </is>
      </c>
      <c r="C72" s="2" t="inlineStr">
        <is>
          <t>透明小塑料杯</t>
        </is>
      </c>
      <c r="D72" s="2" t="inlineStr">
        <is>
          <t>Prep room equipment</t>
        </is>
      </c>
      <c r="E72" s="2" t="inlineStr">
        <is>
          <t>Both plans</t>
        </is>
      </c>
      <c r="F72" s="2" t="inlineStr">
        <is>
          <t>Reusable</t>
        </is>
      </c>
      <c r="G72" s="2" t="inlineStr">
        <is>
          <t>cups</t>
        </is>
      </c>
      <c r="H72" s="2">
        <f>IF(OR($E72="Both plans",'Read me'!$C$9="A and B",AND($E72="Plan A (freezer)",'Read me'!$C$9="A"),AND($E72="Plan B (no freezer)",'Read me'!$C$9="B")),1,0)</f>
        <v/>
      </c>
      <c r="I72" s="2" t="n"/>
      <c r="J72" s="2" t="n"/>
      <c r="K72" s="2" t="n"/>
      <c r="L72" s="2" t="n"/>
      <c r="M72" s="2" t="n"/>
      <c r="N72" s="2" t="n"/>
      <c r="O72" s="2" t="n"/>
      <c r="P72" s="2" t="n"/>
      <c r="Q72" s="2" t="n"/>
      <c r="R72" s="2" t="n"/>
      <c r="S72" s="2" t="n">
        <v>4</v>
      </c>
      <c r="T72" s="2" t="n"/>
      <c r="U72" s="2" t="n">
        <v>30</v>
      </c>
      <c r="V72" s="2" t="n">
        <v>42</v>
      </c>
      <c r="W72" s="2" t="n">
        <v>74</v>
      </c>
      <c r="X72" s="2" t="n"/>
      <c r="Y72" s="2" t="n"/>
      <c r="Z72" s="2" t="n">
        <v>48</v>
      </c>
      <c r="AA72" s="2" t="n"/>
      <c r="AB72" s="2" t="n"/>
      <c r="AC72" s="2" t="n"/>
      <c r="AD72" s="2" t="n"/>
      <c r="AE72" s="2" t="n"/>
      <c r="AF72" s="2" t="n"/>
      <c r="AG72" s="2" t="n"/>
      <c r="AH72" s="2" t="n"/>
      <c r="AI72" s="2" t="n"/>
      <c r="AJ72" s="2" t="n"/>
      <c r="AK72" s="2" t="n"/>
      <c r="AL72" s="2" t="n"/>
      <c r="AM72" s="2">
        <f>N(I72)+N(S72)+N(AC72)</f>
        <v/>
      </c>
      <c r="AN72" s="2">
        <f>N(J72)+N(T72)+N(AD72)</f>
        <v/>
      </c>
      <c r="AO72" s="2">
        <f>N(K72)+N(U72)+N(AE72)</f>
        <v/>
      </c>
      <c r="AP72" s="2">
        <f>N(L72)+N(V72)+N(AF72)</f>
        <v/>
      </c>
      <c r="AQ72" s="2">
        <f>N(M72)+N(W72)+N(AG72)</f>
        <v/>
      </c>
      <c r="AR72" s="2">
        <f>N(N72)+N(X72)+N(AH72)</f>
        <v/>
      </c>
      <c r="AS72" s="2">
        <f>N(O72)+N(Y72)+N(AI72)</f>
        <v/>
      </c>
      <c r="AT72" s="2">
        <f>N(P72)+N(Z72)+N(AJ72)</f>
        <v/>
      </c>
      <c r="AU72" s="2">
        <f>N(Q72)+N(AA72)+N(AK72)</f>
        <v/>
      </c>
      <c r="AV72" s="2">
        <f>N(R72)+N(AB72)+N(AL72)</f>
        <v/>
      </c>
      <c r="AW72" s="2">
        <f>SUM(I72:R72)</f>
        <v/>
      </c>
      <c r="AX72" s="2">
        <f>SUM(S72:AB72)</f>
        <v/>
      </c>
      <c r="AY72" s="2">
        <f>SUM(AC72:AL72)</f>
        <v/>
      </c>
    </row>
    <row r="73">
      <c r="A73" s="2" t="inlineStr">
        <is>
          <t>trays_kit|both|trays</t>
        </is>
      </c>
      <c r="B73" s="2" t="inlineStr">
        <is>
          <t>Trays, flat (kit trays)</t>
        </is>
      </c>
      <c r="C73" s="2" t="inlineStr">
        <is>
          <t>托盘（平底）</t>
        </is>
      </c>
      <c r="D73" s="2" t="inlineStr">
        <is>
          <t>Prep room equipment</t>
        </is>
      </c>
      <c r="E73" s="2" t="inlineStr">
        <is>
          <t>Both plans</t>
        </is>
      </c>
      <c r="F73" s="2" t="inlineStr">
        <is>
          <t>Reusable</t>
        </is>
      </c>
      <c r="G73" s="2" t="inlineStr">
        <is>
          <t>trays</t>
        </is>
      </c>
      <c r="H73" s="2">
        <f>IF(OR($E73="Both plans",'Read me'!$C$9="A and B",AND($E73="Plan A (freezer)",'Read me'!$C$9="A"),AND($E73="Plan B (no freezer)",'Read me'!$C$9="B")),1,0)</f>
        <v/>
      </c>
      <c r="I73" s="2" t="n"/>
      <c r="J73" s="2" t="n"/>
      <c r="K73" s="2" t="n">
        <v>1</v>
      </c>
      <c r="L73" s="2" t="n">
        <v>1</v>
      </c>
      <c r="M73" s="2" t="n"/>
      <c r="N73" s="2" t="n">
        <v>6</v>
      </c>
      <c r="O73" s="2" t="n">
        <v>6</v>
      </c>
      <c r="P73" s="2" t="n">
        <v>6</v>
      </c>
      <c r="Q73" s="2" t="n"/>
      <c r="R73" s="2" t="n"/>
      <c r="S73" s="2" t="n">
        <v>1</v>
      </c>
      <c r="T73" s="2" t="n">
        <v>6</v>
      </c>
      <c r="U73" s="2" t="n">
        <v>6</v>
      </c>
      <c r="V73" s="2" t="n">
        <v>6</v>
      </c>
      <c r="W73" s="2" t="n">
        <v>6</v>
      </c>
      <c r="X73" s="2" t="n">
        <v>6</v>
      </c>
      <c r="Y73" s="2" t="n"/>
      <c r="Z73" s="2" t="n">
        <v>8</v>
      </c>
      <c r="AA73" s="2" t="n"/>
      <c r="AB73" s="2" t="n"/>
      <c r="AC73" s="2" t="n"/>
      <c r="AD73" s="2" t="n"/>
      <c r="AE73" s="2" t="n"/>
      <c r="AF73" s="2" t="n"/>
      <c r="AG73" s="2" t="n"/>
      <c r="AH73" s="2" t="n">
        <v>6</v>
      </c>
      <c r="AI73" s="2" t="n"/>
      <c r="AJ73" s="2" t="n">
        <v>6</v>
      </c>
      <c r="AK73" s="2" t="n"/>
      <c r="AL73" s="2" t="n"/>
      <c r="AM73" s="2">
        <f>N(I73)+N(S73)+N(AC73)</f>
        <v/>
      </c>
      <c r="AN73" s="2">
        <f>N(J73)+N(T73)+N(AD73)</f>
        <v/>
      </c>
      <c r="AO73" s="2">
        <f>N(K73)+N(U73)+N(AE73)</f>
        <v/>
      </c>
      <c r="AP73" s="2">
        <f>N(L73)+N(V73)+N(AF73)</f>
        <v/>
      </c>
      <c r="AQ73" s="2">
        <f>N(M73)+N(W73)+N(AG73)</f>
        <v/>
      </c>
      <c r="AR73" s="2">
        <f>N(N73)+N(X73)+N(AH73)</f>
        <v/>
      </c>
      <c r="AS73" s="2">
        <f>N(O73)+N(Y73)+N(AI73)</f>
        <v/>
      </c>
      <c r="AT73" s="2">
        <f>N(P73)+N(Z73)+N(AJ73)</f>
        <v/>
      </c>
      <c r="AU73" s="2">
        <f>N(Q73)+N(AA73)+N(AK73)</f>
        <v/>
      </c>
      <c r="AV73" s="2">
        <f>N(R73)+N(AB73)+N(AL73)</f>
        <v/>
      </c>
      <c r="AW73" s="2">
        <f>SUM(I73:R73)</f>
        <v/>
      </c>
      <c r="AX73" s="2">
        <f>SUM(S73:AB73)</f>
        <v/>
      </c>
      <c r="AY73" s="2">
        <f>SUM(AC73:AL73)</f>
        <v/>
      </c>
    </row>
    <row r="74">
      <c r="A74" s="2" t="inlineStr">
        <is>
          <t>calculator_basic|both|calculators</t>
        </is>
      </c>
      <c r="B74" s="2" t="inlineStr">
        <is>
          <t>Calculator, basic</t>
        </is>
      </c>
      <c r="C74" s="2" t="inlineStr">
        <is>
          <t>计算器（简易型）</t>
        </is>
      </c>
      <c r="D74" s="2" t="inlineStr">
        <is>
          <t>Prep room equipment</t>
        </is>
      </c>
      <c r="E74" s="2" t="inlineStr">
        <is>
          <t>Both plans</t>
        </is>
      </c>
      <c r="F74" s="2" t="inlineStr">
        <is>
          <t>Reusable</t>
        </is>
      </c>
      <c r="G74" s="2" t="inlineStr">
        <is>
          <t>calculators</t>
        </is>
      </c>
      <c r="H74" s="2">
        <f>IF(OR($E74="Both plans",'Read me'!$C$9="A and B",AND($E74="Plan A (freezer)",'Read me'!$C$9="A"),AND($E74="Plan B (no freezer)",'Read me'!$C$9="B")),1,0)</f>
        <v/>
      </c>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v>1</v>
      </c>
      <c r="AE74" s="2" t="n">
        <v>6</v>
      </c>
      <c r="AF74" s="2" t="n"/>
      <c r="AG74" s="2" t="n"/>
      <c r="AH74" s="2" t="n"/>
      <c r="AI74" s="2" t="n"/>
      <c r="AJ74" s="2" t="n"/>
      <c r="AK74" s="2" t="n">
        <v>6</v>
      </c>
      <c r="AL74" s="2" t="n"/>
      <c r="AM74" s="2">
        <f>N(I74)+N(S74)+N(AC74)</f>
        <v/>
      </c>
      <c r="AN74" s="2">
        <f>N(J74)+N(T74)+N(AD74)</f>
        <v/>
      </c>
      <c r="AO74" s="2">
        <f>N(K74)+N(U74)+N(AE74)</f>
        <v/>
      </c>
      <c r="AP74" s="2">
        <f>N(L74)+N(V74)+N(AF74)</f>
        <v/>
      </c>
      <c r="AQ74" s="2">
        <f>N(M74)+N(W74)+N(AG74)</f>
        <v/>
      </c>
      <c r="AR74" s="2">
        <f>N(N74)+N(X74)+N(AH74)</f>
        <v/>
      </c>
      <c r="AS74" s="2">
        <f>N(O74)+N(Y74)+N(AI74)</f>
        <v/>
      </c>
      <c r="AT74" s="2">
        <f>N(P74)+N(Z74)+N(AJ74)</f>
        <v/>
      </c>
      <c r="AU74" s="2">
        <f>N(Q74)+N(AA74)+N(AK74)</f>
        <v/>
      </c>
      <c r="AV74" s="2">
        <f>N(R74)+N(AB74)+N(AL74)</f>
        <v/>
      </c>
      <c r="AW74" s="2">
        <f>SUM(I74:R74)</f>
        <v/>
      </c>
      <c r="AX74" s="2">
        <f>SUM(S74:AB74)</f>
        <v/>
      </c>
      <c r="AY74" s="2">
        <f>SUM(AC74:AL74)</f>
        <v/>
      </c>
    </row>
    <row r="75">
      <c r="A75" s="2" t="inlineStr">
        <is>
          <t>cloth_wiping|both|cloths</t>
        </is>
      </c>
      <c r="B75" s="2" t="inlineStr">
        <is>
          <t>Cloths for wiping tables</t>
        </is>
      </c>
      <c r="C75" s="2" t="inlineStr">
        <is>
          <t>抹布</t>
        </is>
      </c>
      <c r="D75" s="2" t="inlineStr">
        <is>
          <t>Prep room equipment</t>
        </is>
      </c>
      <c r="E75" s="2" t="inlineStr">
        <is>
          <t>Both plans</t>
        </is>
      </c>
      <c r="F75" s="2" t="inlineStr">
        <is>
          <t>Reusable</t>
        </is>
      </c>
      <c r="G75" s="2" t="inlineStr">
        <is>
          <t>cloths</t>
        </is>
      </c>
      <c r="H75" s="2">
        <f>IF(OR($E75="Both plans",'Read me'!$C$9="A and B",AND($E75="Plan A (freezer)",'Read me'!$C$9="A"),AND($E75="Plan B (no freezer)",'Read me'!$C$9="B")),1,0)</f>
        <v/>
      </c>
      <c r="I75" s="2" t="n"/>
      <c r="J75" s="2" t="n"/>
      <c r="K75" s="2" t="n"/>
      <c r="L75" s="2" t="n"/>
      <c r="M75" s="2" t="n"/>
      <c r="N75" s="2" t="n"/>
      <c r="O75" s="2" t="n"/>
      <c r="P75" s="2" t="n"/>
      <c r="Q75" s="2" t="n"/>
      <c r="R75" s="2" t="n"/>
      <c r="S75" s="2" t="n"/>
      <c r="T75" s="2" t="n">
        <v>6</v>
      </c>
      <c r="U75" s="2" t="n">
        <v>6</v>
      </c>
      <c r="V75" s="2" t="n">
        <v>6</v>
      </c>
      <c r="W75" s="2" t="n">
        <v>6</v>
      </c>
      <c r="X75" s="2" t="n"/>
      <c r="Y75" s="2" t="n"/>
      <c r="Z75" s="2" t="n">
        <v>6</v>
      </c>
      <c r="AA75" s="2" t="n"/>
      <c r="AB75" s="2" t="n"/>
      <c r="AC75" s="2" t="n"/>
      <c r="AD75" s="2" t="n"/>
      <c r="AE75" s="2" t="n"/>
      <c r="AF75" s="2" t="n"/>
      <c r="AG75" s="2" t="n"/>
      <c r="AH75" s="2" t="n"/>
      <c r="AI75" s="2" t="n"/>
      <c r="AJ75" s="2" t="n">
        <v>1</v>
      </c>
      <c r="AK75" s="2" t="n"/>
      <c r="AL75" s="2" t="n"/>
      <c r="AM75" s="2">
        <f>N(I75)+N(S75)+N(AC75)</f>
        <v/>
      </c>
      <c r="AN75" s="2">
        <f>N(J75)+N(T75)+N(AD75)</f>
        <v/>
      </c>
      <c r="AO75" s="2">
        <f>N(K75)+N(U75)+N(AE75)</f>
        <v/>
      </c>
      <c r="AP75" s="2">
        <f>N(L75)+N(V75)+N(AF75)</f>
        <v/>
      </c>
      <c r="AQ75" s="2">
        <f>N(M75)+N(W75)+N(AG75)</f>
        <v/>
      </c>
      <c r="AR75" s="2">
        <f>N(N75)+N(X75)+N(AH75)</f>
        <v/>
      </c>
      <c r="AS75" s="2">
        <f>N(O75)+N(Y75)+N(AI75)</f>
        <v/>
      </c>
      <c r="AT75" s="2">
        <f>N(P75)+N(Z75)+N(AJ75)</f>
        <v/>
      </c>
      <c r="AU75" s="2">
        <f>N(Q75)+N(AA75)+N(AK75)</f>
        <v/>
      </c>
      <c r="AV75" s="2">
        <f>N(R75)+N(AB75)+N(AL75)</f>
        <v/>
      </c>
      <c r="AW75" s="2">
        <f>SUM(I75:R75)</f>
        <v/>
      </c>
      <c r="AX75" s="2">
        <f>SUM(S75:AB75)</f>
        <v/>
      </c>
      <c r="AY75" s="2">
        <f>SUM(AC75:AL75)</f>
        <v/>
      </c>
    </row>
    <row r="76">
      <c r="A76" s="2" t="inlineStr">
        <is>
          <t>magnifying_glass|both|magnifiers</t>
        </is>
      </c>
      <c r="B76" s="2" t="inlineStr">
        <is>
          <t>Magnifying glasses, hand-held</t>
        </is>
      </c>
      <c r="C76" s="2" t="inlineStr">
        <is>
          <t>放大镜（手持）</t>
        </is>
      </c>
      <c r="D76" s="2" t="inlineStr">
        <is>
          <t>Prep room equipment</t>
        </is>
      </c>
      <c r="E76" s="2" t="inlineStr">
        <is>
          <t>Both plans</t>
        </is>
      </c>
      <c r="F76" s="2" t="inlineStr">
        <is>
          <t>Reusable</t>
        </is>
      </c>
      <c r="G76" s="2" t="inlineStr">
        <is>
          <t>magnifiers</t>
        </is>
      </c>
      <c r="H76" s="2">
        <f>IF(OR($E76="Both plans",'Read me'!$C$9="A and B",AND($E76="Plan A (freezer)",'Read me'!$C$9="A"),AND($E76="Plan B (no freezer)",'Read me'!$C$9="B")),1,0)</f>
        <v/>
      </c>
      <c r="I76" s="2" t="n"/>
      <c r="J76" s="2" t="n"/>
      <c r="K76" s="2" t="n"/>
      <c r="L76" s="2" t="n"/>
      <c r="M76" s="2" t="n"/>
      <c r="N76" s="2" t="n"/>
      <c r="O76" s="2" t="n"/>
      <c r="P76" s="2" t="n"/>
      <c r="Q76" s="2" t="n"/>
      <c r="R76" s="2" t="n"/>
      <c r="S76" s="2" t="n"/>
      <c r="T76" s="2" t="n">
        <v>12</v>
      </c>
      <c r="U76" s="2" t="n"/>
      <c r="V76" s="2" t="n">
        <v>6</v>
      </c>
      <c r="W76" s="2" t="n"/>
      <c r="X76" s="2" t="n"/>
      <c r="Y76" s="2" t="n"/>
      <c r="Z76" s="2" t="n">
        <v>6</v>
      </c>
      <c r="AA76" s="2" t="n"/>
      <c r="AB76" s="2" t="n"/>
      <c r="AC76" s="2" t="n"/>
      <c r="AD76" s="2" t="n"/>
      <c r="AE76" s="2" t="n"/>
      <c r="AF76" s="2" t="n"/>
      <c r="AG76" s="2" t="n"/>
      <c r="AH76" s="2" t="n"/>
      <c r="AI76" s="2" t="n"/>
      <c r="AJ76" s="2" t="n"/>
      <c r="AK76" s="2" t="n"/>
      <c r="AL76" s="2" t="n"/>
      <c r="AM76" s="2">
        <f>N(I76)+N(S76)+N(AC76)</f>
        <v/>
      </c>
      <c r="AN76" s="2">
        <f>N(J76)+N(T76)+N(AD76)</f>
        <v/>
      </c>
      <c r="AO76" s="2">
        <f>N(K76)+N(U76)+N(AE76)</f>
        <v/>
      </c>
      <c r="AP76" s="2">
        <f>N(L76)+N(V76)+N(AF76)</f>
        <v/>
      </c>
      <c r="AQ76" s="2">
        <f>N(M76)+N(W76)+N(AG76)</f>
        <v/>
      </c>
      <c r="AR76" s="2">
        <f>N(N76)+N(X76)+N(AH76)</f>
        <v/>
      </c>
      <c r="AS76" s="2">
        <f>N(O76)+N(Y76)+N(AI76)</f>
        <v/>
      </c>
      <c r="AT76" s="2">
        <f>N(P76)+N(Z76)+N(AJ76)</f>
        <v/>
      </c>
      <c r="AU76" s="2">
        <f>N(Q76)+N(AA76)+N(AK76)</f>
        <v/>
      </c>
      <c r="AV76" s="2">
        <f>N(R76)+N(AB76)+N(AL76)</f>
        <v/>
      </c>
      <c r="AW76" s="2">
        <f>SUM(I76:R76)</f>
        <v/>
      </c>
      <c r="AX76" s="2">
        <f>SUM(S76:AB76)</f>
        <v/>
      </c>
      <c r="AY76" s="2">
        <f>SUM(AC76:AL76)</f>
        <v/>
      </c>
    </row>
    <row r="77">
      <c r="A77" s="2" t="inlineStr">
        <is>
          <t>paper_towels_lab_dispenser|both|sheets</t>
        </is>
      </c>
      <c r="B77" s="2" t="inlineStr">
        <is>
          <t>Paper towels, the lab's own dispenser roll</t>
        </is>
      </c>
      <c r="C77" s="2" t="inlineStr">
        <is>
          <t>实验室纸巾（水槽抽取式擦手纸）</t>
        </is>
      </c>
      <c r="D77" s="2" t="inlineStr">
        <is>
          <t>Prep room equipment</t>
        </is>
      </c>
      <c r="E77" s="2" t="inlineStr">
        <is>
          <t>Both plans</t>
        </is>
      </c>
      <c r="F77" s="2" t="inlineStr">
        <is>
          <t>Used up</t>
        </is>
      </c>
      <c r="G77" s="2" t="inlineStr">
        <is>
          <t>sheets</t>
        </is>
      </c>
      <c r="H77" s="2">
        <f>IF(OR($E77="Both plans",'Read me'!$C$9="A and B",AND($E77="Plan A (freezer)",'Read me'!$C$9="A"),AND($E77="Plan B (no freezer)",'Read me'!$C$9="B")),1,0)</f>
        <v/>
      </c>
      <c r="I77" s="2" t="n"/>
      <c r="J77" s="2" t="n"/>
      <c r="K77" s="2" t="n"/>
      <c r="L77" s="2" t="n"/>
      <c r="M77" s="2" t="n"/>
      <c r="N77" s="2" t="n"/>
      <c r="O77" s="2" t="n"/>
      <c r="P77" s="2" t="n"/>
      <c r="Q77" s="2" t="n"/>
      <c r="R77" s="2" t="n"/>
      <c r="S77" s="2" t="n"/>
      <c r="T77" s="2" t="n">
        <v>18</v>
      </c>
      <c r="U77" s="2" t="n">
        <v>12</v>
      </c>
      <c r="V77" s="2" t="n">
        <v>18</v>
      </c>
      <c r="W77" s="2" t="n">
        <v>18</v>
      </c>
      <c r="X77" s="2" t="n"/>
      <c r="Y77" s="2" t="n">
        <v>2</v>
      </c>
      <c r="Z77" s="2" t="n">
        <v>26</v>
      </c>
      <c r="AA77" s="2" t="n"/>
      <c r="AB77" s="2" t="n"/>
      <c r="AC77" s="2" t="n"/>
      <c r="AD77" s="2" t="n"/>
      <c r="AE77" s="2" t="n"/>
      <c r="AF77" s="2" t="n"/>
      <c r="AG77" s="2" t="n"/>
      <c r="AH77" s="2" t="n"/>
      <c r="AI77" s="2" t="n"/>
      <c r="AJ77" s="2" t="n"/>
      <c r="AK77" s="2" t="n"/>
      <c r="AL77" s="2" t="n"/>
      <c r="AM77" s="2">
        <f>N(I77)+N(S77)+N(AC77)</f>
        <v/>
      </c>
      <c r="AN77" s="2">
        <f>N(J77)+N(T77)+N(AD77)</f>
        <v/>
      </c>
      <c r="AO77" s="2">
        <f>N(K77)+N(U77)+N(AE77)</f>
        <v/>
      </c>
      <c r="AP77" s="2">
        <f>N(L77)+N(V77)+N(AF77)</f>
        <v/>
      </c>
      <c r="AQ77" s="2">
        <f>N(M77)+N(W77)+N(AG77)</f>
        <v/>
      </c>
      <c r="AR77" s="2">
        <f>N(N77)+N(X77)+N(AH77)</f>
        <v/>
      </c>
      <c r="AS77" s="2">
        <f>N(O77)+N(Y77)+N(AI77)</f>
        <v/>
      </c>
      <c r="AT77" s="2">
        <f>N(P77)+N(Z77)+N(AJ77)</f>
        <v/>
      </c>
      <c r="AU77" s="2">
        <f>N(Q77)+N(AA77)+N(AK77)</f>
        <v/>
      </c>
      <c r="AV77" s="2">
        <f>N(R77)+N(AB77)+N(AL77)</f>
        <v/>
      </c>
      <c r="AW77" s="2">
        <f>SUM(I77:R77)</f>
        <v/>
      </c>
      <c r="AX77" s="2">
        <f>SUM(S77:AB77)</f>
        <v/>
      </c>
      <c r="AY77" s="2">
        <f>SUM(AC77:AL77)</f>
        <v/>
      </c>
    </row>
    <row r="78">
      <c r="A78" s="2" t="inlineStr">
        <is>
          <t>ruler_30cm|both|rulers</t>
        </is>
      </c>
      <c r="B78" s="2" t="inlineStr">
        <is>
          <t>Ruler, 30 cm</t>
        </is>
      </c>
      <c r="C78" s="2" t="inlineStr">
        <is>
          <t>直尺 30厘米</t>
        </is>
      </c>
      <c r="D78" s="2" t="inlineStr">
        <is>
          <t>Prep room equipment</t>
        </is>
      </c>
      <c r="E78" s="2" t="inlineStr">
        <is>
          <t>Both plans</t>
        </is>
      </c>
      <c r="F78" s="2" t="inlineStr">
        <is>
          <t>Reusable</t>
        </is>
      </c>
      <c r="G78" s="2" t="inlineStr">
        <is>
          <t>rulers</t>
        </is>
      </c>
      <c r="H78" s="2">
        <f>IF(OR($E78="Both plans",'Read me'!$C$9="A and B",AND($E78="Plan A (freezer)",'Read me'!$C$9="A"),AND($E78="Plan B (no freezer)",'Read me'!$C$9="B")),1,0)</f>
        <v/>
      </c>
      <c r="I78" s="2" t="n"/>
      <c r="J78" s="2" t="n"/>
      <c r="K78" s="2" t="n"/>
      <c r="L78" s="2" t="n"/>
      <c r="M78" s="2" t="n">
        <v>24</v>
      </c>
      <c r="N78" s="2" t="n"/>
      <c r="O78" s="2" t="n"/>
      <c r="P78" s="2" t="n">
        <v>6</v>
      </c>
      <c r="Q78" s="2" t="n">
        <v>12</v>
      </c>
      <c r="R78" s="2" t="n"/>
      <c r="S78" s="2" t="n"/>
      <c r="T78" s="2" t="n"/>
      <c r="U78" s="2" t="n">
        <v>6</v>
      </c>
      <c r="V78" s="2" t="n"/>
      <c r="W78" s="2" t="n"/>
      <c r="X78" s="2" t="n">
        <v>12</v>
      </c>
      <c r="Y78" s="2" t="n"/>
      <c r="Z78" s="2" t="n">
        <v>8</v>
      </c>
      <c r="AA78" s="2" t="n"/>
      <c r="AB78" s="2" t="n"/>
      <c r="AC78" s="2" t="n"/>
      <c r="AD78" s="2" t="n">
        <v>24</v>
      </c>
      <c r="AE78" s="2" t="n">
        <v>12</v>
      </c>
      <c r="AF78" s="2" t="n">
        <v>24</v>
      </c>
      <c r="AG78" s="2" t="n"/>
      <c r="AH78" s="2" t="n"/>
      <c r="AI78" s="2" t="n"/>
      <c r="AJ78" s="2" t="n">
        <v>4</v>
      </c>
      <c r="AK78" s="2" t="n">
        <v>12</v>
      </c>
      <c r="AL78" s="2" t="n"/>
      <c r="AM78" s="2">
        <f>N(I78)+N(S78)+N(AC78)</f>
        <v/>
      </c>
      <c r="AN78" s="2">
        <f>N(J78)+N(T78)+N(AD78)</f>
        <v/>
      </c>
      <c r="AO78" s="2">
        <f>N(K78)+N(U78)+N(AE78)</f>
        <v/>
      </c>
      <c r="AP78" s="2">
        <f>N(L78)+N(V78)+N(AF78)</f>
        <v/>
      </c>
      <c r="AQ78" s="2">
        <f>N(M78)+N(W78)+N(AG78)</f>
        <v/>
      </c>
      <c r="AR78" s="2">
        <f>N(N78)+N(X78)+N(AH78)</f>
        <v/>
      </c>
      <c r="AS78" s="2">
        <f>N(O78)+N(Y78)+N(AI78)</f>
        <v/>
      </c>
      <c r="AT78" s="2">
        <f>N(P78)+N(Z78)+N(AJ78)</f>
        <v/>
      </c>
      <c r="AU78" s="2">
        <f>N(Q78)+N(AA78)+N(AK78)</f>
        <v/>
      </c>
      <c r="AV78" s="2">
        <f>N(R78)+N(AB78)+N(AL78)</f>
        <v/>
      </c>
      <c r="AW78" s="2">
        <f>SUM(I78:R78)</f>
        <v/>
      </c>
      <c r="AX78" s="2">
        <f>SUM(S78:AB78)</f>
        <v/>
      </c>
      <c r="AY78" s="2">
        <f>SUM(AC78:AL78)</f>
        <v/>
      </c>
    </row>
    <row r="79">
      <c r="A79" s="2" t="inlineStr">
        <is>
          <t>metre_stick|both|metre sticks</t>
        </is>
      </c>
      <c r="B79" s="2" t="inlineStr">
        <is>
          <t>Metre stick</t>
        </is>
      </c>
      <c r="C79" s="2" t="inlineStr">
        <is>
          <t>米尺（1米）</t>
        </is>
      </c>
      <c r="D79" s="2" t="inlineStr">
        <is>
          <t>Prep room equipment</t>
        </is>
      </c>
      <c r="E79" s="2" t="inlineStr">
        <is>
          <t>Both plans</t>
        </is>
      </c>
      <c r="F79" s="2" t="inlineStr">
        <is>
          <t>Reusable</t>
        </is>
      </c>
      <c r="G79" s="2" t="inlineStr">
        <is>
          <t>metre sticks</t>
        </is>
      </c>
      <c r="H79" s="2">
        <f>IF(OR($E79="Both plans",'Read me'!$C$9="A and B",AND($E79="Plan A (freezer)",'Read me'!$C$9="A"),AND($E79="Plan B (no freezer)",'Read me'!$C$9="B")),1,0)</f>
        <v/>
      </c>
      <c r="I79" s="2" t="n"/>
      <c r="J79" s="2" t="n"/>
      <c r="K79" s="2" t="n">
        <v>6</v>
      </c>
      <c r="L79" s="2" t="n">
        <v>1</v>
      </c>
      <c r="M79" s="2" t="n"/>
      <c r="N79" s="2" t="n"/>
      <c r="O79" s="2" t="n"/>
      <c r="P79" s="2" t="n"/>
      <c r="Q79" s="2" t="n"/>
      <c r="R79" s="2" t="n"/>
      <c r="S79" s="2" t="n"/>
      <c r="T79" s="2" t="n"/>
      <c r="U79" s="2" t="n"/>
      <c r="V79" s="2" t="n"/>
      <c r="W79" s="2" t="n"/>
      <c r="X79" s="2" t="n">
        <v>7</v>
      </c>
      <c r="Y79" s="2" t="n"/>
      <c r="Z79" s="2" t="n"/>
      <c r="AA79" s="2" t="n"/>
      <c r="AB79" s="2" t="n"/>
      <c r="AC79" s="2" t="n"/>
      <c r="AD79" s="2" t="n"/>
      <c r="AE79" s="2" t="n"/>
      <c r="AF79" s="2" t="n"/>
      <c r="AG79" s="2" t="n"/>
      <c r="AH79" s="2" t="n"/>
      <c r="AI79" s="2" t="n"/>
      <c r="AJ79" s="2" t="n"/>
      <c r="AK79" s="2" t="n"/>
      <c r="AL79" s="2" t="n"/>
      <c r="AM79" s="2">
        <f>N(I79)+N(S79)+N(AC79)</f>
        <v/>
      </c>
      <c r="AN79" s="2">
        <f>N(J79)+N(T79)+N(AD79)</f>
        <v/>
      </c>
      <c r="AO79" s="2">
        <f>N(K79)+N(U79)+N(AE79)</f>
        <v/>
      </c>
      <c r="AP79" s="2">
        <f>N(L79)+N(V79)+N(AF79)</f>
        <v/>
      </c>
      <c r="AQ79" s="2">
        <f>N(M79)+N(W79)+N(AG79)</f>
        <v/>
      </c>
      <c r="AR79" s="2">
        <f>N(N79)+N(X79)+N(AH79)</f>
        <v/>
      </c>
      <c r="AS79" s="2">
        <f>N(O79)+N(Y79)+N(AI79)</f>
        <v/>
      </c>
      <c r="AT79" s="2">
        <f>N(P79)+N(Z79)+N(AJ79)</f>
        <v/>
      </c>
      <c r="AU79" s="2">
        <f>N(Q79)+N(AA79)+N(AK79)</f>
        <v/>
      </c>
      <c r="AV79" s="2">
        <f>N(R79)+N(AB79)+N(AL79)</f>
        <v/>
      </c>
      <c r="AW79" s="2">
        <f>SUM(I79:R79)</f>
        <v/>
      </c>
      <c r="AX79" s="2">
        <f>SUM(S79:AB79)</f>
        <v/>
      </c>
      <c r="AY79" s="2">
        <f>SUM(AC79:AL79)</f>
        <v/>
      </c>
    </row>
    <row r="80">
      <c r="A80" s="2" t="inlineStr">
        <is>
          <t>scissors|both|pairs</t>
        </is>
      </c>
      <c r="B80" s="2" t="inlineStr">
        <is>
          <t>Scissors</t>
        </is>
      </c>
      <c r="C80" s="2" t="inlineStr">
        <is>
          <t>剪刀</t>
        </is>
      </c>
      <c r="D80" s="2" t="inlineStr">
        <is>
          <t>Prep room equipment</t>
        </is>
      </c>
      <c r="E80" s="2" t="inlineStr">
        <is>
          <t>Both plans</t>
        </is>
      </c>
      <c r="F80" s="2" t="inlineStr">
        <is>
          <t>Reusable</t>
        </is>
      </c>
      <c r="G80" s="2" t="inlineStr">
        <is>
          <t>pairs</t>
        </is>
      </c>
      <c r="H80" s="2">
        <f>IF(OR($E80="Both plans",'Read me'!$C$9="A and B",AND($E80="Plan A (freezer)",'Read me'!$C$9="A"),AND($E80="Plan B (no freezer)",'Read me'!$C$9="B")),1,0)</f>
        <v/>
      </c>
      <c r="I80" s="2" t="n"/>
      <c r="J80" s="2" t="n"/>
      <c r="K80" s="2" t="n">
        <v>12</v>
      </c>
      <c r="L80" s="2" t="n">
        <v>6</v>
      </c>
      <c r="M80" s="2" t="n"/>
      <c r="N80" s="2" t="n"/>
      <c r="O80" s="2" t="n"/>
      <c r="P80" s="2" t="n"/>
      <c r="Q80" s="2" t="n">
        <v>6</v>
      </c>
      <c r="R80" s="2" t="n"/>
      <c r="S80" s="2" t="n"/>
      <c r="T80" s="2" t="n"/>
      <c r="U80" s="2" t="n"/>
      <c r="V80" s="2" t="n"/>
      <c r="W80" s="2" t="n"/>
      <c r="X80" s="2" t="n"/>
      <c r="Y80" s="2" t="n"/>
      <c r="Z80" s="2" t="n">
        <v>4</v>
      </c>
      <c r="AA80" s="2" t="n"/>
      <c r="AB80" s="2" t="n"/>
      <c r="AC80" s="2" t="n"/>
      <c r="AD80" s="2" t="n"/>
      <c r="AE80" s="2" t="n"/>
      <c r="AF80" s="2" t="n"/>
      <c r="AG80" s="2" t="n"/>
      <c r="AH80" s="2" t="n"/>
      <c r="AI80" s="2" t="n"/>
      <c r="AJ80" s="2" t="n">
        <v>1</v>
      </c>
      <c r="AK80" s="2" t="n"/>
      <c r="AL80" s="2" t="n"/>
      <c r="AM80" s="2">
        <f>N(I80)+N(S80)+N(AC80)</f>
        <v/>
      </c>
      <c r="AN80" s="2">
        <f>N(J80)+N(T80)+N(AD80)</f>
        <v/>
      </c>
      <c r="AO80" s="2">
        <f>N(K80)+N(U80)+N(AE80)</f>
        <v/>
      </c>
      <c r="AP80" s="2">
        <f>N(L80)+N(V80)+N(AF80)</f>
        <v/>
      </c>
      <c r="AQ80" s="2">
        <f>N(M80)+N(W80)+N(AG80)</f>
        <v/>
      </c>
      <c r="AR80" s="2">
        <f>N(N80)+N(X80)+N(AH80)</f>
        <v/>
      </c>
      <c r="AS80" s="2">
        <f>N(O80)+N(Y80)+N(AI80)</f>
        <v/>
      </c>
      <c r="AT80" s="2">
        <f>N(P80)+N(Z80)+N(AJ80)</f>
        <v/>
      </c>
      <c r="AU80" s="2">
        <f>N(Q80)+N(AA80)+N(AK80)</f>
        <v/>
      </c>
      <c r="AV80" s="2">
        <f>N(R80)+N(AB80)+N(AL80)</f>
        <v/>
      </c>
      <c r="AW80" s="2">
        <f>SUM(I80:R80)</f>
        <v/>
      </c>
      <c r="AX80" s="2">
        <f>SUM(S80:AB80)</f>
        <v/>
      </c>
      <c r="AY80" s="2">
        <f>SUM(AC80:AL80)</f>
        <v/>
      </c>
    </row>
    <row r="81">
      <c r="A81" s="2" t="inlineStr">
        <is>
          <t>stopwatch|both|stopwatches</t>
        </is>
      </c>
      <c r="B81" s="2" t="inlineStr">
        <is>
          <t>Stopwatch</t>
        </is>
      </c>
      <c r="C81" s="2" t="inlineStr">
        <is>
          <t>秒表</t>
        </is>
      </c>
      <c r="D81" s="2" t="inlineStr">
        <is>
          <t>Prep room equipment</t>
        </is>
      </c>
      <c r="E81" s="2" t="inlineStr">
        <is>
          <t>Both plans</t>
        </is>
      </c>
      <c r="F81" s="2" t="inlineStr">
        <is>
          <t>Reusable</t>
        </is>
      </c>
      <c r="G81" s="2" t="inlineStr">
        <is>
          <t>stopwatches</t>
        </is>
      </c>
      <c r="H81" s="2">
        <f>IF(OR($E81="Both plans",'Read me'!$C$9="A and B",AND($E81="Plan A (freezer)",'Read me'!$C$9="A"),AND($E81="Plan B (no freezer)",'Read me'!$C$9="B")),1,0)</f>
        <v/>
      </c>
      <c r="I81" s="2" t="n"/>
      <c r="J81" s="2" t="n"/>
      <c r="K81" s="2" t="n">
        <v>6</v>
      </c>
      <c r="L81" s="2" t="n">
        <v>7</v>
      </c>
      <c r="M81" s="2" t="n"/>
      <c r="N81" s="2" t="n">
        <v>6</v>
      </c>
      <c r="O81" s="2" t="n"/>
      <c r="P81" s="2" t="n">
        <v>2</v>
      </c>
      <c r="Q81" s="2" t="n"/>
      <c r="R81" s="2" t="n"/>
      <c r="S81" s="2" t="n"/>
      <c r="T81" s="2" t="n"/>
      <c r="U81" s="2" t="n"/>
      <c r="V81" s="2" t="n"/>
      <c r="W81" s="2" t="n"/>
      <c r="X81" s="2" t="n"/>
      <c r="Y81" s="2" t="n"/>
      <c r="Z81" s="2" t="n">
        <v>6</v>
      </c>
      <c r="AA81" s="2" t="n"/>
      <c r="AB81" s="2" t="n">
        <v>1</v>
      </c>
      <c r="AC81" s="2" t="n"/>
      <c r="AD81" s="2" t="n"/>
      <c r="AE81" s="2" t="n"/>
      <c r="AF81" s="2" t="n"/>
      <c r="AG81" s="2" t="n"/>
      <c r="AH81" s="2" t="n">
        <v>6</v>
      </c>
      <c r="AI81" s="2" t="n"/>
      <c r="AJ81" s="2" t="n">
        <v>7</v>
      </c>
      <c r="AK81" s="2" t="n"/>
      <c r="AL81" s="2" t="n">
        <v>1</v>
      </c>
      <c r="AM81" s="2">
        <f>N(I81)+N(S81)+N(AC81)</f>
        <v/>
      </c>
      <c r="AN81" s="2">
        <f>N(J81)+N(T81)+N(AD81)</f>
        <v/>
      </c>
      <c r="AO81" s="2">
        <f>N(K81)+N(U81)+N(AE81)</f>
        <v/>
      </c>
      <c r="AP81" s="2">
        <f>N(L81)+N(V81)+N(AF81)</f>
        <v/>
      </c>
      <c r="AQ81" s="2">
        <f>N(M81)+N(W81)+N(AG81)</f>
        <v/>
      </c>
      <c r="AR81" s="2">
        <f>N(N81)+N(X81)+N(AH81)</f>
        <v/>
      </c>
      <c r="AS81" s="2">
        <f>N(O81)+N(Y81)+N(AI81)</f>
        <v/>
      </c>
      <c r="AT81" s="2">
        <f>N(P81)+N(Z81)+N(AJ81)</f>
        <v/>
      </c>
      <c r="AU81" s="2">
        <f>N(Q81)+N(AA81)+N(AK81)</f>
        <v/>
      </c>
      <c r="AV81" s="2">
        <f>N(R81)+N(AB81)+N(AL81)</f>
        <v/>
      </c>
      <c r="AW81" s="2">
        <f>SUM(I81:R81)</f>
        <v/>
      </c>
      <c r="AX81" s="2">
        <f>SUM(S81:AB81)</f>
        <v/>
      </c>
      <c r="AY81" s="2">
        <f>SUM(AC81:AL81)</f>
        <v/>
      </c>
    </row>
    <row r="82">
      <c r="A82" s="2" t="inlineStr">
        <is>
          <t>droppers_plastic|both|droppers</t>
        </is>
      </c>
      <c r="B82" s="2" t="inlineStr">
        <is>
          <t>Droppers (plastic pipettes)</t>
        </is>
      </c>
      <c r="C82" s="2" t="inlineStr">
        <is>
          <t>塑料滴管</t>
        </is>
      </c>
      <c r="D82" s="2" t="inlineStr">
        <is>
          <t>Prep room equipment</t>
        </is>
      </c>
      <c r="E82" s="2" t="inlineStr">
        <is>
          <t>Both plans</t>
        </is>
      </c>
      <c r="F82" s="2" t="inlineStr">
        <is>
          <t>Reusable</t>
        </is>
      </c>
      <c r="G82" s="2" t="inlineStr">
        <is>
          <t>droppers</t>
        </is>
      </c>
      <c r="H82" s="2">
        <f>IF(OR($E82="Both plans",'Read me'!$C$9="A and B",AND($E82="Plan A (freezer)",'Read me'!$C$9="A"),AND($E82="Plan B (no freezer)",'Read me'!$C$9="B")),1,0)</f>
        <v/>
      </c>
      <c r="I82" s="2" t="n"/>
      <c r="J82" s="2" t="n"/>
      <c r="K82" s="2" t="n"/>
      <c r="L82" s="2" t="n"/>
      <c r="M82" s="2" t="n"/>
      <c r="N82" s="2" t="n"/>
      <c r="O82" s="2" t="n"/>
      <c r="P82" s="2" t="n"/>
      <c r="Q82" s="2" t="n"/>
      <c r="R82" s="2" t="n"/>
      <c r="S82" s="2" t="n"/>
      <c r="T82" s="2" t="n"/>
      <c r="U82" s="2" t="n"/>
      <c r="V82" s="2" t="n">
        <v>6</v>
      </c>
      <c r="W82" s="2" t="n">
        <v>36</v>
      </c>
      <c r="X82" s="2" t="n"/>
      <c r="Y82" s="2" t="n"/>
      <c r="Z82" s="2" t="n">
        <v>2</v>
      </c>
      <c r="AA82" s="2" t="n"/>
      <c r="AB82" s="2" t="n"/>
      <c r="AC82" s="2" t="n"/>
      <c r="AD82" s="2" t="n"/>
      <c r="AE82" s="2" t="n"/>
      <c r="AF82" s="2" t="n"/>
      <c r="AG82" s="2" t="n"/>
      <c r="AH82" s="2" t="n"/>
      <c r="AI82" s="2" t="n"/>
      <c r="AJ82" s="2" t="n"/>
      <c r="AK82" s="2" t="n"/>
      <c r="AL82" s="2" t="n"/>
      <c r="AM82" s="2">
        <f>N(I82)+N(S82)+N(AC82)</f>
        <v/>
      </c>
      <c r="AN82" s="2">
        <f>N(J82)+N(T82)+N(AD82)</f>
        <v/>
      </c>
      <c r="AO82" s="2">
        <f>N(K82)+N(U82)+N(AE82)</f>
        <v/>
      </c>
      <c r="AP82" s="2">
        <f>N(L82)+N(V82)+N(AF82)</f>
        <v/>
      </c>
      <c r="AQ82" s="2">
        <f>N(M82)+N(W82)+N(AG82)</f>
        <v/>
      </c>
      <c r="AR82" s="2">
        <f>N(N82)+N(X82)+N(AH82)</f>
        <v/>
      </c>
      <c r="AS82" s="2">
        <f>N(O82)+N(Y82)+N(AI82)</f>
        <v/>
      </c>
      <c r="AT82" s="2">
        <f>N(P82)+N(Z82)+N(AJ82)</f>
        <v/>
      </c>
      <c r="AU82" s="2">
        <f>N(Q82)+N(AA82)+N(AK82)</f>
        <v/>
      </c>
      <c r="AV82" s="2">
        <f>N(R82)+N(AB82)+N(AL82)</f>
        <v/>
      </c>
      <c r="AW82" s="2">
        <f>SUM(I82:R82)</f>
        <v/>
      </c>
      <c r="AX82" s="2">
        <f>SUM(S82:AB82)</f>
        <v/>
      </c>
      <c r="AY82" s="2">
        <f>SUM(AC82:AL82)</f>
        <v/>
      </c>
    </row>
    <row r="83">
      <c r="A83" s="2" t="inlineStr">
        <is>
          <t>iodine_solution|both|dropper bottles</t>
        </is>
      </c>
      <c r="B83" s="2" t="inlineStr">
        <is>
          <t>Iodine solution, dropper bottles</t>
        </is>
      </c>
      <c r="C83" s="2" t="inlineStr">
        <is>
          <t>碘液（滴瓶装）</t>
        </is>
      </c>
      <c r="D83" s="2" t="inlineStr">
        <is>
          <t>Prep room equipment</t>
        </is>
      </c>
      <c r="E83" s="2" t="inlineStr">
        <is>
          <t>Both plans</t>
        </is>
      </c>
      <c r="F83" s="2" t="inlineStr">
        <is>
          <t>Used up</t>
        </is>
      </c>
      <c r="G83" s="2" t="inlineStr">
        <is>
          <t>dropper bottles</t>
        </is>
      </c>
      <c r="H83" s="2">
        <f>IF(OR($E83="Both plans",'Read me'!$C$9="A and B",AND($E83="Plan A (freezer)",'Read me'!$C$9="A"),AND($E83="Plan B (no freezer)",'Read me'!$C$9="B")),1,0)</f>
        <v/>
      </c>
      <c r="I83" s="2" t="n"/>
      <c r="J83" s="2" t="n"/>
      <c r="K83" s="2" t="n"/>
      <c r="L83" s="2" t="n"/>
      <c r="M83" s="2" t="n"/>
      <c r="N83" s="2" t="n"/>
      <c r="O83" s="2" t="n"/>
      <c r="P83" s="2" t="n"/>
      <c r="Q83" s="2" t="n"/>
      <c r="R83" s="2" t="n"/>
      <c r="S83" s="2" t="n"/>
      <c r="T83" s="2" t="n"/>
      <c r="U83" s="2" t="n"/>
      <c r="V83" s="2" t="n">
        <v>6</v>
      </c>
      <c r="W83" s="2" t="n"/>
      <c r="X83" s="2" t="n"/>
      <c r="Y83" s="2" t="n"/>
      <c r="Z83" s="2" t="n">
        <v>2</v>
      </c>
      <c r="AA83" s="2" t="n"/>
      <c r="AB83" s="2" t="n"/>
      <c r="AC83" s="2" t="n"/>
      <c r="AD83" s="2" t="n"/>
      <c r="AE83" s="2" t="n"/>
      <c r="AF83" s="2" t="n"/>
      <c r="AG83" s="2" t="n"/>
      <c r="AH83" s="2" t="n"/>
      <c r="AI83" s="2" t="n"/>
      <c r="AJ83" s="2" t="n"/>
      <c r="AK83" s="2" t="n"/>
      <c r="AL83" s="2" t="n"/>
      <c r="AM83" s="2">
        <f>N(I83)+N(S83)+N(AC83)</f>
        <v/>
      </c>
      <c r="AN83" s="2">
        <f>N(J83)+N(T83)+N(AD83)</f>
        <v/>
      </c>
      <c r="AO83" s="2">
        <f>N(K83)+N(U83)+N(AE83)</f>
        <v/>
      </c>
      <c r="AP83" s="2">
        <f>N(L83)+N(V83)+N(AF83)</f>
        <v/>
      </c>
      <c r="AQ83" s="2">
        <f>N(M83)+N(W83)+N(AG83)</f>
        <v/>
      </c>
      <c r="AR83" s="2">
        <f>N(N83)+N(X83)+N(AH83)</f>
        <v/>
      </c>
      <c r="AS83" s="2">
        <f>N(O83)+N(Y83)+N(AI83)</f>
        <v/>
      </c>
      <c r="AT83" s="2">
        <f>N(P83)+N(Z83)+N(AJ83)</f>
        <v/>
      </c>
      <c r="AU83" s="2">
        <f>N(Q83)+N(AA83)+N(AK83)</f>
        <v/>
      </c>
      <c r="AV83" s="2">
        <f>N(R83)+N(AB83)+N(AL83)</f>
        <v/>
      </c>
      <c r="AW83" s="2">
        <f>SUM(I83:R83)</f>
        <v/>
      </c>
      <c r="AX83" s="2">
        <f>SUM(S83:AB83)</f>
        <v/>
      </c>
      <c r="AY83" s="2">
        <f>SUM(AC83:AL83)</f>
        <v/>
      </c>
    </row>
    <row r="84">
      <c r="A84" s="2" t="inlineStr">
        <is>
          <t>goggles_safety|both|pairs</t>
        </is>
      </c>
      <c r="B84" s="2" t="inlineStr">
        <is>
          <t>Safety goggles</t>
        </is>
      </c>
      <c r="C84" s="2" t="inlineStr">
        <is>
          <t>护目镜</t>
        </is>
      </c>
      <c r="D84" s="2" t="inlineStr">
        <is>
          <t>Prep room equipment</t>
        </is>
      </c>
      <c r="E84" s="2" t="inlineStr">
        <is>
          <t>Both plans</t>
        </is>
      </c>
      <c r="F84" s="2" t="inlineStr">
        <is>
          <t>Reusable</t>
        </is>
      </c>
      <c r="G84" s="2" t="inlineStr">
        <is>
          <t>pairs</t>
        </is>
      </c>
      <c r="H84" s="2">
        <f>IF(OR($E84="Both plans",'Read me'!$C$9="A and B",AND($E84="Plan A (freezer)",'Read me'!$C$9="A"),AND($E84="Plan B (no freezer)",'Read me'!$C$9="B")),1,0)</f>
        <v/>
      </c>
      <c r="I84" s="2" t="n"/>
      <c r="J84" s="2" t="n"/>
      <c r="K84" s="2" t="n"/>
      <c r="L84" s="2" t="n"/>
      <c r="M84" s="2" t="n"/>
      <c r="N84" s="2" t="n"/>
      <c r="O84" s="2" t="n"/>
      <c r="P84" s="2" t="n"/>
      <c r="Q84" s="2" t="n"/>
      <c r="R84" s="2" t="n"/>
      <c r="S84" s="2" t="n"/>
      <c r="T84" s="2" t="n"/>
      <c r="U84" s="2" t="n"/>
      <c r="V84" s="2" t="n">
        <v>24</v>
      </c>
      <c r="W84" s="2" t="n">
        <v>24</v>
      </c>
      <c r="X84" s="2" t="n"/>
      <c r="Y84" s="2" t="n"/>
      <c r="Z84" s="2" t="n">
        <v>24</v>
      </c>
      <c r="AA84" s="2" t="n"/>
      <c r="AB84" s="2" t="n"/>
      <c r="AC84" s="2" t="n"/>
      <c r="AD84" s="2" t="n"/>
      <c r="AE84" s="2" t="n"/>
      <c r="AF84" s="2" t="n"/>
      <c r="AG84" s="2" t="n"/>
      <c r="AH84" s="2" t="n"/>
      <c r="AI84" s="2" t="n"/>
      <c r="AJ84" s="2" t="n"/>
      <c r="AK84" s="2" t="n"/>
      <c r="AL84" s="2" t="n"/>
      <c r="AM84" s="2">
        <f>N(I84)+N(S84)+N(AC84)</f>
        <v/>
      </c>
      <c r="AN84" s="2">
        <f>N(J84)+N(T84)+N(AD84)</f>
        <v/>
      </c>
      <c r="AO84" s="2">
        <f>N(K84)+N(U84)+N(AE84)</f>
        <v/>
      </c>
      <c r="AP84" s="2">
        <f>N(L84)+N(V84)+N(AF84)</f>
        <v/>
      </c>
      <c r="AQ84" s="2">
        <f>N(M84)+N(W84)+N(AG84)</f>
        <v/>
      </c>
      <c r="AR84" s="2">
        <f>N(N84)+N(X84)+N(AH84)</f>
        <v/>
      </c>
      <c r="AS84" s="2">
        <f>N(O84)+N(Y84)+N(AI84)</f>
        <v/>
      </c>
      <c r="AT84" s="2">
        <f>N(P84)+N(Z84)+N(AJ84)</f>
        <v/>
      </c>
      <c r="AU84" s="2">
        <f>N(Q84)+N(AA84)+N(AK84)</f>
        <v/>
      </c>
      <c r="AV84" s="2">
        <f>N(R84)+N(AB84)+N(AL84)</f>
        <v/>
      </c>
      <c r="AW84" s="2">
        <f>SUM(I84:R84)</f>
        <v/>
      </c>
      <c r="AX84" s="2">
        <f>SUM(S84:AB84)</f>
        <v/>
      </c>
      <c r="AY84" s="2">
        <f>SUM(AC84:AL84)</f>
        <v/>
      </c>
    </row>
    <row r="85">
      <c r="A85" s="2" t="inlineStr">
        <is>
          <t>spoons_small_powder|both|teaspoons</t>
        </is>
      </c>
      <c r="B85" s="2" t="inlineStr">
        <is>
          <t>Small spoons or lolly sticks (one per powder)</t>
        </is>
      </c>
      <c r="C85" s="2" t="inlineStr">
        <is>
          <t>药匙（小号）或冰棒棍</t>
        </is>
      </c>
      <c r="D85" s="2" t="inlineStr">
        <is>
          <t>Prep room equipment</t>
        </is>
      </c>
      <c r="E85" s="2" t="inlineStr">
        <is>
          <t>Both plans</t>
        </is>
      </c>
      <c r="F85" s="2" t="inlineStr">
        <is>
          <t>Reusable</t>
        </is>
      </c>
      <c r="G85" s="2" t="inlineStr">
        <is>
          <t>teaspoons</t>
        </is>
      </c>
      <c r="H85" s="2">
        <f>IF(OR($E85="Both plans",'Read me'!$C$9="A and B",AND($E85="Plan A (freezer)",'Read me'!$C$9="A"),AND($E85="Plan B (no freezer)",'Read me'!$C$9="B")),1,0)</f>
        <v/>
      </c>
      <c r="I85" s="2" t="n"/>
      <c r="J85" s="2" t="n"/>
      <c r="K85" s="2" t="n"/>
      <c r="L85" s="2" t="n"/>
      <c r="M85" s="2" t="n"/>
      <c r="N85" s="2" t="n"/>
      <c r="O85" s="2" t="n"/>
      <c r="P85" s="2" t="n"/>
      <c r="Q85" s="2" t="n"/>
      <c r="R85" s="2" t="n"/>
      <c r="S85" s="2" t="n"/>
      <c r="T85" s="2" t="n"/>
      <c r="U85" s="2" t="n"/>
      <c r="V85" s="2" t="n">
        <v>36</v>
      </c>
      <c r="W85" s="2" t="n"/>
      <c r="X85" s="2" t="n"/>
      <c r="Y85" s="2" t="n"/>
      <c r="Z85" s="2" t="n">
        <v>10</v>
      </c>
      <c r="AA85" s="2" t="n"/>
      <c r="AB85" s="2" t="n"/>
      <c r="AC85" s="2" t="n"/>
      <c r="AD85" s="2" t="n"/>
      <c r="AE85" s="2" t="n"/>
      <c r="AF85" s="2" t="n"/>
      <c r="AG85" s="2" t="n"/>
      <c r="AH85" s="2" t="n"/>
      <c r="AI85" s="2" t="n"/>
      <c r="AJ85" s="2" t="n"/>
      <c r="AK85" s="2" t="n"/>
      <c r="AL85" s="2" t="n"/>
      <c r="AM85" s="2">
        <f>N(I85)+N(S85)+N(AC85)</f>
        <v/>
      </c>
      <c r="AN85" s="2">
        <f>N(J85)+N(T85)+N(AD85)</f>
        <v/>
      </c>
      <c r="AO85" s="2">
        <f>N(K85)+N(U85)+N(AE85)</f>
        <v/>
      </c>
      <c r="AP85" s="2">
        <f>N(L85)+N(V85)+N(AF85)</f>
        <v/>
      </c>
      <c r="AQ85" s="2">
        <f>N(M85)+N(W85)+N(AG85)</f>
        <v/>
      </c>
      <c r="AR85" s="2">
        <f>N(N85)+N(X85)+N(AH85)</f>
        <v/>
      </c>
      <c r="AS85" s="2">
        <f>N(O85)+N(Y85)+N(AI85)</f>
        <v/>
      </c>
      <c r="AT85" s="2">
        <f>N(P85)+N(Z85)+N(AJ85)</f>
        <v/>
      </c>
      <c r="AU85" s="2">
        <f>N(Q85)+N(AA85)+N(AK85)</f>
        <v/>
      </c>
      <c r="AV85" s="2">
        <f>N(R85)+N(AB85)+N(AL85)</f>
        <v/>
      </c>
      <c r="AW85" s="2">
        <f>SUM(I85:R85)</f>
        <v/>
      </c>
      <c r="AX85" s="2">
        <f>SUM(S85:AB85)</f>
        <v/>
      </c>
      <c r="AY85" s="2">
        <f>SUM(AC85:AL85)</f>
        <v/>
      </c>
    </row>
    <row r="86">
      <c r="A86" s="2" t="inlineStr">
        <is>
          <t>spotting_tile_12|both|tiles</t>
        </is>
      </c>
      <c r="B86" s="2" t="inlineStr">
        <is>
          <t>Spotting tiles, white, 12 wells</t>
        </is>
      </c>
      <c r="C86" s="2" t="inlineStr">
        <is>
          <t>白色点滴板（12孔）</t>
        </is>
      </c>
      <c r="D86" s="2" t="inlineStr">
        <is>
          <t>Prep room equipment</t>
        </is>
      </c>
      <c r="E86" s="2" t="inlineStr">
        <is>
          <t>Both plans</t>
        </is>
      </c>
      <c r="F86" s="2" t="inlineStr">
        <is>
          <t>Reusable</t>
        </is>
      </c>
      <c r="G86" s="2" t="inlineStr">
        <is>
          <t>tiles</t>
        </is>
      </c>
      <c r="H86" s="2">
        <f>IF(OR($E86="Both plans",'Read me'!$C$9="A and B",AND($E86="Plan A (freezer)",'Read me'!$C$9="A"),AND($E86="Plan B (no freezer)",'Read me'!$C$9="B")),1,0)</f>
        <v/>
      </c>
      <c r="I86" s="2" t="n"/>
      <c r="J86" s="2" t="n"/>
      <c r="K86" s="2" t="n"/>
      <c r="L86" s="2" t="n"/>
      <c r="M86" s="2" t="n"/>
      <c r="N86" s="2" t="n"/>
      <c r="O86" s="2" t="n"/>
      <c r="P86" s="2" t="n"/>
      <c r="Q86" s="2" t="n"/>
      <c r="R86" s="2" t="n"/>
      <c r="S86" s="2" t="n"/>
      <c r="T86" s="2" t="n"/>
      <c r="U86" s="2" t="n"/>
      <c r="V86" s="2" t="n">
        <v>6</v>
      </c>
      <c r="W86" s="2" t="n"/>
      <c r="X86" s="2" t="n"/>
      <c r="Y86" s="2" t="n"/>
      <c r="Z86" s="2" t="n">
        <v>4</v>
      </c>
      <c r="AA86" s="2" t="n"/>
      <c r="AB86" s="2" t="n"/>
      <c r="AC86" s="2" t="n"/>
      <c r="AD86" s="2" t="n"/>
      <c r="AE86" s="2" t="n"/>
      <c r="AF86" s="2" t="n"/>
      <c r="AG86" s="2" t="n"/>
      <c r="AH86" s="2" t="n"/>
      <c r="AI86" s="2" t="n"/>
      <c r="AJ86" s="2" t="n"/>
      <c r="AK86" s="2" t="n"/>
      <c r="AL86" s="2" t="n"/>
      <c r="AM86" s="2">
        <f>N(I86)+N(S86)+N(AC86)</f>
        <v/>
      </c>
      <c r="AN86" s="2">
        <f>N(J86)+N(T86)+N(AD86)</f>
        <v/>
      </c>
      <c r="AO86" s="2">
        <f>N(K86)+N(U86)+N(AE86)</f>
        <v/>
      </c>
      <c r="AP86" s="2">
        <f>N(L86)+N(V86)+N(AF86)</f>
        <v/>
      </c>
      <c r="AQ86" s="2">
        <f>N(M86)+N(W86)+N(AG86)</f>
        <v/>
      </c>
      <c r="AR86" s="2">
        <f>N(N86)+N(X86)+N(AH86)</f>
        <v/>
      </c>
      <c r="AS86" s="2">
        <f>N(O86)+N(Y86)+N(AI86)</f>
        <v/>
      </c>
      <c r="AT86" s="2">
        <f>N(P86)+N(Z86)+N(AJ86)</f>
        <v/>
      </c>
      <c r="AU86" s="2">
        <f>N(Q86)+N(AA86)+N(AK86)</f>
        <v/>
      </c>
      <c r="AV86" s="2">
        <f>N(R86)+N(AB86)+N(AL86)</f>
        <v/>
      </c>
      <c r="AW86" s="2">
        <f>SUM(I86:R86)</f>
        <v/>
      </c>
      <c r="AX86" s="2">
        <f>SUM(S86:AB86)</f>
        <v/>
      </c>
      <c r="AY86" s="2">
        <f>SUM(AC86:AL86)</f>
        <v/>
      </c>
    </row>
    <row r="87">
      <c r="A87" s="2" t="inlineStr">
        <is>
          <t>tape_measure_2m|both|tape measures</t>
        </is>
      </c>
      <c r="B87" s="2" t="inlineStr">
        <is>
          <t>Tape measure, at least 2 m</t>
        </is>
      </c>
      <c r="C87" s="2" t="inlineStr">
        <is>
          <t>卷尺（2米以上）</t>
        </is>
      </c>
      <c r="D87" s="2" t="inlineStr">
        <is>
          <t>Prep room equipment</t>
        </is>
      </c>
      <c r="E87" s="2" t="inlineStr">
        <is>
          <t>Both plans</t>
        </is>
      </c>
      <c r="F87" s="2" t="inlineStr">
        <is>
          <t>Reusable</t>
        </is>
      </c>
      <c r="G87" s="2" t="inlineStr">
        <is>
          <t>tape measures</t>
        </is>
      </c>
      <c r="H87" s="2">
        <f>IF(OR($E87="Both plans",'Read me'!$C$9="A and B",AND($E87="Plan A (freezer)",'Read me'!$C$9="A"),AND($E87="Plan B (no freezer)",'Read me'!$C$9="B")),1,0)</f>
        <v/>
      </c>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v>6</v>
      </c>
      <c r="AG87" s="2" t="n"/>
      <c r="AH87" s="2" t="n"/>
      <c r="AI87" s="2" t="n"/>
      <c r="AJ87" s="2" t="n">
        <v>2</v>
      </c>
      <c r="AK87" s="2" t="n"/>
      <c r="AL87" s="2" t="n"/>
      <c r="AM87" s="2">
        <f>N(I87)+N(S87)+N(AC87)</f>
        <v/>
      </c>
      <c r="AN87" s="2">
        <f>N(J87)+N(T87)+N(AD87)</f>
        <v/>
      </c>
      <c r="AO87" s="2">
        <f>N(K87)+N(U87)+N(AE87)</f>
        <v/>
      </c>
      <c r="AP87" s="2">
        <f>N(L87)+N(V87)+N(AF87)</f>
        <v/>
      </c>
      <c r="AQ87" s="2">
        <f>N(M87)+N(W87)+N(AG87)</f>
        <v/>
      </c>
      <c r="AR87" s="2">
        <f>N(N87)+N(X87)+N(AH87)</f>
        <v/>
      </c>
      <c r="AS87" s="2">
        <f>N(O87)+N(Y87)+N(AI87)</f>
        <v/>
      </c>
      <c r="AT87" s="2">
        <f>N(P87)+N(Z87)+N(AJ87)</f>
        <v/>
      </c>
      <c r="AU87" s="2">
        <f>N(Q87)+N(AA87)+N(AK87)</f>
        <v/>
      </c>
      <c r="AV87" s="2">
        <f>N(R87)+N(AB87)+N(AL87)</f>
        <v/>
      </c>
      <c r="AW87" s="2">
        <f>SUM(I87:R87)</f>
        <v/>
      </c>
      <c r="AX87" s="2">
        <f>SUM(S87:AB87)</f>
        <v/>
      </c>
      <c r="AY87" s="2">
        <f>SUM(AC87:AL87)</f>
        <v/>
      </c>
    </row>
    <row r="88">
      <c r="A88" s="2" t="inlineStr">
        <is>
          <t>bucket|both|buckets</t>
        </is>
      </c>
      <c r="B88" s="2" t="inlineStr">
        <is>
          <t>Bucket, plastic</t>
        </is>
      </c>
      <c r="C88" s="2" t="inlineStr">
        <is>
          <t>塑料水桶</t>
        </is>
      </c>
      <c r="D88" s="2" t="inlineStr">
        <is>
          <t>Prep room equipment</t>
        </is>
      </c>
      <c r="E88" s="2" t="inlineStr">
        <is>
          <t>Both plans</t>
        </is>
      </c>
      <c r="F88" s="2" t="inlineStr">
        <is>
          <t>Reusable</t>
        </is>
      </c>
      <c r="G88" s="2" t="inlineStr">
        <is>
          <t>buckets</t>
        </is>
      </c>
      <c r="H88" s="2">
        <f>IF(OR($E88="Both plans",'Read me'!$C$9="A and B",AND($E88="Plan A (freezer)",'Read me'!$C$9="A"),AND($E88="Plan B (no freezer)",'Read me'!$C$9="B")),1,0)</f>
        <v/>
      </c>
      <c r="I88" s="2" t="n"/>
      <c r="J88" s="2" t="n"/>
      <c r="K88" s="2" t="n"/>
      <c r="L88" s="2" t="n"/>
      <c r="M88" s="2" t="n">
        <v>1</v>
      </c>
      <c r="N88" s="2" t="n"/>
      <c r="O88" s="2" t="n"/>
      <c r="P88" s="2" t="n">
        <v>13</v>
      </c>
      <c r="Q88" s="2" t="n"/>
      <c r="R88" s="2" t="n"/>
      <c r="S88" s="2" t="n"/>
      <c r="T88" s="2" t="n"/>
      <c r="U88" s="2" t="n"/>
      <c r="V88" s="2" t="n"/>
      <c r="W88" s="2" t="n"/>
      <c r="X88" s="2" t="n"/>
      <c r="Y88" s="2" t="n"/>
      <c r="Z88" s="2" t="n">
        <v>1</v>
      </c>
      <c r="AA88" s="2" t="n"/>
      <c r="AB88" s="2" t="n"/>
      <c r="AC88" s="2" t="n"/>
      <c r="AD88" s="2" t="n"/>
      <c r="AE88" s="2" t="n"/>
      <c r="AF88" s="2" t="n"/>
      <c r="AG88" s="2" t="n"/>
      <c r="AH88" s="2" t="n">
        <v>1</v>
      </c>
      <c r="AI88" s="2" t="n"/>
      <c r="AJ88" s="2" t="n">
        <v>1</v>
      </c>
      <c r="AK88" s="2" t="n"/>
      <c r="AL88" s="2" t="n"/>
      <c r="AM88" s="2">
        <f>N(I88)+N(S88)+N(AC88)</f>
        <v/>
      </c>
      <c r="AN88" s="2">
        <f>N(J88)+N(T88)+N(AD88)</f>
        <v/>
      </c>
      <c r="AO88" s="2">
        <f>N(K88)+N(U88)+N(AE88)</f>
        <v/>
      </c>
      <c r="AP88" s="2">
        <f>N(L88)+N(V88)+N(AF88)</f>
        <v/>
      </c>
      <c r="AQ88" s="2">
        <f>N(M88)+N(W88)+N(AG88)</f>
        <v/>
      </c>
      <c r="AR88" s="2">
        <f>N(N88)+N(X88)+N(AH88)</f>
        <v/>
      </c>
      <c r="AS88" s="2">
        <f>N(O88)+N(Y88)+N(AI88)</f>
        <v/>
      </c>
      <c r="AT88" s="2">
        <f>N(P88)+N(Z88)+N(AJ88)</f>
        <v/>
      </c>
      <c r="AU88" s="2">
        <f>N(Q88)+N(AA88)+N(AK88)</f>
        <v/>
      </c>
      <c r="AV88" s="2">
        <f>N(R88)+N(AB88)+N(AL88)</f>
        <v/>
      </c>
      <c r="AW88" s="2">
        <f>SUM(I88:R88)</f>
        <v/>
      </c>
      <c r="AX88" s="2">
        <f>SUM(S88:AB88)</f>
        <v/>
      </c>
      <c r="AY88" s="2">
        <f>SUM(AC88:AL88)</f>
        <v/>
      </c>
    </row>
    <row r="89">
      <c r="A89" s="2" t="inlineStr">
        <is>
          <t>drying_shelf|B|shelf</t>
        </is>
      </c>
      <c r="B89" s="2" t="inlineStr">
        <is>
          <t>Drying shelf space for dough strips</t>
        </is>
      </c>
      <c r="C89" s="2" t="inlineStr">
        <is>
          <t>晾干架（晾面团条用）</t>
        </is>
      </c>
      <c r="D89" s="2" t="inlineStr">
        <is>
          <t>Prep room equipment</t>
        </is>
      </c>
      <c r="E89" s="2" t="inlineStr">
        <is>
          <t>Plan B (no freezer)</t>
        </is>
      </c>
      <c r="F89" s="2" t="inlineStr">
        <is>
          <t>Reusable</t>
        </is>
      </c>
      <c r="G89" s="2" t="inlineStr">
        <is>
          <t>shelf</t>
        </is>
      </c>
      <c r="H89" s="2">
        <f>IF(OR($E89="Both plans",'Read me'!$C$9="A and B",AND($E89="Plan A (freezer)",'Read me'!$C$9="A"),AND($E89="Plan B (no freezer)",'Read me'!$C$9="B")),1,0)</f>
        <v/>
      </c>
      <c r="I89" s="2" t="n"/>
      <c r="J89" s="2" t="n"/>
      <c r="K89" s="2" t="n"/>
      <c r="L89" s="2" t="n"/>
      <c r="M89" s="2" t="n">
        <v>1</v>
      </c>
      <c r="N89" s="2" t="n"/>
      <c r="O89" s="2" t="n">
        <v>1</v>
      </c>
      <c r="P89" s="2" t="n">
        <v>1</v>
      </c>
      <c r="Q89" s="2" t="n"/>
      <c r="R89" s="2" t="n"/>
      <c r="S89" s="2" t="n"/>
      <c r="T89" s="2" t="n"/>
      <c r="U89" s="2" t="n"/>
      <c r="V89" s="2" t="n"/>
      <c r="W89" s="2" t="n"/>
      <c r="X89" s="2" t="n"/>
      <c r="Y89" s="2" t="n"/>
      <c r="Z89" s="2" t="n"/>
      <c r="AA89" s="2" t="n"/>
      <c r="AB89" s="2" t="n"/>
      <c r="AC89" s="2" t="n"/>
      <c r="AD89" s="2" t="n"/>
      <c r="AE89" s="2" t="n"/>
      <c r="AF89" s="2" t="n"/>
      <c r="AG89" s="2" t="n"/>
      <c r="AH89" s="2" t="n"/>
      <c r="AI89" s="2" t="n"/>
      <c r="AJ89" s="2" t="n"/>
      <c r="AK89" s="2" t="n"/>
      <c r="AL89" s="2" t="n"/>
      <c r="AM89" s="2">
        <f>N(I89)+N(S89)+N(AC89)</f>
        <v/>
      </c>
      <c r="AN89" s="2">
        <f>N(J89)+N(T89)+N(AD89)</f>
        <v/>
      </c>
      <c r="AO89" s="2">
        <f>N(K89)+N(U89)+N(AE89)</f>
        <v/>
      </c>
      <c r="AP89" s="2">
        <f>N(L89)+N(V89)+N(AF89)</f>
        <v/>
      </c>
      <c r="AQ89" s="2">
        <f>N(M89)+N(W89)+N(AG89)</f>
        <v/>
      </c>
      <c r="AR89" s="2">
        <f>N(N89)+N(X89)+N(AH89)</f>
        <v/>
      </c>
      <c r="AS89" s="2">
        <f>N(O89)+N(Y89)+N(AI89)</f>
        <v/>
      </c>
      <c r="AT89" s="2">
        <f>N(P89)+N(Z89)+N(AJ89)</f>
        <v/>
      </c>
      <c r="AU89" s="2">
        <f>N(Q89)+N(AA89)+N(AK89)</f>
        <v/>
      </c>
      <c r="AV89" s="2">
        <f>N(R89)+N(AB89)+N(AL89)</f>
        <v/>
      </c>
      <c r="AW89" s="2">
        <f>SUM(I89:R89)</f>
        <v/>
      </c>
      <c r="AX89" s="2">
        <f>SUM(S89:AB89)</f>
        <v/>
      </c>
      <c r="AY89" s="2">
        <f>SUM(AC89:AL89)</f>
        <v/>
      </c>
    </row>
    <row r="90">
      <c r="A90" s="2" t="inlineStr">
        <is>
          <t>scale_1g|both|scales</t>
        </is>
      </c>
      <c r="B90" s="2" t="inlineStr">
        <is>
          <t>Kitchen scale, reads to 1 g</t>
        </is>
      </c>
      <c r="C90" s="2" t="inlineStr">
        <is>
          <t>电子秤（精度1克）</t>
        </is>
      </c>
      <c r="D90" s="2" t="inlineStr">
        <is>
          <t>Prep room equipment</t>
        </is>
      </c>
      <c r="E90" s="2" t="inlineStr">
        <is>
          <t>Both plans</t>
        </is>
      </c>
      <c r="F90" s="2" t="inlineStr">
        <is>
          <t>Reusable</t>
        </is>
      </c>
      <c r="G90" s="2" t="inlineStr">
        <is>
          <t>scales</t>
        </is>
      </c>
      <c r="H90" s="2">
        <f>IF(OR($E90="Both plans",'Read me'!$C$9="A and B",AND($E90="Plan A (freezer)",'Read me'!$C$9="A"),AND($E90="Plan B (no freezer)",'Read me'!$C$9="B")),1,0)</f>
        <v/>
      </c>
      <c r="I90" s="2" t="n"/>
      <c r="J90" s="2" t="n"/>
      <c r="K90" s="2" t="n"/>
      <c r="L90" s="2" t="n"/>
      <c r="M90" s="2" t="n">
        <v>1</v>
      </c>
      <c r="N90" s="2" t="n"/>
      <c r="O90" s="2" t="n">
        <v>1</v>
      </c>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v>3</v>
      </c>
      <c r="AK90" s="2" t="n"/>
      <c r="AL90" s="2" t="n"/>
      <c r="AM90" s="2">
        <f>N(I90)+N(S90)+N(AC90)</f>
        <v/>
      </c>
      <c r="AN90" s="2">
        <f>N(J90)+N(T90)+N(AD90)</f>
        <v/>
      </c>
      <c r="AO90" s="2">
        <f>N(K90)+N(U90)+N(AE90)</f>
        <v/>
      </c>
      <c r="AP90" s="2">
        <f>N(L90)+N(V90)+N(AF90)</f>
        <v/>
      </c>
      <c r="AQ90" s="2">
        <f>N(M90)+N(W90)+N(AG90)</f>
        <v/>
      </c>
      <c r="AR90" s="2">
        <f>N(N90)+N(X90)+N(AH90)</f>
        <v/>
      </c>
      <c r="AS90" s="2">
        <f>N(O90)+N(Y90)+N(AI90)</f>
        <v/>
      </c>
      <c r="AT90" s="2">
        <f>N(P90)+N(Z90)+N(AJ90)</f>
        <v/>
      </c>
      <c r="AU90" s="2">
        <f>N(Q90)+N(AA90)+N(AK90)</f>
        <v/>
      </c>
      <c r="AV90" s="2">
        <f>N(R90)+N(AB90)+N(AL90)</f>
        <v/>
      </c>
      <c r="AW90" s="2">
        <f>SUM(I90:R90)</f>
        <v/>
      </c>
      <c r="AX90" s="2">
        <f>SUM(S90:AB90)</f>
        <v/>
      </c>
      <c r="AY90" s="2">
        <f>SUM(AC90:AL90)</f>
        <v/>
      </c>
    </row>
    <row r="91">
      <c r="A91" s="2" t="inlineStr">
        <is>
          <t>measuring_cylinder_25ml|both|cylinders</t>
        </is>
      </c>
      <c r="B91" s="2" t="inlineStr">
        <is>
          <t>Measuring cylinder, 25 ml</t>
        </is>
      </c>
      <c r="C91" s="2" t="inlineStr">
        <is>
          <t>量筒 25毫升</t>
        </is>
      </c>
      <c r="D91" s="2" t="inlineStr">
        <is>
          <t>Prep room equipment</t>
        </is>
      </c>
      <c r="E91" s="2" t="inlineStr">
        <is>
          <t>Both plans</t>
        </is>
      </c>
      <c r="F91" s="2" t="inlineStr">
        <is>
          <t>Reusable</t>
        </is>
      </c>
      <c r="G91" s="2" t="inlineStr">
        <is>
          <t>cylinders</t>
        </is>
      </c>
      <c r="H91" s="2">
        <f>IF(OR($E91="Both plans",'Read me'!$C$9="A and B",AND($E91="Plan A (freezer)",'Read me'!$C$9="A"),AND($E91="Plan B (no freezer)",'Read me'!$C$9="B")),1,0)</f>
        <v/>
      </c>
      <c r="I91" s="2" t="n"/>
      <c r="J91" s="2" t="n"/>
      <c r="K91" s="2" t="n"/>
      <c r="L91" s="2" t="n"/>
      <c r="M91" s="2" t="n">
        <v>1</v>
      </c>
      <c r="N91" s="2" t="n">
        <v>6</v>
      </c>
      <c r="O91" s="2" t="n">
        <v>12</v>
      </c>
      <c r="P91" s="2" t="n">
        <v>1</v>
      </c>
      <c r="Q91" s="2" t="n"/>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c r="AM91" s="2">
        <f>N(I91)+N(S91)+N(AC91)</f>
        <v/>
      </c>
      <c r="AN91" s="2">
        <f>N(J91)+N(T91)+N(AD91)</f>
        <v/>
      </c>
      <c r="AO91" s="2">
        <f>N(K91)+N(U91)+N(AE91)</f>
        <v/>
      </c>
      <c r="AP91" s="2">
        <f>N(L91)+N(V91)+N(AF91)</f>
        <v/>
      </c>
      <c r="AQ91" s="2">
        <f>N(M91)+N(W91)+N(AG91)</f>
        <v/>
      </c>
      <c r="AR91" s="2">
        <f>N(N91)+N(X91)+N(AH91)</f>
        <v/>
      </c>
      <c r="AS91" s="2">
        <f>N(O91)+N(Y91)+N(AI91)</f>
        <v/>
      </c>
      <c r="AT91" s="2">
        <f>N(P91)+N(Z91)+N(AJ91)</f>
        <v/>
      </c>
      <c r="AU91" s="2">
        <f>N(Q91)+N(AA91)+N(AK91)</f>
        <v/>
      </c>
      <c r="AV91" s="2">
        <f>N(R91)+N(AB91)+N(AL91)</f>
        <v/>
      </c>
      <c r="AW91" s="2">
        <f>SUM(I91:R91)</f>
        <v/>
      </c>
      <c r="AX91" s="2">
        <f>SUM(S91:AB91)</f>
        <v/>
      </c>
      <c r="AY91" s="2">
        <f>SUM(AC91:AL91)</f>
        <v/>
      </c>
    </row>
    <row r="92">
      <c r="A92" s="2" t="inlineStr">
        <is>
          <t>cups_plastic_250ml|both|cups</t>
        </is>
      </c>
      <c r="B92" s="2" t="inlineStr">
        <is>
          <t>Plastic cups, clear, identical, about 250 ml</t>
        </is>
      </c>
      <c r="C92" s="2" t="inlineStr">
        <is>
          <t>透明塑料杯（同款，约250毫升）</t>
        </is>
      </c>
      <c r="D92" s="2" t="inlineStr">
        <is>
          <t>Prep room equipment</t>
        </is>
      </c>
      <c r="E92" s="2" t="inlineStr">
        <is>
          <t>Both plans</t>
        </is>
      </c>
      <c r="F92" s="2" t="inlineStr">
        <is>
          <t>Reusable</t>
        </is>
      </c>
      <c r="G92" s="2" t="inlineStr">
        <is>
          <t>cups</t>
        </is>
      </c>
      <c r="H92" s="2">
        <f>IF(OR($E92="Both plans",'Read me'!$C$9="A and B",AND($E92="Plan A (freezer)",'Read me'!$C$9="A"),AND($E92="Plan B (no freezer)",'Read me'!$C$9="B")),1,0)</f>
        <v/>
      </c>
      <c r="I92" s="2" t="n"/>
      <c r="J92" s="2" t="n"/>
      <c r="K92" s="2" t="n"/>
      <c r="L92" s="2" t="n"/>
      <c r="M92" s="2" t="n">
        <v>1</v>
      </c>
      <c r="N92" s="2" t="n">
        <v>30</v>
      </c>
      <c r="O92" s="2" t="n">
        <v>24</v>
      </c>
      <c r="P92" s="2" t="n">
        <v>12</v>
      </c>
      <c r="Q92" s="2" t="n"/>
      <c r="R92" s="2" t="n"/>
      <c r="S92" s="2" t="n"/>
      <c r="T92" s="2" t="n"/>
      <c r="U92" s="2" t="n"/>
      <c r="V92" s="2" t="n"/>
      <c r="W92" s="2" t="n"/>
      <c r="X92" s="2" t="n"/>
      <c r="Y92" s="2" t="n"/>
      <c r="Z92" s="2" t="n"/>
      <c r="AA92" s="2" t="n"/>
      <c r="AB92" s="2" t="n"/>
      <c r="AC92" s="2" t="n"/>
      <c r="AD92" s="2" t="n"/>
      <c r="AE92" s="2" t="n"/>
      <c r="AF92" s="2" t="n"/>
      <c r="AG92" s="2" t="n"/>
      <c r="AH92" s="2" t="n">
        <v>12</v>
      </c>
      <c r="AI92" s="2" t="n"/>
      <c r="AJ92" s="2" t="n">
        <v>16</v>
      </c>
      <c r="AK92" s="2" t="n"/>
      <c r="AL92" s="2" t="n"/>
      <c r="AM92" s="2">
        <f>N(I92)+N(S92)+N(AC92)</f>
        <v/>
      </c>
      <c r="AN92" s="2">
        <f>N(J92)+N(T92)+N(AD92)</f>
        <v/>
      </c>
      <c r="AO92" s="2">
        <f>N(K92)+N(U92)+N(AE92)</f>
        <v/>
      </c>
      <c r="AP92" s="2">
        <f>N(L92)+N(V92)+N(AF92)</f>
        <v/>
      </c>
      <c r="AQ92" s="2">
        <f>N(M92)+N(W92)+N(AG92)</f>
        <v/>
      </c>
      <c r="AR92" s="2">
        <f>N(N92)+N(X92)+N(AH92)</f>
        <v/>
      </c>
      <c r="AS92" s="2">
        <f>N(O92)+N(Y92)+N(AI92)</f>
        <v/>
      </c>
      <c r="AT92" s="2">
        <f>N(P92)+N(Z92)+N(AJ92)</f>
        <v/>
      </c>
      <c r="AU92" s="2">
        <f>N(Q92)+N(AA92)+N(AK92)</f>
        <v/>
      </c>
      <c r="AV92" s="2">
        <f>N(R92)+N(AB92)+N(AL92)</f>
        <v/>
      </c>
      <c r="AW92" s="2">
        <f>SUM(I92:R92)</f>
        <v/>
      </c>
      <c r="AX92" s="2">
        <f>SUM(S92:AB92)</f>
        <v/>
      </c>
      <c r="AY92" s="2">
        <f>SUM(AC92:AL92)</f>
        <v/>
      </c>
    </row>
    <row r="93">
      <c r="A93" s="2" t="inlineStr">
        <is>
          <t>measuring_cylinder_100ml|B|cylinders</t>
        </is>
      </c>
      <c r="B93" s="2" t="inlineStr">
        <is>
          <t>Measuring cylinder, 100 ml or larger</t>
        </is>
      </c>
      <c r="C93" s="2" t="inlineStr">
        <is>
          <t>量筒 100毫升（或更大）</t>
        </is>
      </c>
      <c r="D93" s="2" t="inlineStr">
        <is>
          <t>Prep room equipment</t>
        </is>
      </c>
      <c r="E93" s="2" t="inlineStr">
        <is>
          <t>Plan B (no freezer)</t>
        </is>
      </c>
      <c r="F93" s="2" t="inlineStr">
        <is>
          <t>Reusable</t>
        </is>
      </c>
      <c r="G93" s="2" t="inlineStr">
        <is>
          <t>cylinders</t>
        </is>
      </c>
      <c r="H93" s="2">
        <f>IF(OR($E93="Both plans",'Read me'!$C$9="A and B",AND($E93="Plan A (freezer)",'Read me'!$C$9="A"),AND($E93="Plan B (no freezer)",'Read me'!$C$9="B")),1,0)</f>
        <v/>
      </c>
      <c r="I93" s="2" t="n"/>
      <c r="J93" s="2" t="n"/>
      <c r="K93" s="2" t="n"/>
      <c r="L93" s="2" t="n"/>
      <c r="M93" s="2" t="n"/>
      <c r="N93" s="2" t="n">
        <v>1</v>
      </c>
      <c r="O93" s="2" t="n"/>
      <c r="P93" s="2" t="n"/>
      <c r="Q93" s="2" t="n"/>
      <c r="R93" s="2" t="n"/>
      <c r="S93" s="2" t="n"/>
      <c r="T93" s="2" t="n"/>
      <c r="U93" s="2" t="n"/>
      <c r="V93" s="2" t="n"/>
      <c r="W93" s="2" t="n"/>
      <c r="X93" s="2" t="n"/>
      <c r="Y93" s="2" t="n"/>
      <c r="Z93" s="2" t="n"/>
      <c r="AA93" s="2" t="n"/>
      <c r="AB93" s="2" t="n"/>
      <c r="AC93" s="2" t="n"/>
      <c r="AD93" s="2" t="n"/>
      <c r="AE93" s="2" t="n"/>
      <c r="AF93" s="2" t="n"/>
      <c r="AG93" s="2" t="n"/>
      <c r="AH93" s="2" t="n"/>
      <c r="AI93" s="2" t="n"/>
      <c r="AJ93" s="2" t="n"/>
      <c r="AK93" s="2" t="n"/>
      <c r="AL93" s="2" t="n"/>
      <c r="AM93" s="2">
        <f>N(I93)+N(S93)+N(AC93)</f>
        <v/>
      </c>
      <c r="AN93" s="2">
        <f>N(J93)+N(T93)+N(AD93)</f>
        <v/>
      </c>
      <c r="AO93" s="2">
        <f>N(K93)+N(U93)+N(AE93)</f>
        <v/>
      </c>
      <c r="AP93" s="2">
        <f>N(L93)+N(V93)+N(AF93)</f>
        <v/>
      </c>
      <c r="AQ93" s="2">
        <f>N(M93)+N(W93)+N(AG93)</f>
        <v/>
      </c>
      <c r="AR93" s="2">
        <f>N(N93)+N(X93)+N(AH93)</f>
        <v/>
      </c>
      <c r="AS93" s="2">
        <f>N(O93)+N(Y93)+N(AI93)</f>
        <v/>
      </c>
      <c r="AT93" s="2">
        <f>N(P93)+N(Z93)+N(AJ93)</f>
        <v/>
      </c>
      <c r="AU93" s="2">
        <f>N(Q93)+N(AA93)+N(AK93)</f>
        <v/>
      </c>
      <c r="AV93" s="2">
        <f>N(R93)+N(AB93)+N(AL93)</f>
        <v/>
      </c>
      <c r="AW93" s="2">
        <f>SUM(I93:R93)</f>
        <v/>
      </c>
      <c r="AX93" s="2">
        <f>SUM(S93:AB93)</f>
        <v/>
      </c>
      <c r="AY93" s="2">
        <f>SUM(AC93:AL93)</f>
        <v/>
      </c>
    </row>
    <row r="94">
      <c r="A94" s="2" t="inlineStr">
        <is>
          <t>measuring_jug_100ml|B|jugs</t>
        </is>
      </c>
      <c r="B94" s="2" t="inlineStr">
        <is>
          <t>Measuring jug, 100 ml</t>
        </is>
      </c>
      <c r="C94" s="2" t="inlineStr">
        <is>
          <t>量杯 100毫升</t>
        </is>
      </c>
      <c r="D94" s="2" t="inlineStr">
        <is>
          <t>Prep room equipment</t>
        </is>
      </c>
      <c r="E94" s="2" t="inlineStr">
        <is>
          <t>Plan B (no freezer)</t>
        </is>
      </c>
      <c r="F94" s="2" t="inlineStr">
        <is>
          <t>Reusable</t>
        </is>
      </c>
      <c r="G94" s="2" t="inlineStr">
        <is>
          <t>jugs</t>
        </is>
      </c>
      <c r="H94" s="2">
        <f>IF(OR($E94="Both plans",'Read me'!$C$9="A and B",AND($E94="Plan A (freezer)",'Read me'!$C$9="A"),AND($E94="Plan B (no freezer)",'Read me'!$C$9="B")),1,0)</f>
        <v/>
      </c>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v>1</v>
      </c>
      <c r="AI94" s="2" t="n"/>
      <c r="AJ94" s="2" t="n"/>
      <c r="AK94" s="2" t="n"/>
      <c r="AL94" s="2" t="n"/>
      <c r="AM94" s="2">
        <f>N(I94)+N(S94)+N(AC94)</f>
        <v/>
      </c>
      <c r="AN94" s="2">
        <f>N(J94)+N(T94)+N(AD94)</f>
        <v/>
      </c>
      <c r="AO94" s="2">
        <f>N(K94)+N(U94)+N(AE94)</f>
        <v/>
      </c>
      <c r="AP94" s="2">
        <f>N(L94)+N(V94)+N(AF94)</f>
        <v/>
      </c>
      <c r="AQ94" s="2">
        <f>N(M94)+N(W94)+N(AG94)</f>
        <v/>
      </c>
      <c r="AR94" s="2">
        <f>N(N94)+N(X94)+N(AH94)</f>
        <v/>
      </c>
      <c r="AS94" s="2">
        <f>N(O94)+N(Y94)+N(AI94)</f>
        <v/>
      </c>
      <c r="AT94" s="2">
        <f>N(P94)+N(Z94)+N(AJ94)</f>
        <v/>
      </c>
      <c r="AU94" s="2">
        <f>N(Q94)+N(AA94)+N(AK94)</f>
        <v/>
      </c>
      <c r="AV94" s="2">
        <f>N(R94)+N(AB94)+N(AL94)</f>
        <v/>
      </c>
      <c r="AW94" s="2">
        <f>SUM(I94:R94)</f>
        <v/>
      </c>
      <c r="AX94" s="2">
        <f>SUM(S94:AB94)</f>
        <v/>
      </c>
      <c r="AY94" s="2">
        <f>SUM(AC94:AL94)</f>
        <v/>
      </c>
    </row>
    <row r="95">
      <c r="A95" s="2" t="inlineStr">
        <is>
          <t>mop_and_bucket|both|sets</t>
        </is>
      </c>
      <c r="B95" s="2" t="inlineStr">
        <is>
          <t>Mop and bucket</t>
        </is>
      </c>
      <c r="C95" s="2" t="inlineStr">
        <is>
          <t>拖把和拖把桶</t>
        </is>
      </c>
      <c r="D95" s="2" t="inlineStr">
        <is>
          <t>Prep room equipment</t>
        </is>
      </c>
      <c r="E95" s="2" t="inlineStr">
        <is>
          <t>Both plans</t>
        </is>
      </c>
      <c r="F95" s="2" t="inlineStr">
        <is>
          <t>Reusable</t>
        </is>
      </c>
      <c r="G95" s="2" t="inlineStr">
        <is>
          <t>sets</t>
        </is>
      </c>
      <c r="H95" s="2">
        <f>IF(OR($E95="Both plans",'Read me'!$C$9="A and B",AND($E95="Plan A (freezer)",'Read me'!$C$9="A"),AND($E95="Plan B (no freezer)",'Read me'!$C$9="B")),1,0)</f>
        <v/>
      </c>
      <c r="I95" s="2" t="n"/>
      <c r="J95" s="2" t="n"/>
      <c r="K95" s="2" t="n"/>
      <c r="L95" s="2" t="n"/>
      <c r="M95" s="2" t="n"/>
      <c r="N95" s="2" t="n">
        <v>1</v>
      </c>
      <c r="O95" s="2" t="n">
        <v>1</v>
      </c>
      <c r="P95" s="2" t="n">
        <v>1</v>
      </c>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f>N(I95)+N(S95)+N(AC95)</f>
        <v/>
      </c>
      <c r="AN95" s="2">
        <f>N(J95)+N(T95)+N(AD95)</f>
        <v/>
      </c>
      <c r="AO95" s="2">
        <f>N(K95)+N(U95)+N(AE95)</f>
        <v/>
      </c>
      <c r="AP95" s="2">
        <f>N(L95)+N(V95)+N(AF95)</f>
        <v/>
      </c>
      <c r="AQ95" s="2">
        <f>N(M95)+N(W95)+N(AG95)</f>
        <v/>
      </c>
      <c r="AR95" s="2">
        <f>N(N95)+N(X95)+N(AH95)</f>
        <v/>
      </c>
      <c r="AS95" s="2">
        <f>N(O95)+N(Y95)+N(AI95)</f>
        <v/>
      </c>
      <c r="AT95" s="2">
        <f>N(P95)+N(Z95)+N(AJ95)</f>
        <v/>
      </c>
      <c r="AU95" s="2">
        <f>N(Q95)+N(AA95)+N(AK95)</f>
        <v/>
      </c>
      <c r="AV95" s="2">
        <f>N(R95)+N(AB95)+N(AL95)</f>
        <v/>
      </c>
      <c r="AW95" s="2">
        <f>SUM(I95:R95)</f>
        <v/>
      </c>
      <c r="AX95" s="2">
        <f>SUM(S95:AB95)</f>
        <v/>
      </c>
      <c r="AY95" s="2">
        <f>SUM(AC95:AL95)</f>
        <v/>
      </c>
    </row>
    <row r="96">
      <c r="A96" s="2" t="inlineStr">
        <is>
          <t>syringe_10ml|A|syringes</t>
        </is>
      </c>
      <c r="B96" s="2" t="inlineStr">
        <is>
          <t>Plastic syringe, 10 ml, no needle</t>
        </is>
      </c>
      <c r="C96" s="2" t="inlineStr">
        <is>
          <t>塑料注射器 10毫升（无针头）</t>
        </is>
      </c>
      <c r="D96" s="2" t="inlineStr">
        <is>
          <t>Prep room equipment</t>
        </is>
      </c>
      <c r="E96" s="2" t="inlineStr">
        <is>
          <t>Plan A (freezer)</t>
        </is>
      </c>
      <c r="F96" s="2" t="inlineStr">
        <is>
          <t>Reusable</t>
        </is>
      </c>
      <c r="G96" s="2" t="inlineStr">
        <is>
          <t>syringes</t>
        </is>
      </c>
      <c r="H96" s="2">
        <f>IF(OR($E96="Both plans",'Read me'!$C$9="A and B",AND($E96="Plan A (freezer)",'Read me'!$C$9="A"),AND($E96="Plan B (no freezer)",'Read me'!$C$9="B")),1,0)</f>
        <v/>
      </c>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v>7</v>
      </c>
      <c r="AI96" s="2" t="n"/>
      <c r="AJ96" s="2" t="n">
        <v>1</v>
      </c>
      <c r="AK96" s="2" t="n"/>
      <c r="AL96" s="2" t="n"/>
      <c r="AM96" s="2">
        <f>N(I96)+N(S96)+N(AC96)</f>
        <v/>
      </c>
      <c r="AN96" s="2">
        <f>N(J96)+N(T96)+N(AD96)</f>
        <v/>
      </c>
      <c r="AO96" s="2">
        <f>N(K96)+N(U96)+N(AE96)</f>
        <v/>
      </c>
      <c r="AP96" s="2">
        <f>N(L96)+N(V96)+N(AF96)</f>
        <v/>
      </c>
      <c r="AQ96" s="2">
        <f>N(M96)+N(W96)+N(AG96)</f>
        <v/>
      </c>
      <c r="AR96" s="2">
        <f>N(N96)+N(X96)+N(AH96)</f>
        <v/>
      </c>
      <c r="AS96" s="2">
        <f>N(O96)+N(Y96)+N(AI96)</f>
        <v/>
      </c>
      <c r="AT96" s="2">
        <f>N(P96)+N(Z96)+N(AJ96)</f>
        <v/>
      </c>
      <c r="AU96" s="2">
        <f>N(Q96)+N(AA96)+N(AK96)</f>
        <v/>
      </c>
      <c r="AV96" s="2">
        <f>N(R96)+N(AB96)+N(AL96)</f>
        <v/>
      </c>
      <c r="AW96" s="2">
        <f>SUM(I96:R96)</f>
        <v/>
      </c>
      <c r="AX96" s="2">
        <f>SUM(S96:AB96)</f>
        <v/>
      </c>
      <c r="AY96" s="2">
        <f>SUM(AC96:AL96)</f>
        <v/>
      </c>
    </row>
    <row r="97">
      <c r="A97" s="2" t="inlineStr">
        <is>
          <t>goggles_safety|A|pairs</t>
        </is>
      </c>
      <c r="B97" s="2" t="inlineStr">
        <is>
          <t>Safety goggles</t>
        </is>
      </c>
      <c r="C97" s="2" t="inlineStr">
        <is>
          <t>护目镜</t>
        </is>
      </c>
      <c r="D97" s="2" t="inlineStr">
        <is>
          <t>Prep room equipment</t>
        </is>
      </c>
      <c r="E97" s="2" t="inlineStr">
        <is>
          <t>Plan A (freezer)</t>
        </is>
      </c>
      <c r="F97" s="2" t="inlineStr">
        <is>
          <t>Reusable</t>
        </is>
      </c>
      <c r="G97" s="2" t="inlineStr">
        <is>
          <t>pairs</t>
        </is>
      </c>
      <c r="H97" s="2">
        <f>IF(OR($E97="Both plans",'Read me'!$C$9="A and B",AND($E97="Plan A (freezer)",'Read me'!$C$9="A"),AND($E97="Plan B (no freezer)",'Read me'!$C$9="B")),1,0)</f>
        <v/>
      </c>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v>24</v>
      </c>
      <c r="AI97" s="2" t="n"/>
      <c r="AJ97" s="2" t="n">
        <v>4</v>
      </c>
      <c r="AK97" s="2" t="n"/>
      <c r="AL97" s="2" t="n"/>
      <c r="AM97" s="2">
        <f>N(I97)+N(S97)+N(AC97)</f>
        <v/>
      </c>
      <c r="AN97" s="2">
        <f>N(J97)+N(T97)+N(AD97)</f>
        <v/>
      </c>
      <c r="AO97" s="2">
        <f>N(K97)+N(U97)+N(AE97)</f>
        <v/>
      </c>
      <c r="AP97" s="2">
        <f>N(L97)+N(V97)+N(AF97)</f>
        <v/>
      </c>
      <c r="AQ97" s="2">
        <f>N(M97)+N(W97)+N(AG97)</f>
        <v/>
      </c>
      <c r="AR97" s="2">
        <f>N(N97)+N(X97)+N(AH97)</f>
        <v/>
      </c>
      <c r="AS97" s="2">
        <f>N(O97)+N(Y97)+N(AI97)</f>
        <v/>
      </c>
      <c r="AT97" s="2">
        <f>N(P97)+N(Z97)+N(AJ97)</f>
        <v/>
      </c>
      <c r="AU97" s="2">
        <f>N(Q97)+N(AA97)+N(AK97)</f>
        <v/>
      </c>
      <c r="AV97" s="2">
        <f>N(R97)+N(AB97)+N(AL97)</f>
        <v/>
      </c>
      <c r="AW97" s="2">
        <f>SUM(I97:R97)</f>
        <v/>
      </c>
      <c r="AX97" s="2">
        <f>SUM(S97:AB97)</f>
        <v/>
      </c>
      <c r="AY97" s="2">
        <f>SUM(AC97:AL97)</f>
        <v/>
      </c>
    </row>
    <row r="98">
      <c r="A98" s="2" t="inlineStr">
        <is>
          <t>test_tubes_small|A|tubes</t>
        </is>
      </c>
      <c r="B98" s="2" t="inlineStr">
        <is>
          <t>Test tubes, small, plastic if possible</t>
        </is>
      </c>
      <c r="C98" s="2" t="inlineStr">
        <is>
          <t>小试管（尽量用塑料）</t>
        </is>
      </c>
      <c r="D98" s="2" t="inlineStr">
        <is>
          <t>Prep room equipment</t>
        </is>
      </c>
      <c r="E98" s="2" t="inlineStr">
        <is>
          <t>Plan A (freezer)</t>
        </is>
      </c>
      <c r="F98" s="2" t="inlineStr">
        <is>
          <t>Reusable</t>
        </is>
      </c>
      <c r="G98" s="2" t="inlineStr">
        <is>
          <t>tubes</t>
        </is>
      </c>
      <c r="H98" s="2">
        <f>IF(OR($E98="Both plans",'Read me'!$C$9="A and B",AND($E98="Plan A (freezer)",'Read me'!$C$9="A"),AND($E98="Plan B (no freezer)",'Read me'!$C$9="B")),1,0)</f>
        <v/>
      </c>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v>24</v>
      </c>
      <c r="AI98" s="2" t="n"/>
      <c r="AJ98" s="2" t="n">
        <v>6</v>
      </c>
      <c r="AK98" s="2" t="n"/>
      <c r="AL98" s="2" t="n"/>
      <c r="AM98" s="2">
        <f>N(I98)+N(S98)+N(AC98)</f>
        <v/>
      </c>
      <c r="AN98" s="2">
        <f>N(J98)+N(T98)+N(AD98)</f>
        <v/>
      </c>
      <c r="AO98" s="2">
        <f>N(K98)+N(U98)+N(AE98)</f>
        <v/>
      </c>
      <c r="AP98" s="2">
        <f>N(L98)+N(V98)+N(AF98)</f>
        <v/>
      </c>
      <c r="AQ98" s="2">
        <f>N(M98)+N(W98)+N(AG98)</f>
        <v/>
      </c>
      <c r="AR98" s="2">
        <f>N(N98)+N(X98)+N(AH98)</f>
        <v/>
      </c>
      <c r="AS98" s="2">
        <f>N(O98)+N(Y98)+N(AI98)</f>
        <v/>
      </c>
      <c r="AT98" s="2">
        <f>N(P98)+N(Z98)+N(AJ98)</f>
        <v/>
      </c>
      <c r="AU98" s="2">
        <f>N(Q98)+N(AA98)+N(AK98)</f>
        <v/>
      </c>
      <c r="AV98" s="2">
        <f>N(R98)+N(AB98)+N(AL98)</f>
        <v/>
      </c>
      <c r="AW98" s="2">
        <f>SUM(I98:R98)</f>
        <v/>
      </c>
      <c r="AX98" s="2">
        <f>SUM(S98:AB98)</f>
        <v/>
      </c>
      <c r="AY98" s="2">
        <f>SUM(AC98:AL98)</f>
        <v/>
      </c>
    </row>
    <row r="99">
      <c r="A99" s="2" t="inlineStr">
        <is>
          <t>test_tube_rack|A|racks</t>
        </is>
      </c>
      <c r="B99" s="2" t="inlineStr">
        <is>
          <t>Test-tube rack</t>
        </is>
      </c>
      <c r="C99" s="2" t="inlineStr">
        <is>
          <t>试管架</t>
        </is>
      </c>
      <c r="D99" s="2" t="inlineStr">
        <is>
          <t>Prep room equipment</t>
        </is>
      </c>
      <c r="E99" s="2" t="inlineStr">
        <is>
          <t>Plan A (freezer)</t>
        </is>
      </c>
      <c r="F99" s="2" t="inlineStr">
        <is>
          <t>Reusable</t>
        </is>
      </c>
      <c r="G99" s="2" t="inlineStr">
        <is>
          <t>racks</t>
        </is>
      </c>
      <c r="H99" s="2">
        <f>IF(OR($E99="Both plans",'Read me'!$C$9="A and B",AND($E99="Plan A (freezer)",'Read me'!$C$9="A"),AND($E99="Plan B (no freezer)",'Read me'!$C$9="B")),1,0)</f>
        <v/>
      </c>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v>6</v>
      </c>
      <c r="AI99" s="2" t="n"/>
      <c r="AJ99" s="2" t="n"/>
      <c r="AK99" s="2" t="n"/>
      <c r="AL99" s="2" t="n"/>
      <c r="AM99" s="2">
        <f>N(I99)+N(S99)+N(AC99)</f>
        <v/>
      </c>
      <c r="AN99" s="2">
        <f>N(J99)+N(T99)+N(AD99)</f>
        <v/>
      </c>
      <c r="AO99" s="2">
        <f>N(K99)+N(U99)+N(AE99)</f>
        <v/>
      </c>
      <c r="AP99" s="2">
        <f>N(L99)+N(V99)+N(AF99)</f>
        <v/>
      </c>
      <c r="AQ99" s="2">
        <f>N(M99)+N(W99)+N(AG99)</f>
        <v/>
      </c>
      <c r="AR99" s="2">
        <f>N(N99)+N(X99)+N(AH99)</f>
        <v/>
      </c>
      <c r="AS99" s="2">
        <f>N(O99)+N(Y99)+N(AI99)</f>
        <v/>
      </c>
      <c r="AT99" s="2">
        <f>N(P99)+N(Z99)+N(AJ99)</f>
        <v/>
      </c>
      <c r="AU99" s="2">
        <f>N(Q99)+N(AA99)+N(AK99)</f>
        <v/>
      </c>
      <c r="AV99" s="2">
        <f>N(R99)+N(AB99)+N(AL99)</f>
        <v/>
      </c>
      <c r="AW99" s="2">
        <f>SUM(I99:R99)</f>
        <v/>
      </c>
      <c r="AX99" s="2">
        <f>SUM(S99:AB99)</f>
        <v/>
      </c>
      <c r="AY99" s="2">
        <f>SUM(AC99:AL99)</f>
        <v/>
      </c>
    </row>
    <row r="100">
      <c r="A100" s="2" t="inlineStr">
        <is>
          <t>thermometer|B|thermometers</t>
        </is>
      </c>
      <c r="B100" s="2" t="inlineStr">
        <is>
          <t>Thermometer, spirit or digital, -10 to 110 °C</t>
        </is>
      </c>
      <c r="C100" s="2" t="inlineStr">
        <is>
          <t>温度计（酒精或数显，-10至110°C）</t>
        </is>
      </c>
      <c r="D100" s="2" t="inlineStr">
        <is>
          <t>Prep room equipment</t>
        </is>
      </c>
      <c r="E100" s="2" t="inlineStr">
        <is>
          <t>Plan B (no freezer)</t>
        </is>
      </c>
      <c r="F100" s="2" t="inlineStr">
        <is>
          <t>Reusable</t>
        </is>
      </c>
      <c r="G100" s="2" t="inlineStr">
        <is>
          <t>thermometers</t>
        </is>
      </c>
      <c r="H100" s="2">
        <f>IF(OR($E100="Both plans",'Read me'!$C$9="A and B",AND($E100="Plan A (freezer)",'Read me'!$C$9="A"),AND($E100="Plan B (no freezer)",'Read me'!$C$9="B")),1,0)</f>
        <v/>
      </c>
      <c r="I100" s="2" t="n"/>
      <c r="J100" s="2" t="n"/>
      <c r="K100" s="2" t="n"/>
      <c r="L100" s="2" t="n"/>
      <c r="M100" s="2" t="n"/>
      <c r="N100" s="2" t="n">
        <v>7</v>
      </c>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f>N(I100)+N(S100)+N(AC100)</f>
        <v/>
      </c>
      <c r="AN100" s="2">
        <f>N(J100)+N(T100)+N(AD100)</f>
        <v/>
      </c>
      <c r="AO100" s="2">
        <f>N(K100)+N(U100)+N(AE100)</f>
        <v/>
      </c>
      <c r="AP100" s="2">
        <f>N(L100)+N(V100)+N(AF100)</f>
        <v/>
      </c>
      <c r="AQ100" s="2">
        <f>N(M100)+N(W100)+N(AG100)</f>
        <v/>
      </c>
      <c r="AR100" s="2">
        <f>N(N100)+N(X100)+N(AH100)</f>
        <v/>
      </c>
      <c r="AS100" s="2">
        <f>N(O100)+N(Y100)+N(AI100)</f>
        <v/>
      </c>
      <c r="AT100" s="2">
        <f>N(P100)+N(Z100)+N(AJ100)</f>
        <v/>
      </c>
      <c r="AU100" s="2">
        <f>N(Q100)+N(AA100)+N(AK100)</f>
        <v/>
      </c>
      <c r="AV100" s="2">
        <f>N(R100)+N(AB100)+N(AL100)</f>
        <v/>
      </c>
      <c r="AW100" s="2">
        <f>SUM(I100:R100)</f>
        <v/>
      </c>
      <c r="AX100" s="2">
        <f>SUM(S100:AB100)</f>
        <v/>
      </c>
      <c r="AY100" s="2">
        <f>SUM(AC100:AL100)</f>
        <v/>
      </c>
    </row>
    <row r="101">
      <c r="A101" s="2" t="inlineStr">
        <is>
          <t>thermometer|both|thermometers</t>
        </is>
      </c>
      <c r="B101" s="2" t="inlineStr">
        <is>
          <t>Thermometer, spirit or digital, -10 to 110 °C</t>
        </is>
      </c>
      <c r="C101" s="2" t="inlineStr">
        <is>
          <t>温度计（酒精或数显，-10至110°C）</t>
        </is>
      </c>
      <c r="D101" s="2" t="inlineStr">
        <is>
          <t>Prep room equipment</t>
        </is>
      </c>
      <c r="E101" s="2" t="inlineStr">
        <is>
          <t>Both plans</t>
        </is>
      </c>
      <c r="F101" s="2" t="inlineStr">
        <is>
          <t>Reusable</t>
        </is>
      </c>
      <c r="G101" s="2" t="inlineStr">
        <is>
          <t>thermometers</t>
        </is>
      </c>
      <c r="H101" s="2">
        <f>IF(OR($E101="Both plans",'Read me'!$C$9="A and B",AND($E101="Plan A (freezer)",'Read me'!$C$9="A"),AND($E101="Plan B (no freezer)",'Read me'!$C$9="B")),1,0)</f>
        <v/>
      </c>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v>13</v>
      </c>
      <c r="AI101" s="2" t="n"/>
      <c r="AJ101" s="2" t="n">
        <v>12</v>
      </c>
      <c r="AK101" s="2" t="n"/>
      <c r="AL101" s="2" t="n"/>
      <c r="AM101" s="2">
        <f>N(I101)+N(S101)+N(AC101)</f>
        <v/>
      </c>
      <c r="AN101" s="2">
        <f>N(J101)+N(T101)+N(AD101)</f>
        <v/>
      </c>
      <c r="AO101" s="2">
        <f>N(K101)+N(U101)+N(AE101)</f>
        <v/>
      </c>
      <c r="AP101" s="2">
        <f>N(L101)+N(V101)+N(AF101)</f>
        <v/>
      </c>
      <c r="AQ101" s="2">
        <f>N(M101)+N(W101)+N(AG101)</f>
        <v/>
      </c>
      <c r="AR101" s="2">
        <f>N(N101)+N(X101)+N(AH101)</f>
        <v/>
      </c>
      <c r="AS101" s="2">
        <f>N(O101)+N(Y101)+N(AI101)</f>
        <v/>
      </c>
      <c r="AT101" s="2">
        <f>N(P101)+N(Z101)+N(AJ101)</f>
        <v/>
      </c>
      <c r="AU101" s="2">
        <f>N(Q101)+N(AA101)+N(AK101)</f>
        <v/>
      </c>
      <c r="AV101" s="2">
        <f>N(R101)+N(AB101)+N(AL101)</f>
        <v/>
      </c>
      <c r="AW101" s="2">
        <f>SUM(I101:R101)</f>
        <v/>
      </c>
      <c r="AX101" s="2">
        <f>SUM(S101:AB101)</f>
        <v/>
      </c>
      <c r="AY101" s="2">
        <f>SUM(AC101:AL101)</f>
        <v/>
      </c>
    </row>
    <row r="102">
      <c r="A102" s="2" t="inlineStr">
        <is>
          <t>cloth_wiping|B|cloths</t>
        </is>
      </c>
      <c r="B102" s="2" t="inlineStr">
        <is>
          <t>Cloths for wiping tables</t>
        </is>
      </c>
      <c r="C102" s="2" t="inlineStr">
        <is>
          <t>抹布</t>
        </is>
      </c>
      <c r="D102" s="2" t="inlineStr">
        <is>
          <t>Prep room equipment</t>
        </is>
      </c>
      <c r="E102" s="2" t="inlineStr">
        <is>
          <t>Plan B (no freezer)</t>
        </is>
      </c>
      <c r="F102" s="2" t="inlineStr">
        <is>
          <t>Reusable</t>
        </is>
      </c>
      <c r="G102" s="2" t="inlineStr">
        <is>
          <t>cloths</t>
        </is>
      </c>
      <c r="H102" s="2">
        <f>IF(OR($E102="Both plans",'Read me'!$C$9="A and B",AND($E102="Plan A (freezer)",'Read me'!$C$9="A"),AND($E102="Plan B (no freezer)",'Read me'!$C$9="B")),1,0)</f>
        <v/>
      </c>
      <c r="I102" s="2" t="n"/>
      <c r="J102" s="2" t="n"/>
      <c r="K102" s="2" t="n"/>
      <c r="L102" s="2" t="n"/>
      <c r="M102" s="2" t="n"/>
      <c r="N102" s="2" t="n"/>
      <c r="O102" s="2" t="n">
        <v>1</v>
      </c>
      <c r="P102" s="2" t="n"/>
      <c r="Q102" s="2" t="n"/>
      <c r="R102" s="2" t="n"/>
      <c r="S102" s="2" t="n"/>
      <c r="T102" s="2" t="n"/>
      <c r="U102" s="2" t="n"/>
      <c r="V102" s="2" t="n"/>
      <c r="W102" s="2" t="n"/>
      <c r="X102" s="2" t="n"/>
      <c r="Y102" s="2" t="n"/>
      <c r="Z102" s="2" t="n"/>
      <c r="AA102" s="2" t="n"/>
      <c r="AB102" s="2" t="n"/>
      <c r="AC102" s="2" t="n"/>
      <c r="AD102" s="2" t="n"/>
      <c r="AE102" s="2" t="n"/>
      <c r="AF102" s="2" t="n"/>
      <c r="AG102" s="2" t="n"/>
      <c r="AH102" s="2" t="n"/>
      <c r="AI102" s="2" t="n"/>
      <c r="AJ102" s="2" t="n"/>
      <c r="AK102" s="2" t="n"/>
      <c r="AL102" s="2" t="n"/>
      <c r="AM102" s="2">
        <f>N(I102)+N(S102)+N(AC102)</f>
        <v/>
      </c>
      <c r="AN102" s="2">
        <f>N(J102)+N(T102)+N(AD102)</f>
        <v/>
      </c>
      <c r="AO102" s="2">
        <f>N(K102)+N(U102)+N(AE102)</f>
        <v/>
      </c>
      <c r="AP102" s="2">
        <f>N(L102)+N(V102)+N(AF102)</f>
        <v/>
      </c>
      <c r="AQ102" s="2">
        <f>N(M102)+N(W102)+N(AG102)</f>
        <v/>
      </c>
      <c r="AR102" s="2">
        <f>N(N102)+N(X102)+N(AH102)</f>
        <v/>
      </c>
      <c r="AS102" s="2">
        <f>N(O102)+N(Y102)+N(AI102)</f>
        <v/>
      </c>
      <c r="AT102" s="2">
        <f>N(P102)+N(Z102)+N(AJ102)</f>
        <v/>
      </c>
      <c r="AU102" s="2">
        <f>N(Q102)+N(AA102)+N(AK102)</f>
        <v/>
      </c>
      <c r="AV102" s="2">
        <f>N(R102)+N(AB102)+N(AL102)</f>
        <v/>
      </c>
      <c r="AW102" s="2">
        <f>SUM(I102:R102)</f>
        <v/>
      </c>
      <c r="AX102" s="2">
        <f>SUM(S102:AB102)</f>
        <v/>
      </c>
      <c r="AY102" s="2">
        <f>SUM(AC102:AL102)</f>
        <v/>
      </c>
    </row>
    <row r="103">
      <c r="A103" s="2" t="inlineStr">
        <is>
          <t>scale_0_1g|both|scale</t>
        </is>
      </c>
      <c r="B103" s="2" t="inlineStr">
        <is>
          <t>Electronic balance, reads to 0.1 g</t>
        </is>
      </c>
      <c r="C103" s="2" t="inlineStr">
        <is>
          <t>电子天平（精度0.1克）</t>
        </is>
      </c>
      <c r="D103" s="2" t="inlineStr">
        <is>
          <t>Prep room equipment</t>
        </is>
      </c>
      <c r="E103" s="2" t="inlineStr">
        <is>
          <t>Both plans</t>
        </is>
      </c>
      <c r="F103" s="2" t="inlineStr">
        <is>
          <t>Reusable</t>
        </is>
      </c>
      <c r="G103" s="2" t="inlineStr">
        <is>
          <t>scale</t>
        </is>
      </c>
      <c r="H103" s="2">
        <f>IF(OR($E103="Both plans",'Read me'!$C$9="A and B",AND($E103="Plan A (freezer)",'Read me'!$C$9="A"),AND($E103="Plan B (no freezer)",'Read me'!$C$9="B")),1,0)</f>
        <v/>
      </c>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c r="AJ103" s="2" t="n">
        <v>1</v>
      </c>
      <c r="AK103" s="2" t="n"/>
      <c r="AL103" s="2" t="n"/>
      <c r="AM103" s="2">
        <f>N(I103)+N(S103)+N(AC103)</f>
        <v/>
      </c>
      <c r="AN103" s="2">
        <f>N(J103)+N(T103)+N(AD103)</f>
        <v/>
      </c>
      <c r="AO103" s="2">
        <f>N(K103)+N(U103)+N(AE103)</f>
        <v/>
      </c>
      <c r="AP103" s="2">
        <f>N(L103)+N(V103)+N(AF103)</f>
        <v/>
      </c>
      <c r="AQ103" s="2">
        <f>N(M103)+N(W103)+N(AG103)</f>
        <v/>
      </c>
      <c r="AR103" s="2">
        <f>N(N103)+N(X103)+N(AH103)</f>
        <v/>
      </c>
      <c r="AS103" s="2">
        <f>N(O103)+N(Y103)+N(AI103)</f>
        <v/>
      </c>
      <c r="AT103" s="2">
        <f>N(P103)+N(Z103)+N(AJ103)</f>
        <v/>
      </c>
      <c r="AU103" s="2">
        <f>N(Q103)+N(AA103)+N(AK103)</f>
        <v/>
      </c>
      <c r="AV103" s="2">
        <f>N(R103)+N(AB103)+N(AL103)</f>
        <v/>
      </c>
      <c r="AW103" s="2">
        <f>SUM(I103:R103)</f>
        <v/>
      </c>
      <c r="AX103" s="2">
        <f>SUM(S103:AB103)</f>
        <v/>
      </c>
      <c r="AY103" s="2">
        <f>SUM(AC103:AL103)</f>
        <v/>
      </c>
    </row>
    <row r="104">
      <c r="A104" s="2" t="inlineStr">
        <is>
          <t>measuring_cylinder_10ml|A|cylinders</t>
        </is>
      </c>
      <c r="B104" s="2" t="inlineStr">
        <is>
          <t>Measuring cylinder, 10 ml</t>
        </is>
      </c>
      <c r="C104" s="2" t="inlineStr">
        <is>
          <t>量筒 10毫升</t>
        </is>
      </c>
      <c r="D104" s="2" t="inlineStr">
        <is>
          <t>Prep room equipment</t>
        </is>
      </c>
      <c r="E104" s="2" t="inlineStr">
        <is>
          <t>Plan A (freezer)</t>
        </is>
      </c>
      <c r="F104" s="2" t="inlineStr">
        <is>
          <t>Reusable</t>
        </is>
      </c>
      <c r="G104" s="2" t="inlineStr">
        <is>
          <t>cylinders</t>
        </is>
      </c>
      <c r="H104" s="2">
        <f>IF(OR($E104="Both plans",'Read me'!$C$9="A and B",AND($E104="Plan A (freezer)",'Read me'!$C$9="A"),AND($E104="Plan B (no freezer)",'Read me'!$C$9="B")),1,0)</f>
        <v/>
      </c>
      <c r="I104" s="2" t="n"/>
      <c r="J104" s="2" t="n"/>
      <c r="K104" s="2" t="n"/>
      <c r="L104" s="2" t="n"/>
      <c r="M104" s="2" t="n"/>
      <c r="N104" s="2" t="n"/>
      <c r="O104" s="2" t="n"/>
      <c r="P104" s="2" t="n">
        <v>2</v>
      </c>
      <c r="Q104" s="2" t="n"/>
      <c r="R104" s="2" t="n"/>
      <c r="S104" s="2" t="n"/>
      <c r="T104" s="2" t="n"/>
      <c r="U104" s="2" t="n"/>
      <c r="V104" s="2" t="n"/>
      <c r="W104" s="2" t="n"/>
      <c r="X104" s="2" t="n"/>
      <c r="Y104" s="2" t="n"/>
      <c r="Z104" s="2" t="n"/>
      <c r="AA104" s="2" t="n"/>
      <c r="AB104" s="2" t="n"/>
      <c r="AC104" s="2" t="n"/>
      <c r="AD104" s="2" t="n"/>
      <c r="AE104" s="2" t="n"/>
      <c r="AF104" s="2" t="n"/>
      <c r="AG104" s="2" t="n"/>
      <c r="AH104" s="2" t="n"/>
      <c r="AI104" s="2" t="n"/>
      <c r="AJ104" s="2" t="n"/>
      <c r="AK104" s="2" t="n"/>
      <c r="AL104" s="2" t="n"/>
      <c r="AM104" s="2">
        <f>N(I104)+N(S104)+N(AC104)</f>
        <v/>
      </c>
      <c r="AN104" s="2">
        <f>N(J104)+N(T104)+N(AD104)</f>
        <v/>
      </c>
      <c r="AO104" s="2">
        <f>N(K104)+N(U104)+N(AE104)</f>
        <v/>
      </c>
      <c r="AP104" s="2">
        <f>N(L104)+N(V104)+N(AF104)</f>
        <v/>
      </c>
      <c r="AQ104" s="2">
        <f>N(M104)+N(W104)+N(AG104)</f>
        <v/>
      </c>
      <c r="AR104" s="2">
        <f>N(N104)+N(X104)+N(AH104)</f>
        <v/>
      </c>
      <c r="AS104" s="2">
        <f>N(O104)+N(Y104)+N(AI104)</f>
        <v/>
      </c>
      <c r="AT104" s="2">
        <f>N(P104)+N(Z104)+N(AJ104)</f>
        <v/>
      </c>
      <c r="AU104" s="2">
        <f>N(Q104)+N(AA104)+N(AK104)</f>
        <v/>
      </c>
      <c r="AV104" s="2">
        <f>N(R104)+N(AB104)+N(AL104)</f>
        <v/>
      </c>
      <c r="AW104" s="2">
        <f>SUM(I104:R104)</f>
        <v/>
      </c>
      <c r="AX104" s="2">
        <f>SUM(S104:AB104)</f>
        <v/>
      </c>
      <c r="AY104" s="2">
        <f>SUM(AC104:AL104)</f>
        <v/>
      </c>
    </row>
    <row r="105">
      <c r="A105" s="2" t="inlineStr">
        <is>
          <t>measuring_cylinder_10ml|both|cylinders</t>
        </is>
      </c>
      <c r="B105" s="2" t="inlineStr">
        <is>
          <t>Measuring cylinder, 10 ml</t>
        </is>
      </c>
      <c r="C105" s="2" t="inlineStr">
        <is>
          <t>量筒 10毫升</t>
        </is>
      </c>
      <c r="D105" s="2" t="inlineStr">
        <is>
          <t>Prep room equipment</t>
        </is>
      </c>
      <c r="E105" s="2" t="inlineStr">
        <is>
          <t>Both plans</t>
        </is>
      </c>
      <c r="F105" s="2" t="inlineStr">
        <is>
          <t>Reusable</t>
        </is>
      </c>
      <c r="G105" s="2" t="inlineStr">
        <is>
          <t>cylinders</t>
        </is>
      </c>
      <c r="H105" s="2">
        <f>IF(OR($E105="Both plans",'Read me'!$C$9="A and B",AND($E105="Plan A (freezer)",'Read me'!$C$9="A"),AND($E105="Plan B (no freezer)",'Read me'!$C$9="B")),1,0)</f>
        <v/>
      </c>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v>1</v>
      </c>
      <c r="AK105" s="2" t="n"/>
      <c r="AL105" s="2" t="n"/>
      <c r="AM105" s="2">
        <f>N(I105)+N(S105)+N(AC105)</f>
        <v/>
      </c>
      <c r="AN105" s="2">
        <f>N(J105)+N(T105)+N(AD105)</f>
        <v/>
      </c>
      <c r="AO105" s="2">
        <f>N(K105)+N(U105)+N(AE105)</f>
        <v/>
      </c>
      <c r="AP105" s="2">
        <f>N(L105)+N(V105)+N(AF105)</f>
        <v/>
      </c>
      <c r="AQ105" s="2">
        <f>N(M105)+N(W105)+N(AG105)</f>
        <v/>
      </c>
      <c r="AR105" s="2">
        <f>N(N105)+N(X105)+N(AH105)</f>
        <v/>
      </c>
      <c r="AS105" s="2">
        <f>N(O105)+N(Y105)+N(AI105)</f>
        <v/>
      </c>
      <c r="AT105" s="2">
        <f>N(P105)+N(Z105)+N(AJ105)</f>
        <v/>
      </c>
      <c r="AU105" s="2">
        <f>N(Q105)+N(AA105)+N(AK105)</f>
        <v/>
      </c>
      <c r="AV105" s="2">
        <f>N(R105)+N(AB105)+N(AL105)</f>
        <v/>
      </c>
      <c r="AW105" s="2">
        <f>SUM(I105:R105)</f>
        <v/>
      </c>
      <c r="AX105" s="2">
        <f>SUM(S105:AB105)</f>
        <v/>
      </c>
      <c r="AY105" s="2">
        <f>SUM(AC105:AL105)</f>
        <v/>
      </c>
    </row>
    <row r="106">
      <c r="A106" s="2" t="inlineStr">
        <is>
          <t>measuring_jug_200ml|A|jugs</t>
        </is>
      </c>
      <c r="B106" s="2" t="inlineStr">
        <is>
          <t>Measuring jug, 200 ml</t>
        </is>
      </c>
      <c r="C106" s="2" t="inlineStr">
        <is>
          <t>量杯 200毫升</t>
        </is>
      </c>
      <c r="D106" s="2" t="inlineStr">
        <is>
          <t>Prep room equipment</t>
        </is>
      </c>
      <c r="E106" s="2" t="inlineStr">
        <is>
          <t>Plan A (freezer)</t>
        </is>
      </c>
      <c r="F106" s="2" t="inlineStr">
        <is>
          <t>Reusable</t>
        </is>
      </c>
      <c r="G106" s="2" t="inlineStr">
        <is>
          <t>jugs</t>
        </is>
      </c>
      <c r="H106" s="2">
        <f>IF(OR($E106="Both plans",'Read me'!$C$9="A and B",AND($E106="Plan A (freezer)",'Read me'!$C$9="A"),AND($E106="Plan B (no freezer)",'Read me'!$C$9="B")),1,0)</f>
        <v/>
      </c>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c r="AH106" s="2" t="n"/>
      <c r="AI106" s="2" t="n"/>
      <c r="AJ106" s="2" t="n">
        <v>2</v>
      </c>
      <c r="AK106" s="2" t="n"/>
      <c r="AL106" s="2" t="n"/>
      <c r="AM106" s="2">
        <f>N(I106)+N(S106)+N(AC106)</f>
        <v/>
      </c>
      <c r="AN106" s="2">
        <f>N(J106)+N(T106)+N(AD106)</f>
        <v/>
      </c>
      <c r="AO106" s="2">
        <f>N(K106)+N(U106)+N(AE106)</f>
        <v/>
      </c>
      <c r="AP106" s="2">
        <f>N(L106)+N(V106)+N(AF106)</f>
        <v/>
      </c>
      <c r="AQ106" s="2">
        <f>N(M106)+N(W106)+N(AG106)</f>
        <v/>
      </c>
      <c r="AR106" s="2">
        <f>N(N106)+N(X106)+N(AH106)</f>
        <v/>
      </c>
      <c r="AS106" s="2">
        <f>N(O106)+N(Y106)+N(AI106)</f>
        <v/>
      </c>
      <c r="AT106" s="2">
        <f>N(P106)+N(Z106)+N(AJ106)</f>
        <v/>
      </c>
      <c r="AU106" s="2">
        <f>N(Q106)+N(AA106)+N(AK106)</f>
        <v/>
      </c>
      <c r="AV106" s="2">
        <f>N(R106)+N(AB106)+N(AL106)</f>
        <v/>
      </c>
      <c r="AW106" s="2">
        <f>SUM(I106:R106)</f>
        <v/>
      </c>
      <c r="AX106" s="2">
        <f>SUM(S106:AB106)</f>
        <v/>
      </c>
      <c r="AY106" s="2">
        <f>SUM(AC106:AL106)</f>
        <v/>
      </c>
    </row>
    <row r="107">
      <c r="A107" s="2" t="inlineStr">
        <is>
          <t>measuring_jug_200ml|both|jugs</t>
        </is>
      </c>
      <c r="B107" s="2" t="inlineStr">
        <is>
          <t>Measuring jug, 200 ml</t>
        </is>
      </c>
      <c r="C107" s="2" t="inlineStr">
        <is>
          <t>量杯 200毫升</t>
        </is>
      </c>
      <c r="D107" s="2" t="inlineStr">
        <is>
          <t>Prep room equipment</t>
        </is>
      </c>
      <c r="E107" s="2" t="inlineStr">
        <is>
          <t>Both plans</t>
        </is>
      </c>
      <c r="F107" s="2" t="inlineStr">
        <is>
          <t>Reusable</t>
        </is>
      </c>
      <c r="G107" s="2" t="inlineStr">
        <is>
          <t>jugs</t>
        </is>
      </c>
      <c r="H107" s="2">
        <f>IF(OR($E107="Both plans",'Read me'!$C$9="A and B",AND($E107="Plan A (freezer)",'Read me'!$C$9="A"),AND($E107="Plan B (no freezer)",'Read me'!$C$9="B")),1,0)</f>
        <v/>
      </c>
      <c r="I107" s="2" t="n"/>
      <c r="J107" s="2" t="n"/>
      <c r="K107" s="2" t="n"/>
      <c r="L107" s="2" t="n"/>
      <c r="M107" s="2" t="n"/>
      <c r="N107" s="2" t="n"/>
      <c r="O107" s="2" t="n"/>
      <c r="P107" s="2" t="n"/>
      <c r="Q107" s="2" t="n"/>
      <c r="R107" s="2" t="n"/>
      <c r="S107" s="2" t="n"/>
      <c r="T107" s="2" t="n"/>
      <c r="U107" s="2" t="n"/>
      <c r="V107" s="2" t="n"/>
      <c r="W107" s="2" t="n"/>
      <c r="X107" s="2" t="n"/>
      <c r="Y107" s="2" t="n"/>
      <c r="Z107" s="2" t="n">
        <v>4</v>
      </c>
      <c r="AA107" s="2" t="n"/>
      <c r="AB107" s="2" t="n"/>
      <c r="AC107" s="2" t="n"/>
      <c r="AD107" s="2" t="n"/>
      <c r="AE107" s="2" t="n"/>
      <c r="AF107" s="2" t="n"/>
      <c r="AG107" s="2" t="n"/>
      <c r="AH107" s="2" t="n"/>
      <c r="AI107" s="2" t="n"/>
      <c r="AJ107" s="2" t="n"/>
      <c r="AK107" s="2" t="n"/>
      <c r="AL107" s="2" t="n"/>
      <c r="AM107" s="2">
        <f>N(I107)+N(S107)+N(AC107)</f>
        <v/>
      </c>
      <c r="AN107" s="2">
        <f>N(J107)+N(T107)+N(AD107)</f>
        <v/>
      </c>
      <c r="AO107" s="2">
        <f>N(K107)+N(U107)+N(AE107)</f>
        <v/>
      </c>
      <c r="AP107" s="2">
        <f>N(L107)+N(V107)+N(AF107)</f>
        <v/>
      </c>
      <c r="AQ107" s="2">
        <f>N(M107)+N(W107)+N(AG107)</f>
        <v/>
      </c>
      <c r="AR107" s="2">
        <f>N(N107)+N(X107)+N(AH107)</f>
        <v/>
      </c>
      <c r="AS107" s="2">
        <f>N(O107)+N(Y107)+N(AI107)</f>
        <v/>
      </c>
      <c r="AT107" s="2">
        <f>N(P107)+N(Z107)+N(AJ107)</f>
        <v/>
      </c>
      <c r="AU107" s="2">
        <f>N(Q107)+N(AA107)+N(AK107)</f>
        <v/>
      </c>
      <c r="AV107" s="2">
        <f>N(R107)+N(AB107)+N(AL107)</f>
        <v/>
      </c>
      <c r="AW107" s="2">
        <f>SUM(I107:R107)</f>
        <v/>
      </c>
      <c r="AX107" s="2">
        <f>SUM(S107:AB107)</f>
        <v/>
      </c>
      <c r="AY107" s="2">
        <f>SUM(AC107:AL107)</f>
        <v/>
      </c>
    </row>
    <row r="108">
      <c r="A108" s="2" t="inlineStr">
        <is>
          <t>bottle_small_60ml|both|bottles</t>
        </is>
      </c>
      <c r="B108" s="2" t="inlineStr">
        <is>
          <t>Small bottle, about 60 ml (for vinegar)</t>
        </is>
      </c>
      <c r="C108" s="2" t="inlineStr">
        <is>
          <t>小瓶（约60毫升，装白醋）</t>
        </is>
      </c>
      <c r="D108" s="2" t="inlineStr">
        <is>
          <t>Prep room equipment</t>
        </is>
      </c>
      <c r="E108" s="2" t="inlineStr">
        <is>
          <t>Both plans</t>
        </is>
      </c>
      <c r="F108" s="2" t="inlineStr">
        <is>
          <t>Reusable</t>
        </is>
      </c>
      <c r="G108" s="2" t="inlineStr">
        <is>
          <t>bottles</t>
        </is>
      </c>
      <c r="H108" s="2">
        <f>IF(OR($E108="Both plans",'Read me'!$C$9="A and B",AND($E108="Plan A (freezer)",'Read me'!$C$9="A"),AND($E108="Plan B (no freezer)",'Read me'!$C$9="B")),1,0)</f>
        <v/>
      </c>
      <c r="I108" s="2" t="n"/>
      <c r="J108" s="2" t="n"/>
      <c r="K108" s="2" t="n"/>
      <c r="L108" s="2" t="n"/>
      <c r="M108" s="2" t="n"/>
      <c r="N108" s="2" t="n"/>
      <c r="O108" s="2" t="n"/>
      <c r="P108" s="2" t="n"/>
      <c r="Q108" s="2" t="n"/>
      <c r="R108" s="2" t="n"/>
      <c r="S108" s="2" t="n"/>
      <c r="T108" s="2" t="n"/>
      <c r="U108" s="2" t="n"/>
      <c r="V108" s="2" t="n"/>
      <c r="W108" s="2" t="n"/>
      <c r="X108" s="2" t="n"/>
      <c r="Y108" s="2" t="n"/>
      <c r="Z108" s="2" t="n">
        <v>2</v>
      </c>
      <c r="AA108" s="2" t="n"/>
      <c r="AB108" s="2" t="n"/>
      <c r="AC108" s="2" t="n"/>
      <c r="AD108" s="2" t="n"/>
      <c r="AE108" s="2" t="n"/>
      <c r="AF108" s="2" t="n"/>
      <c r="AG108" s="2" t="n"/>
      <c r="AH108" s="2" t="n"/>
      <c r="AI108" s="2" t="n"/>
      <c r="AJ108" s="2" t="n"/>
      <c r="AK108" s="2" t="n"/>
      <c r="AL108" s="2" t="n"/>
      <c r="AM108" s="2">
        <f>N(I108)+N(S108)+N(AC108)</f>
        <v/>
      </c>
      <c r="AN108" s="2">
        <f>N(J108)+N(T108)+N(AD108)</f>
        <v/>
      </c>
      <c r="AO108" s="2">
        <f>N(K108)+N(U108)+N(AE108)</f>
        <v/>
      </c>
      <c r="AP108" s="2">
        <f>N(L108)+N(V108)+N(AF108)</f>
        <v/>
      </c>
      <c r="AQ108" s="2">
        <f>N(M108)+N(W108)+N(AG108)</f>
        <v/>
      </c>
      <c r="AR108" s="2">
        <f>N(N108)+N(X108)+N(AH108)</f>
        <v/>
      </c>
      <c r="AS108" s="2">
        <f>N(O108)+N(Y108)+N(AI108)</f>
        <v/>
      </c>
      <c r="AT108" s="2">
        <f>N(P108)+N(Z108)+N(AJ108)</f>
        <v/>
      </c>
      <c r="AU108" s="2">
        <f>N(Q108)+N(AA108)+N(AK108)</f>
        <v/>
      </c>
      <c r="AV108" s="2">
        <f>N(R108)+N(AB108)+N(AL108)</f>
        <v/>
      </c>
      <c r="AW108" s="2">
        <f>SUM(I108:R108)</f>
        <v/>
      </c>
      <c r="AX108" s="2">
        <f>SUM(S108:AB108)</f>
        <v/>
      </c>
      <c r="AY108" s="2">
        <f>SUM(AC108:AL108)</f>
        <v/>
      </c>
    </row>
    <row r="109">
      <c r="A109" s="2" t="inlineStr">
        <is>
          <t>baking_soda|both|teaspoons</t>
        </is>
      </c>
      <c r="B109" s="2" t="inlineStr">
        <is>
          <t>Baking soda (bicarbonate of soda)</t>
        </is>
      </c>
      <c r="C109" s="2" t="inlineStr">
        <is>
          <t>小苏打</t>
        </is>
      </c>
      <c r="D109" s="2" t="inlineStr">
        <is>
          <t>Canteen and kitchen</t>
        </is>
      </c>
      <c r="E109" s="2" t="inlineStr">
        <is>
          <t>Both plans</t>
        </is>
      </c>
      <c r="F109" s="2" t="inlineStr">
        <is>
          <t>Used up</t>
        </is>
      </c>
      <c r="G109" s="2" t="inlineStr">
        <is>
          <t>teaspoons</t>
        </is>
      </c>
      <c r="H109" s="2">
        <f>IF(OR($E109="Both plans",'Read me'!$C$9="A and B",AND($E109="Plan A (freezer)",'Read me'!$C$9="A"),AND($E109="Plan B (no freezer)",'Read me'!$C$9="B")),1,0)</f>
        <v/>
      </c>
      <c r="I109" s="2" t="n"/>
      <c r="J109" s="2" t="n"/>
      <c r="K109" s="2" t="n"/>
      <c r="L109" s="2" t="n"/>
      <c r="M109" s="2" t="n"/>
      <c r="N109" s="2" t="n"/>
      <c r="O109" s="2" t="n"/>
      <c r="P109" s="2" t="n"/>
      <c r="Q109" s="2" t="n"/>
      <c r="R109" s="2" t="n"/>
      <c r="S109" s="2" t="n">
        <v>1</v>
      </c>
      <c r="T109" s="2" t="n"/>
      <c r="U109" s="2" t="n"/>
      <c r="V109" s="2" t="n">
        <v>30</v>
      </c>
      <c r="W109" s="2" t="n">
        <v>2</v>
      </c>
      <c r="X109" s="2" t="n"/>
      <c r="Y109" s="2" t="n">
        <v>6</v>
      </c>
      <c r="Z109" s="2" t="n">
        <v>12</v>
      </c>
      <c r="AA109" s="2" t="n"/>
      <c r="AB109" s="2" t="n"/>
      <c r="AC109" s="2" t="n"/>
      <c r="AD109" s="2" t="n"/>
      <c r="AE109" s="2" t="n"/>
      <c r="AF109" s="2" t="n"/>
      <c r="AG109" s="2" t="n"/>
      <c r="AH109" s="2" t="n"/>
      <c r="AI109" s="2" t="n"/>
      <c r="AJ109" s="2" t="n"/>
      <c r="AK109" s="2" t="n"/>
      <c r="AL109" s="2" t="n"/>
      <c r="AM109" s="2">
        <f>N(I109)+N(S109)+N(AC109)</f>
        <v/>
      </c>
      <c r="AN109" s="2">
        <f>N(J109)+N(T109)+N(AD109)</f>
        <v/>
      </c>
      <c r="AO109" s="2">
        <f>N(K109)+N(U109)+N(AE109)</f>
        <v/>
      </c>
      <c r="AP109" s="2">
        <f>N(L109)+N(V109)+N(AF109)</f>
        <v/>
      </c>
      <c r="AQ109" s="2">
        <f>N(M109)+N(W109)+N(AG109)</f>
        <v/>
      </c>
      <c r="AR109" s="2">
        <f>N(N109)+N(X109)+N(AH109)</f>
        <v/>
      </c>
      <c r="AS109" s="2">
        <f>N(O109)+N(Y109)+N(AI109)</f>
        <v/>
      </c>
      <c r="AT109" s="2">
        <f>N(P109)+N(Z109)+N(AJ109)</f>
        <v/>
      </c>
      <c r="AU109" s="2">
        <f>N(Q109)+N(AA109)+N(AK109)</f>
        <v/>
      </c>
      <c r="AV109" s="2">
        <f>N(R109)+N(AB109)+N(AL109)</f>
        <v/>
      </c>
      <c r="AW109" s="2">
        <f>SUM(I109:R109)</f>
        <v/>
      </c>
      <c r="AX109" s="2">
        <f>SUM(S109:AB109)</f>
        <v/>
      </c>
      <c r="AY109" s="2">
        <f>SUM(AC109:AL109)</f>
        <v/>
      </c>
    </row>
    <row r="110">
      <c r="A110" s="2" t="inlineStr">
        <is>
          <t>drinking_glass|both|glass</t>
        </is>
      </c>
      <c r="B110" s="2" t="inlineStr">
        <is>
          <t>Drinking glass, clear</t>
        </is>
      </c>
      <c r="C110" s="2" t="inlineStr">
        <is>
          <t>玻璃杯（透明）</t>
        </is>
      </c>
      <c r="D110" s="2" t="inlineStr">
        <is>
          <t>Canteen and kitchen</t>
        </is>
      </c>
      <c r="E110" s="2" t="inlineStr">
        <is>
          <t>Both plans</t>
        </is>
      </c>
      <c r="F110" s="2" t="inlineStr">
        <is>
          <t>Reusable</t>
        </is>
      </c>
      <c r="G110" s="2" t="inlineStr">
        <is>
          <t>glass</t>
        </is>
      </c>
      <c r="H110" s="2">
        <f>IF(OR($E110="Both plans",'Read me'!$C$9="A and B",AND($E110="Plan A (freezer)",'Read me'!$C$9="A"),AND($E110="Plan B (no freezer)",'Read me'!$C$9="B")),1,0)</f>
        <v/>
      </c>
      <c r="I110" s="2" t="n"/>
      <c r="J110" s="2" t="n"/>
      <c r="K110" s="2" t="n"/>
      <c r="L110" s="2" t="n"/>
      <c r="M110" s="2" t="n"/>
      <c r="N110" s="2" t="n"/>
      <c r="O110" s="2" t="n"/>
      <c r="P110" s="2" t="n"/>
      <c r="Q110" s="2" t="n"/>
      <c r="R110" s="2" t="n"/>
      <c r="S110" s="2" t="n">
        <v>1</v>
      </c>
      <c r="T110" s="2" t="n">
        <v>1</v>
      </c>
      <c r="U110" s="2" t="n"/>
      <c r="V110" s="2" t="n"/>
      <c r="W110" s="2" t="n"/>
      <c r="X110" s="2" t="n"/>
      <c r="Y110" s="2" t="n"/>
      <c r="Z110" s="2" t="n"/>
      <c r="AA110" s="2" t="n"/>
      <c r="AB110" s="2" t="n"/>
      <c r="AC110" s="2" t="n"/>
      <c r="AD110" s="2" t="n"/>
      <c r="AE110" s="2" t="n"/>
      <c r="AF110" s="2" t="n"/>
      <c r="AG110" s="2" t="n"/>
      <c r="AH110" s="2" t="n"/>
      <c r="AI110" s="2" t="n"/>
      <c r="AJ110" s="2" t="n"/>
      <c r="AK110" s="2" t="n"/>
      <c r="AL110" s="2" t="n"/>
      <c r="AM110" s="2">
        <f>N(I110)+N(S110)+N(AC110)</f>
        <v/>
      </c>
      <c r="AN110" s="2">
        <f>N(J110)+N(T110)+N(AD110)</f>
        <v/>
      </c>
      <c r="AO110" s="2">
        <f>N(K110)+N(U110)+N(AE110)</f>
        <v/>
      </c>
      <c r="AP110" s="2">
        <f>N(L110)+N(V110)+N(AF110)</f>
        <v/>
      </c>
      <c r="AQ110" s="2">
        <f>N(M110)+N(W110)+N(AG110)</f>
        <v/>
      </c>
      <c r="AR110" s="2">
        <f>N(N110)+N(X110)+N(AH110)</f>
        <v/>
      </c>
      <c r="AS110" s="2">
        <f>N(O110)+N(Y110)+N(AI110)</f>
        <v/>
      </c>
      <c r="AT110" s="2">
        <f>N(P110)+N(Z110)+N(AJ110)</f>
        <v/>
      </c>
      <c r="AU110" s="2">
        <f>N(Q110)+N(AA110)+N(AK110)</f>
        <v/>
      </c>
      <c r="AV110" s="2">
        <f>N(R110)+N(AB110)+N(AL110)</f>
        <v/>
      </c>
      <c r="AW110" s="2">
        <f>SUM(I110:R110)</f>
        <v/>
      </c>
      <c r="AX110" s="2">
        <f>SUM(S110:AB110)</f>
        <v/>
      </c>
      <c r="AY110" s="2">
        <f>SUM(AC110:AL110)</f>
        <v/>
      </c>
    </row>
    <row r="111">
      <c r="A111" s="2" t="inlineStr">
        <is>
          <t>saucers|both|saucers</t>
        </is>
      </c>
      <c r="B111" s="2" t="inlineStr">
        <is>
          <t>Saucers, small, identical</t>
        </is>
      </c>
      <c r="C111" s="2" t="inlineStr">
        <is>
          <t>小碟子（同款）</t>
        </is>
      </c>
      <c r="D111" s="2" t="inlineStr">
        <is>
          <t>Canteen and kitchen</t>
        </is>
      </c>
      <c r="E111" s="2" t="inlineStr">
        <is>
          <t>Both plans</t>
        </is>
      </c>
      <c r="F111" s="2" t="inlineStr">
        <is>
          <t>Reusable</t>
        </is>
      </c>
      <c r="G111" s="2" t="inlineStr">
        <is>
          <t>saucers</t>
        </is>
      </c>
      <c r="H111" s="2">
        <f>IF(OR($E111="Both plans",'Read me'!$C$9="A and B",AND($E111="Plan A (freezer)",'Read me'!$C$9="A"),AND($E111="Plan B (no freezer)",'Read me'!$C$9="B")),1,0)</f>
        <v/>
      </c>
      <c r="I111" s="2" t="n"/>
      <c r="J111" s="2" t="n"/>
      <c r="K111" s="2" t="n"/>
      <c r="L111" s="2" t="n"/>
      <c r="M111" s="2" t="n"/>
      <c r="N111" s="2" t="n"/>
      <c r="O111" s="2" t="n"/>
      <c r="P111" s="2" t="n"/>
      <c r="Q111" s="2" t="n"/>
      <c r="R111" s="2" t="n"/>
      <c r="S111" s="2" t="n">
        <v>1</v>
      </c>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f>N(I111)+N(S111)+N(AC111)</f>
        <v/>
      </c>
      <c r="AN111" s="2">
        <f>N(J111)+N(T111)+N(AD111)</f>
        <v/>
      </c>
      <c r="AO111" s="2">
        <f>N(K111)+N(U111)+N(AE111)</f>
        <v/>
      </c>
      <c r="AP111" s="2">
        <f>N(L111)+N(V111)+N(AF111)</f>
        <v/>
      </c>
      <c r="AQ111" s="2">
        <f>N(M111)+N(W111)+N(AG111)</f>
        <v/>
      </c>
      <c r="AR111" s="2">
        <f>N(N111)+N(X111)+N(AH111)</f>
        <v/>
      </c>
      <c r="AS111" s="2">
        <f>N(O111)+N(Y111)+N(AI111)</f>
        <v/>
      </c>
      <c r="AT111" s="2">
        <f>N(P111)+N(Z111)+N(AJ111)</f>
        <v/>
      </c>
      <c r="AU111" s="2">
        <f>N(Q111)+N(AA111)+N(AK111)</f>
        <v/>
      </c>
      <c r="AV111" s="2">
        <f>N(R111)+N(AB111)+N(AL111)</f>
        <v/>
      </c>
      <c r="AW111" s="2">
        <f>SUM(I111:R111)</f>
        <v/>
      </c>
      <c r="AX111" s="2">
        <f>SUM(S111:AB111)</f>
        <v/>
      </c>
      <c r="AY111" s="2">
        <f>SUM(AC111:AL111)</f>
        <v/>
      </c>
    </row>
    <row r="112">
      <c r="A112" s="2" t="inlineStr">
        <is>
          <t>rice_dry|both|teaspoon</t>
        </is>
      </c>
      <c r="B112" s="2" t="inlineStr">
        <is>
          <t>Dry rice, uncooked</t>
        </is>
      </c>
      <c r="C112" s="2" t="inlineStr">
        <is>
          <t>生大米</t>
        </is>
      </c>
      <c r="D112" s="2" t="inlineStr">
        <is>
          <t>Canteen and kitchen</t>
        </is>
      </c>
      <c r="E112" s="2" t="inlineStr">
        <is>
          <t>Both plans</t>
        </is>
      </c>
      <c r="F112" s="2" t="inlineStr">
        <is>
          <t>Reusable</t>
        </is>
      </c>
      <c r="G112" s="2" t="inlineStr">
        <is>
          <t>teaspoon</t>
        </is>
      </c>
      <c r="H112" s="2">
        <f>IF(OR($E112="Both plans",'Read me'!$C$9="A and B",AND($E112="Plan A (freezer)",'Read me'!$C$9="A"),AND($E112="Plan B (no freezer)",'Read me'!$C$9="B")),1,0)</f>
        <v/>
      </c>
      <c r="I112" s="2" t="n"/>
      <c r="J112" s="2" t="n">
        <v>1</v>
      </c>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f>N(I112)+N(S112)+N(AC112)</f>
        <v/>
      </c>
      <c r="AN112" s="2">
        <f>N(J112)+N(T112)+N(AD112)</f>
        <v/>
      </c>
      <c r="AO112" s="2">
        <f>N(K112)+N(U112)+N(AE112)</f>
        <v/>
      </c>
      <c r="AP112" s="2">
        <f>N(L112)+N(V112)+N(AF112)</f>
        <v/>
      </c>
      <c r="AQ112" s="2">
        <f>N(M112)+N(W112)+N(AG112)</f>
        <v/>
      </c>
      <c r="AR112" s="2">
        <f>N(N112)+N(X112)+N(AH112)</f>
        <v/>
      </c>
      <c r="AS112" s="2">
        <f>N(O112)+N(Y112)+N(AI112)</f>
        <v/>
      </c>
      <c r="AT112" s="2">
        <f>N(P112)+N(Z112)+N(AJ112)</f>
        <v/>
      </c>
      <c r="AU112" s="2">
        <f>N(Q112)+N(AA112)+N(AK112)</f>
        <v/>
      </c>
      <c r="AV112" s="2">
        <f>N(R112)+N(AB112)+N(AL112)</f>
        <v/>
      </c>
      <c r="AW112" s="2">
        <f>SUM(I112:R112)</f>
        <v/>
      </c>
      <c r="AX112" s="2">
        <f>SUM(S112:AB112)</f>
        <v/>
      </c>
      <c r="AY112" s="2">
        <f>SUM(AC112:AL112)</f>
        <v/>
      </c>
    </row>
    <row r="113">
      <c r="A113" s="2" t="inlineStr">
        <is>
          <t>jug_plastic_2l|both|jugs</t>
        </is>
      </c>
      <c r="B113" s="2" t="inlineStr">
        <is>
          <t>Jugs, plastic, about 2 litres</t>
        </is>
      </c>
      <c r="C113" s="2" t="inlineStr">
        <is>
          <t>塑料水壶（约2升）</t>
        </is>
      </c>
      <c r="D113" s="2" t="inlineStr">
        <is>
          <t>Canteen and kitchen</t>
        </is>
      </c>
      <c r="E113" s="2" t="inlineStr">
        <is>
          <t>Both plans</t>
        </is>
      </c>
      <c r="F113" s="2" t="inlineStr">
        <is>
          <t>Reusable</t>
        </is>
      </c>
      <c r="G113" s="2" t="inlineStr">
        <is>
          <t>jugs</t>
        </is>
      </c>
      <c r="H113" s="2">
        <f>IF(OR($E113="Both plans",'Read me'!$C$9="A and B",AND($E113="Plan A (freezer)",'Read me'!$C$9="A"),AND($E113="Plan B (no freezer)",'Read me'!$C$9="B")),1,0)</f>
        <v/>
      </c>
      <c r="I113" s="2" t="n"/>
      <c r="J113" s="2" t="n"/>
      <c r="K113" s="2" t="n"/>
      <c r="L113" s="2" t="n"/>
      <c r="M113" s="2" t="n">
        <v>1</v>
      </c>
      <c r="N113" s="2" t="n">
        <v>2</v>
      </c>
      <c r="O113" s="2" t="n">
        <v>1</v>
      </c>
      <c r="P113" s="2" t="n">
        <v>6</v>
      </c>
      <c r="Q113" s="2" t="n"/>
      <c r="R113" s="2" t="n"/>
      <c r="S113" s="2" t="n"/>
      <c r="T113" s="2" t="n"/>
      <c r="U113" s="2" t="n">
        <v>6</v>
      </c>
      <c r="V113" s="2" t="n"/>
      <c r="W113" s="2" t="n"/>
      <c r="X113" s="2" t="n"/>
      <c r="Y113" s="2" t="n"/>
      <c r="Z113" s="2" t="n">
        <v>4</v>
      </c>
      <c r="AA113" s="2" t="n"/>
      <c r="AB113" s="2" t="n"/>
      <c r="AC113" s="2" t="n"/>
      <c r="AD113" s="2" t="n"/>
      <c r="AE113" s="2" t="n"/>
      <c r="AF113" s="2" t="n"/>
      <c r="AG113" s="2" t="n"/>
      <c r="AH113" s="2" t="n">
        <v>1</v>
      </c>
      <c r="AI113" s="2" t="n"/>
      <c r="AJ113" s="2" t="n">
        <v>1</v>
      </c>
      <c r="AK113" s="2" t="n"/>
      <c r="AL113" s="2" t="n"/>
      <c r="AM113" s="2">
        <f>N(I113)+N(S113)+N(AC113)</f>
        <v/>
      </c>
      <c r="AN113" s="2">
        <f>N(J113)+N(T113)+N(AD113)</f>
        <v/>
      </c>
      <c r="AO113" s="2">
        <f>N(K113)+N(U113)+N(AE113)</f>
        <v/>
      </c>
      <c r="AP113" s="2">
        <f>N(L113)+N(V113)+N(AF113)</f>
        <v/>
      </c>
      <c r="AQ113" s="2">
        <f>N(M113)+N(W113)+N(AG113)</f>
        <v/>
      </c>
      <c r="AR113" s="2">
        <f>N(N113)+N(X113)+N(AH113)</f>
        <v/>
      </c>
      <c r="AS113" s="2">
        <f>N(O113)+N(Y113)+N(AI113)</f>
        <v/>
      </c>
      <c r="AT113" s="2">
        <f>N(P113)+N(Z113)+N(AJ113)</f>
        <v/>
      </c>
      <c r="AU113" s="2">
        <f>N(Q113)+N(AA113)+N(AK113)</f>
        <v/>
      </c>
      <c r="AV113" s="2">
        <f>N(R113)+N(AB113)+N(AL113)</f>
        <v/>
      </c>
      <c r="AW113" s="2">
        <f>SUM(I113:R113)</f>
        <v/>
      </c>
      <c r="AX113" s="2">
        <f>SUM(S113:AB113)</f>
        <v/>
      </c>
      <c r="AY113" s="2">
        <f>SUM(AC113:AL113)</f>
        <v/>
      </c>
    </row>
    <row r="114">
      <c r="A114" s="2" t="inlineStr">
        <is>
          <t>cornflour|both|teaspoons</t>
        </is>
      </c>
      <c r="B114" s="2" t="inlineStr">
        <is>
          <t>Cornflour</t>
        </is>
      </c>
      <c r="C114" s="2" t="inlineStr">
        <is>
          <t>玉米淀粉</t>
        </is>
      </c>
      <c r="D114" s="2" t="inlineStr">
        <is>
          <t>Canteen and kitchen</t>
        </is>
      </c>
      <c r="E114" s="2" t="inlineStr">
        <is>
          <t>Both plans</t>
        </is>
      </c>
      <c r="F114" s="2" t="inlineStr">
        <is>
          <t>Used up</t>
        </is>
      </c>
      <c r="G114" s="2" t="inlineStr">
        <is>
          <t>teaspoons</t>
        </is>
      </c>
      <c r="H114" s="2">
        <f>IF(OR($E114="Both plans",'Read me'!$C$9="A and B",AND($E114="Plan A (freezer)",'Read me'!$C$9="A"),AND($E114="Plan B (no freezer)",'Read me'!$C$9="B")),1,0)</f>
        <v/>
      </c>
      <c r="I114" s="2" t="n"/>
      <c r="J114" s="2" t="n"/>
      <c r="K114" s="2" t="n"/>
      <c r="L114" s="2" t="n"/>
      <c r="M114" s="2" t="n"/>
      <c r="N114" s="2" t="n"/>
      <c r="O114" s="2" t="n"/>
      <c r="P114" s="2" t="n"/>
      <c r="Q114" s="2" t="n"/>
      <c r="R114" s="2" t="n"/>
      <c r="S114" s="2" t="n"/>
      <c r="T114" s="2" t="n"/>
      <c r="U114" s="2" t="n"/>
      <c r="V114" s="2" t="n">
        <v>12</v>
      </c>
      <c r="W114" s="2" t="n"/>
      <c r="X114" s="2" t="n"/>
      <c r="Y114" s="2" t="n"/>
      <c r="Z114" s="2" t="n">
        <v>2</v>
      </c>
      <c r="AA114" s="2" t="n"/>
      <c r="AB114" s="2" t="n"/>
      <c r="AC114" s="2" t="n"/>
      <c r="AD114" s="2" t="n"/>
      <c r="AE114" s="2" t="n"/>
      <c r="AF114" s="2" t="n"/>
      <c r="AG114" s="2" t="n"/>
      <c r="AH114" s="2" t="n"/>
      <c r="AI114" s="2" t="n"/>
      <c r="AJ114" s="2" t="n"/>
      <c r="AK114" s="2" t="n"/>
      <c r="AL114" s="2" t="n"/>
      <c r="AM114" s="2">
        <f>N(I114)+N(S114)+N(AC114)</f>
        <v/>
      </c>
      <c r="AN114" s="2">
        <f>N(J114)+N(T114)+N(AD114)</f>
        <v/>
      </c>
      <c r="AO114" s="2">
        <f>N(K114)+N(U114)+N(AE114)</f>
        <v/>
      </c>
      <c r="AP114" s="2">
        <f>N(L114)+N(V114)+N(AF114)</f>
        <v/>
      </c>
      <c r="AQ114" s="2">
        <f>N(M114)+N(W114)+N(AG114)</f>
        <v/>
      </c>
      <c r="AR114" s="2">
        <f>N(N114)+N(X114)+N(AH114)</f>
        <v/>
      </c>
      <c r="AS114" s="2">
        <f>N(O114)+N(Y114)+N(AI114)</f>
        <v/>
      </c>
      <c r="AT114" s="2">
        <f>N(P114)+N(Z114)+N(AJ114)</f>
        <v/>
      </c>
      <c r="AU114" s="2">
        <f>N(Q114)+N(AA114)+N(AK114)</f>
        <v/>
      </c>
      <c r="AV114" s="2">
        <f>N(R114)+N(AB114)+N(AL114)</f>
        <v/>
      </c>
      <c r="AW114" s="2">
        <f>SUM(I114:R114)</f>
        <v/>
      </c>
      <c r="AX114" s="2">
        <f>SUM(S114:AB114)</f>
        <v/>
      </c>
      <c r="AY114" s="2">
        <f>SUM(AC114:AL114)</f>
        <v/>
      </c>
    </row>
    <row r="115">
      <c r="A115" s="2" t="inlineStr">
        <is>
          <t>flour_plain|both|g</t>
        </is>
      </c>
      <c r="B115" s="2" t="inlineStr">
        <is>
          <t>Plain flour (wheat)</t>
        </is>
      </c>
      <c r="C115" s="2" t="inlineStr">
        <is>
          <t>面粉（普通小麦粉）</t>
        </is>
      </c>
      <c r="D115" s="2" t="inlineStr">
        <is>
          <t>Canteen and kitchen</t>
        </is>
      </c>
      <c r="E115" s="2" t="inlineStr">
        <is>
          <t>Both plans</t>
        </is>
      </c>
      <c r="F115" s="2" t="inlineStr">
        <is>
          <t>Used up</t>
        </is>
      </c>
      <c r="G115" s="2" t="inlineStr">
        <is>
          <t>g</t>
        </is>
      </c>
      <c r="H115" s="2">
        <f>IF(OR($E115="Both plans",'Read me'!$C$9="A and B",AND($E115="Plan A (freezer)",'Read me'!$C$9="A"),AND($E115="Plan B (no freezer)",'Read me'!$C$9="B")),1,0)</f>
        <v/>
      </c>
      <c r="I115" s="2" t="n"/>
      <c r="J115" s="2" t="n"/>
      <c r="K115" s="2" t="n"/>
      <c r="L115" s="2" t="n"/>
      <c r="M115" s="2" t="n"/>
      <c r="N115" s="2" t="n"/>
      <c r="O115" s="2" t="n"/>
      <c r="P115" s="2" t="n"/>
      <c r="Q115" s="2" t="n"/>
      <c r="R115" s="2" t="n"/>
      <c r="S115" s="2" t="n"/>
      <c r="T115" s="2" t="n"/>
      <c r="U115" s="2" t="n"/>
      <c r="V115" s="2" t="n">
        <v>36</v>
      </c>
      <c r="W115" s="2" t="n"/>
      <c r="X115" s="2" t="n"/>
      <c r="Y115" s="2" t="n"/>
      <c r="Z115" s="2" t="n">
        <v>6</v>
      </c>
      <c r="AA115" s="2" t="n"/>
      <c r="AB115" s="2" t="n"/>
      <c r="AC115" s="2" t="n"/>
      <c r="AD115" s="2" t="n"/>
      <c r="AE115" s="2" t="n"/>
      <c r="AF115" s="2" t="n"/>
      <c r="AG115" s="2" t="n"/>
      <c r="AH115" s="2" t="n"/>
      <c r="AI115" s="2" t="n"/>
      <c r="AJ115" s="2" t="n"/>
      <c r="AK115" s="2" t="n"/>
      <c r="AL115" s="2" t="n"/>
      <c r="AM115" s="2">
        <f>N(I115)+N(S115)+N(AC115)</f>
        <v/>
      </c>
      <c r="AN115" s="2">
        <f>N(J115)+N(T115)+N(AD115)</f>
        <v/>
      </c>
      <c r="AO115" s="2">
        <f>N(K115)+N(U115)+N(AE115)</f>
        <v/>
      </c>
      <c r="AP115" s="2">
        <f>N(L115)+N(V115)+N(AF115)</f>
        <v/>
      </c>
      <c r="AQ115" s="2">
        <f>N(M115)+N(W115)+N(AG115)</f>
        <v/>
      </c>
      <c r="AR115" s="2">
        <f>N(N115)+N(X115)+N(AH115)</f>
        <v/>
      </c>
      <c r="AS115" s="2">
        <f>N(O115)+N(Y115)+N(AI115)</f>
        <v/>
      </c>
      <c r="AT115" s="2">
        <f>N(P115)+N(Z115)+N(AJ115)</f>
        <v/>
      </c>
      <c r="AU115" s="2">
        <f>N(Q115)+N(AA115)+N(AK115)</f>
        <v/>
      </c>
      <c r="AV115" s="2">
        <f>N(R115)+N(AB115)+N(AL115)</f>
        <v/>
      </c>
      <c r="AW115" s="2">
        <f>SUM(I115:R115)</f>
        <v/>
      </c>
      <c r="AX115" s="2">
        <f>SUM(S115:AB115)</f>
        <v/>
      </c>
      <c r="AY115" s="2">
        <f>SUM(AC115:AL115)</f>
        <v/>
      </c>
    </row>
    <row r="116">
      <c r="A116" s="2" t="inlineStr">
        <is>
          <t>salt_table|both|g</t>
        </is>
      </c>
      <c r="B116" s="2" t="inlineStr">
        <is>
          <t>Salt, table salt</t>
        </is>
      </c>
      <c r="C116" s="2" t="inlineStr">
        <is>
          <t>食盐</t>
        </is>
      </c>
      <c r="D116" s="2" t="inlineStr">
        <is>
          <t>Canteen and kitchen</t>
        </is>
      </c>
      <c r="E116" s="2" t="inlineStr">
        <is>
          <t>Both plans</t>
        </is>
      </c>
      <c r="F116" s="2" t="inlineStr">
        <is>
          <t>Used up</t>
        </is>
      </c>
      <c r="G116" s="2" t="inlineStr">
        <is>
          <t>g</t>
        </is>
      </c>
      <c r="H116" s="2">
        <f>IF(OR($E116="Both plans",'Read me'!$C$9="A and B",AND($E116="Plan A (freezer)",'Read me'!$C$9="A"),AND($E116="Plan B (no freezer)",'Read me'!$C$9="B")),1,0)</f>
        <v/>
      </c>
      <c r="I116" s="2" t="n"/>
      <c r="J116" s="2" t="n"/>
      <c r="K116" s="2" t="n"/>
      <c r="L116" s="2" t="n"/>
      <c r="M116" s="2" t="n"/>
      <c r="N116" s="2" t="n"/>
      <c r="O116" s="2" t="n"/>
      <c r="P116" s="2" t="n"/>
      <c r="Q116" s="2" t="n"/>
      <c r="R116" s="2" t="n"/>
      <c r="S116" s="2" t="n"/>
      <c r="T116" s="2" t="n"/>
      <c r="U116" s="2" t="n"/>
      <c r="V116" s="2" t="n">
        <v>72</v>
      </c>
      <c r="W116" s="2" t="n"/>
      <c r="X116" s="2" t="n"/>
      <c r="Y116" s="2" t="n"/>
      <c r="Z116" s="2" t="n">
        <v>42</v>
      </c>
      <c r="AA116" s="2" t="n"/>
      <c r="AB116" s="2" t="n"/>
      <c r="AC116" s="2" t="n"/>
      <c r="AD116" s="2" t="n"/>
      <c r="AE116" s="2" t="n"/>
      <c r="AF116" s="2" t="n"/>
      <c r="AG116" s="2" t="n"/>
      <c r="AH116" s="2" t="n"/>
      <c r="AI116" s="2" t="n"/>
      <c r="AJ116" s="2" t="n"/>
      <c r="AK116" s="2" t="n"/>
      <c r="AL116" s="2" t="n"/>
      <c r="AM116" s="2">
        <f>N(I116)+N(S116)+N(AC116)</f>
        <v/>
      </c>
      <c r="AN116" s="2">
        <f>N(J116)+N(T116)+N(AD116)</f>
        <v/>
      </c>
      <c r="AO116" s="2">
        <f>N(K116)+N(U116)+N(AE116)</f>
        <v/>
      </c>
      <c r="AP116" s="2">
        <f>N(L116)+N(V116)+N(AF116)</f>
        <v/>
      </c>
      <c r="AQ116" s="2">
        <f>N(M116)+N(W116)+N(AG116)</f>
        <v/>
      </c>
      <c r="AR116" s="2">
        <f>N(N116)+N(X116)+N(AH116)</f>
        <v/>
      </c>
      <c r="AS116" s="2">
        <f>N(O116)+N(Y116)+N(AI116)</f>
        <v/>
      </c>
      <c r="AT116" s="2">
        <f>N(P116)+N(Z116)+N(AJ116)</f>
        <v/>
      </c>
      <c r="AU116" s="2">
        <f>N(Q116)+N(AA116)+N(AK116)</f>
        <v/>
      </c>
      <c r="AV116" s="2">
        <f>N(R116)+N(AB116)+N(AL116)</f>
        <v/>
      </c>
      <c r="AW116" s="2">
        <f>SUM(I116:R116)</f>
        <v/>
      </c>
      <c r="AX116" s="2">
        <f>SUM(S116:AB116)</f>
        <v/>
      </c>
      <c r="AY116" s="2">
        <f>SUM(AC116:AL116)</f>
        <v/>
      </c>
    </row>
    <row r="117">
      <c r="A117" s="2" t="inlineStr">
        <is>
          <t>sugar_white|both|teaspoons</t>
        </is>
      </c>
      <c r="B117" s="2" t="inlineStr">
        <is>
          <t>Sugar, white</t>
        </is>
      </c>
      <c r="C117" s="2" t="inlineStr">
        <is>
          <t>白糖</t>
        </is>
      </c>
      <c r="D117" s="2" t="inlineStr">
        <is>
          <t>Canteen and kitchen</t>
        </is>
      </c>
      <c r="E117" s="2" t="inlineStr">
        <is>
          <t>Both plans</t>
        </is>
      </c>
      <c r="F117" s="2" t="inlineStr">
        <is>
          <t>Used up</t>
        </is>
      </c>
      <c r="G117" s="2" t="inlineStr">
        <is>
          <t>teaspoons</t>
        </is>
      </c>
      <c r="H117" s="2">
        <f>IF(OR($E117="Both plans",'Read me'!$C$9="A and B",AND($E117="Plan A (freezer)",'Read me'!$C$9="A"),AND($E117="Plan B (no freezer)",'Read me'!$C$9="B")),1,0)</f>
        <v/>
      </c>
      <c r="I117" s="2" t="n"/>
      <c r="J117" s="2" t="n"/>
      <c r="K117" s="2" t="n"/>
      <c r="L117" s="2" t="n"/>
      <c r="M117" s="2" t="n"/>
      <c r="N117" s="2" t="n"/>
      <c r="O117" s="2" t="n"/>
      <c r="P117" s="2" t="n"/>
      <c r="Q117" s="2" t="n"/>
      <c r="R117" s="2" t="n"/>
      <c r="S117" s="2" t="n"/>
      <c r="T117" s="2" t="n"/>
      <c r="U117" s="2" t="n"/>
      <c r="V117" s="2" t="n">
        <v>12</v>
      </c>
      <c r="W117" s="2" t="n"/>
      <c r="X117" s="2" t="n"/>
      <c r="Y117" s="2" t="n"/>
      <c r="Z117" s="2" t="n"/>
      <c r="AA117" s="2" t="n"/>
      <c r="AB117" s="2" t="n"/>
      <c r="AC117" s="2" t="n"/>
      <c r="AD117" s="2" t="n"/>
      <c r="AE117" s="2" t="n"/>
      <c r="AF117" s="2" t="n"/>
      <c r="AG117" s="2" t="n"/>
      <c r="AH117" s="2" t="n"/>
      <c r="AI117" s="2" t="n"/>
      <c r="AJ117" s="2" t="n"/>
      <c r="AK117" s="2" t="n"/>
      <c r="AL117" s="2" t="n"/>
      <c r="AM117" s="2">
        <f>N(I117)+N(S117)+N(AC117)</f>
        <v/>
      </c>
      <c r="AN117" s="2">
        <f>N(J117)+N(T117)+N(AD117)</f>
        <v/>
      </c>
      <c r="AO117" s="2">
        <f>N(K117)+N(U117)+N(AE117)</f>
        <v/>
      </c>
      <c r="AP117" s="2">
        <f>N(L117)+N(V117)+N(AF117)</f>
        <v/>
      </c>
      <c r="AQ117" s="2">
        <f>N(M117)+N(W117)+N(AG117)</f>
        <v/>
      </c>
      <c r="AR117" s="2">
        <f>N(N117)+N(X117)+N(AH117)</f>
        <v/>
      </c>
      <c r="AS117" s="2">
        <f>N(O117)+N(Y117)+N(AI117)</f>
        <v/>
      </c>
      <c r="AT117" s="2">
        <f>N(P117)+N(Z117)+N(AJ117)</f>
        <v/>
      </c>
      <c r="AU117" s="2">
        <f>N(Q117)+N(AA117)+N(AK117)</f>
        <v/>
      </c>
      <c r="AV117" s="2">
        <f>N(R117)+N(AB117)+N(AL117)</f>
        <v/>
      </c>
      <c r="AW117" s="2">
        <f>SUM(I117:R117)</f>
        <v/>
      </c>
      <c r="AX117" s="2">
        <f>SUM(S117:AB117)</f>
        <v/>
      </c>
      <c r="AY117" s="2">
        <f>SUM(AC117:AL117)</f>
        <v/>
      </c>
    </row>
    <row r="118">
      <c r="A118" s="2" t="inlineStr">
        <is>
          <t>teaspoons_metal|both|teaspoons</t>
        </is>
      </c>
      <c r="B118" s="2" t="inlineStr">
        <is>
          <t>Teaspoons, metal</t>
        </is>
      </c>
      <c r="C118" s="2" t="inlineStr">
        <is>
          <t>茶匙（不锈钢）</t>
        </is>
      </c>
      <c r="D118" s="2" t="inlineStr">
        <is>
          <t>Canteen and kitchen</t>
        </is>
      </c>
      <c r="E118" s="2" t="inlineStr">
        <is>
          <t>Both plans</t>
        </is>
      </c>
      <c r="F118" s="2" t="inlineStr">
        <is>
          <t>Reusable</t>
        </is>
      </c>
      <c r="G118" s="2" t="inlineStr">
        <is>
          <t>teaspoons</t>
        </is>
      </c>
      <c r="H118" s="2">
        <f>IF(OR($E118="Both plans",'Read me'!$C$9="A and B",AND($E118="Plan A (freezer)",'Read me'!$C$9="A"),AND($E118="Plan B (no freezer)",'Read me'!$C$9="B")),1,0)</f>
        <v/>
      </c>
      <c r="I118" s="2" t="n"/>
      <c r="J118" s="2" t="n"/>
      <c r="K118" s="2" t="n"/>
      <c r="L118" s="2" t="n"/>
      <c r="M118" s="2" t="n"/>
      <c r="N118" s="2" t="n"/>
      <c r="O118" s="2" t="n">
        <v>18</v>
      </c>
      <c r="P118" s="2" t="n"/>
      <c r="Q118" s="2" t="n"/>
      <c r="R118" s="2" t="n"/>
      <c r="S118" s="2" t="n"/>
      <c r="T118" s="2" t="n"/>
      <c r="U118" s="2" t="n"/>
      <c r="V118" s="2" t="n">
        <v>1</v>
      </c>
      <c r="W118" s="2" t="n"/>
      <c r="X118" s="2" t="n"/>
      <c r="Y118" s="2" t="n"/>
      <c r="Z118" s="2" t="n">
        <v>3</v>
      </c>
      <c r="AA118" s="2" t="n"/>
      <c r="AB118" s="2" t="n"/>
      <c r="AC118" s="2" t="n"/>
      <c r="AD118" s="2" t="n"/>
      <c r="AE118" s="2" t="n"/>
      <c r="AF118" s="2" t="n"/>
      <c r="AG118" s="2" t="n"/>
      <c r="AH118" s="2" t="n">
        <v>1</v>
      </c>
      <c r="AI118" s="2" t="n"/>
      <c r="AJ118" s="2" t="n">
        <v>4</v>
      </c>
      <c r="AK118" s="2" t="n"/>
      <c r="AL118" s="2" t="n"/>
      <c r="AM118" s="2">
        <f>N(I118)+N(S118)+N(AC118)</f>
        <v/>
      </c>
      <c r="AN118" s="2">
        <f>N(J118)+N(T118)+N(AD118)</f>
        <v/>
      </c>
      <c r="AO118" s="2">
        <f>N(K118)+N(U118)+N(AE118)</f>
        <v/>
      </c>
      <c r="AP118" s="2">
        <f>N(L118)+N(V118)+N(AF118)</f>
        <v/>
      </c>
      <c r="AQ118" s="2">
        <f>N(M118)+N(W118)+N(AG118)</f>
        <v/>
      </c>
      <c r="AR118" s="2">
        <f>N(N118)+N(X118)+N(AH118)</f>
        <v/>
      </c>
      <c r="AS118" s="2">
        <f>N(O118)+N(Y118)+N(AI118)</f>
        <v/>
      </c>
      <c r="AT118" s="2">
        <f>N(P118)+N(Z118)+N(AJ118)</f>
        <v/>
      </c>
      <c r="AU118" s="2">
        <f>N(Q118)+N(AA118)+N(AK118)</f>
        <v/>
      </c>
      <c r="AV118" s="2">
        <f>N(R118)+N(AB118)+N(AL118)</f>
        <v/>
      </c>
      <c r="AW118" s="2">
        <f>SUM(I118:R118)</f>
        <v/>
      </c>
      <c r="AX118" s="2">
        <f>SUM(S118:AB118)</f>
        <v/>
      </c>
      <c r="AY118" s="2">
        <f>SUM(AC118:AL118)</f>
        <v/>
      </c>
    </row>
    <row r="119">
      <c r="A119" s="2" t="inlineStr">
        <is>
          <t>vinegar_white|both|ml</t>
        </is>
      </c>
      <c r="B119" s="2" t="inlineStr">
        <is>
          <t>White vinegar</t>
        </is>
      </c>
      <c r="C119" s="2" t="inlineStr">
        <is>
          <t>白醋</t>
        </is>
      </c>
      <c r="D119" s="2" t="inlineStr">
        <is>
          <t>Canteen and kitchen</t>
        </is>
      </c>
      <c r="E119" s="2" t="inlineStr">
        <is>
          <t>Both plans</t>
        </is>
      </c>
      <c r="F119" s="2" t="inlineStr">
        <is>
          <t>Used up</t>
        </is>
      </c>
      <c r="G119" s="2" t="inlineStr">
        <is>
          <t>ml</t>
        </is>
      </c>
      <c r="H119" s="2">
        <f>IF(OR($E119="Both plans",'Read me'!$C$9="A and B",AND($E119="Plan A (freezer)",'Read me'!$C$9="A"),AND($E119="Plan B (no freezer)",'Read me'!$C$9="B")),1,0)</f>
        <v/>
      </c>
      <c r="I119" s="2" t="n"/>
      <c r="J119" s="2" t="n"/>
      <c r="K119" s="2" t="n"/>
      <c r="L119" s="2" t="n"/>
      <c r="M119" s="2" t="n"/>
      <c r="N119" s="2" t="n"/>
      <c r="O119" s="2" t="n"/>
      <c r="P119" s="2" t="n"/>
      <c r="Q119" s="2" t="n"/>
      <c r="R119" s="2" t="n"/>
      <c r="S119" s="2" t="n"/>
      <c r="T119" s="2" t="n"/>
      <c r="U119" s="2" t="n"/>
      <c r="V119" s="2" t="n">
        <v>180</v>
      </c>
      <c r="W119" s="2" t="n">
        <v>70</v>
      </c>
      <c r="X119" s="2" t="n"/>
      <c r="Y119" s="2" t="n"/>
      <c r="Z119" s="2" t="n">
        <v>180</v>
      </c>
      <c r="AA119" s="2" t="n"/>
      <c r="AB119" s="2" t="n"/>
      <c r="AC119" s="2" t="n"/>
      <c r="AD119" s="2" t="n"/>
      <c r="AE119" s="2" t="n"/>
      <c r="AF119" s="2" t="n"/>
      <c r="AG119" s="2" t="n"/>
      <c r="AH119" s="2" t="n"/>
      <c r="AI119" s="2" t="n"/>
      <c r="AJ119" s="2" t="n"/>
      <c r="AK119" s="2" t="n"/>
      <c r="AL119" s="2" t="n"/>
      <c r="AM119" s="2">
        <f>N(I119)+N(S119)+N(AC119)</f>
        <v/>
      </c>
      <c r="AN119" s="2">
        <f>N(J119)+N(T119)+N(AD119)</f>
        <v/>
      </c>
      <c r="AO119" s="2">
        <f>N(K119)+N(U119)+N(AE119)</f>
        <v/>
      </c>
      <c r="AP119" s="2">
        <f>N(L119)+N(V119)+N(AF119)</f>
        <v/>
      </c>
      <c r="AQ119" s="2">
        <f>N(M119)+N(W119)+N(AG119)</f>
        <v/>
      </c>
      <c r="AR119" s="2">
        <f>N(N119)+N(X119)+N(AH119)</f>
        <v/>
      </c>
      <c r="AS119" s="2">
        <f>N(O119)+N(Y119)+N(AI119)</f>
        <v/>
      </c>
      <c r="AT119" s="2">
        <f>N(P119)+N(Z119)+N(AJ119)</f>
        <v/>
      </c>
      <c r="AU119" s="2">
        <f>N(Q119)+N(AA119)+N(AK119)</f>
        <v/>
      </c>
      <c r="AV119" s="2">
        <f>N(R119)+N(AB119)+N(AL119)</f>
        <v/>
      </c>
      <c r="AW119" s="2">
        <f>SUM(I119:R119)</f>
        <v/>
      </c>
      <c r="AX119" s="2">
        <f>SUM(S119:AB119)</f>
        <v/>
      </c>
      <c r="AY119" s="2">
        <f>SUM(AC119:AL119)</f>
        <v/>
      </c>
    </row>
    <row r="120">
      <c r="A120" s="2" t="inlineStr">
        <is>
          <t>kettle|both|kettles</t>
        </is>
      </c>
      <c r="B120" s="2" t="inlineStr">
        <is>
          <t>Electric kettle</t>
        </is>
      </c>
      <c r="C120" s="2" t="inlineStr">
        <is>
          <t>电水壶</t>
        </is>
      </c>
      <c r="D120" s="2" t="inlineStr">
        <is>
          <t>Canteen and kitchen</t>
        </is>
      </c>
      <c r="E120" s="2" t="inlineStr">
        <is>
          <t>Both plans</t>
        </is>
      </c>
      <c r="F120" s="2" t="inlineStr">
        <is>
          <t>Reusable</t>
        </is>
      </c>
      <c r="G120" s="2" t="inlineStr">
        <is>
          <t>kettles</t>
        </is>
      </c>
      <c r="H120" s="2">
        <f>IF(OR($E120="Both plans",'Read me'!$C$9="A and B",AND($E120="Plan A (freezer)",'Read me'!$C$9="A"),AND($E120="Plan B (no freezer)",'Read me'!$C$9="B")),1,0)</f>
        <v/>
      </c>
      <c r="I120" s="2" t="n"/>
      <c r="J120" s="2" t="n"/>
      <c r="K120" s="2" t="n"/>
      <c r="L120" s="2" t="n"/>
      <c r="M120" s="2" t="n"/>
      <c r="N120" s="2" t="n"/>
      <c r="O120" s="2" t="n"/>
      <c r="P120" s="2" t="n"/>
      <c r="Q120" s="2" t="n"/>
      <c r="R120" s="2" t="n"/>
      <c r="S120" s="2" t="n"/>
      <c r="T120" s="2" t="n"/>
      <c r="U120" s="2" t="n"/>
      <c r="V120" s="2" t="n"/>
      <c r="W120" s="2" t="n">
        <v>1</v>
      </c>
      <c r="X120" s="2" t="n"/>
      <c r="Y120" s="2" t="n"/>
      <c r="Z120" s="2" t="n"/>
      <c r="AA120" s="2" t="n"/>
      <c r="AB120" s="2" t="n"/>
      <c r="AC120" s="2" t="n"/>
      <c r="AD120" s="2" t="n"/>
      <c r="AE120" s="2" t="n"/>
      <c r="AF120" s="2" t="n"/>
      <c r="AG120" s="2" t="n"/>
      <c r="AH120" s="2" t="n">
        <v>1</v>
      </c>
      <c r="AI120" s="2" t="n"/>
      <c r="AJ120" s="2" t="n">
        <v>1</v>
      </c>
      <c r="AK120" s="2" t="n"/>
      <c r="AL120" s="2" t="n"/>
      <c r="AM120" s="2">
        <f>N(I120)+N(S120)+N(AC120)</f>
        <v/>
      </c>
      <c r="AN120" s="2">
        <f>N(J120)+N(T120)+N(AD120)</f>
        <v/>
      </c>
      <c r="AO120" s="2">
        <f>N(K120)+N(U120)+N(AE120)</f>
        <v/>
      </c>
      <c r="AP120" s="2">
        <f>N(L120)+N(V120)+N(AF120)</f>
        <v/>
      </c>
      <c r="AQ120" s="2">
        <f>N(M120)+N(W120)+N(AG120)</f>
        <v/>
      </c>
      <c r="AR120" s="2">
        <f>N(N120)+N(X120)+N(AH120)</f>
        <v/>
      </c>
      <c r="AS120" s="2">
        <f>N(O120)+N(Y120)+N(AI120)</f>
        <v/>
      </c>
      <c r="AT120" s="2">
        <f>N(P120)+N(Z120)+N(AJ120)</f>
        <v/>
      </c>
      <c r="AU120" s="2">
        <f>N(Q120)+N(AA120)+N(AK120)</f>
        <v/>
      </c>
      <c r="AV120" s="2">
        <f>N(R120)+N(AB120)+N(AL120)</f>
        <v/>
      </c>
      <c r="AW120" s="2">
        <f>SUM(I120:R120)</f>
        <v/>
      </c>
      <c r="AX120" s="2">
        <f>SUM(S120:AB120)</f>
        <v/>
      </c>
      <c r="AY120" s="2">
        <f>SUM(AC120:AL120)</f>
        <v/>
      </c>
    </row>
    <row r="121">
      <c r="A121" s="2" t="inlineStr">
        <is>
          <t>freezer_space|A|drawer</t>
        </is>
      </c>
      <c r="B121" s="2" t="inlineStr">
        <is>
          <t>Freezer space</t>
        </is>
      </c>
      <c r="C121" s="2" t="inlineStr">
        <is>
          <t>冰柜空间</t>
        </is>
      </c>
      <c r="D121" s="2" t="inlineStr">
        <is>
          <t>Canteen and kitchen</t>
        </is>
      </c>
      <c r="E121" s="2" t="inlineStr">
        <is>
          <t>Plan A (freezer)</t>
        </is>
      </c>
      <c r="F121" s="2" t="inlineStr">
        <is>
          <t>Reusable</t>
        </is>
      </c>
      <c r="G121" s="2" t="inlineStr">
        <is>
          <t>drawer</t>
        </is>
      </c>
      <c r="H121" s="2">
        <f>IF(OR($E121="Both plans",'Read me'!$C$9="A and B",AND($E121="Plan A (freezer)",'Read me'!$C$9="A"),AND($E121="Plan B (no freezer)",'Read me'!$C$9="B")),1,0)</f>
        <v/>
      </c>
      <c r="I121" s="2" t="n"/>
      <c r="J121" s="2" t="n"/>
      <c r="K121" s="2" t="n"/>
      <c r="L121" s="2" t="n"/>
      <c r="M121" s="2" t="n">
        <v>1</v>
      </c>
      <c r="N121" s="2" t="n">
        <v>1</v>
      </c>
      <c r="O121" s="2" t="n">
        <v>1</v>
      </c>
      <c r="P121" s="2" t="n">
        <v>1</v>
      </c>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f>N(I121)+N(S121)+N(AC121)</f>
        <v/>
      </c>
      <c r="AN121" s="2">
        <f>N(J121)+N(T121)+N(AD121)</f>
        <v/>
      </c>
      <c r="AO121" s="2">
        <f>N(K121)+N(U121)+N(AE121)</f>
        <v/>
      </c>
      <c r="AP121" s="2">
        <f>N(L121)+N(V121)+N(AF121)</f>
        <v/>
      </c>
      <c r="AQ121" s="2">
        <f>N(M121)+N(W121)+N(AG121)</f>
        <v/>
      </c>
      <c r="AR121" s="2">
        <f>N(N121)+N(X121)+N(AH121)</f>
        <v/>
      </c>
      <c r="AS121" s="2">
        <f>N(O121)+N(Y121)+N(AI121)</f>
        <v/>
      </c>
      <c r="AT121" s="2">
        <f>N(P121)+N(Z121)+N(AJ121)</f>
        <v/>
      </c>
      <c r="AU121" s="2">
        <f>N(Q121)+N(AA121)+N(AK121)</f>
        <v/>
      </c>
      <c r="AV121" s="2">
        <f>N(R121)+N(AB121)+N(AL121)</f>
        <v/>
      </c>
      <c r="AW121" s="2">
        <f>SUM(I121:R121)</f>
        <v/>
      </c>
      <c r="AX121" s="2">
        <f>SUM(S121:AB121)</f>
        <v/>
      </c>
      <c r="AY121" s="2">
        <f>SUM(AC121:AL121)</f>
        <v/>
      </c>
    </row>
    <row r="122">
      <c r="A122" s="2" t="inlineStr">
        <is>
          <t>fridge_space|both|shelf space</t>
        </is>
      </c>
      <c r="B122" s="2" t="inlineStr">
        <is>
          <t>Fridge space</t>
        </is>
      </c>
      <c r="C122" s="2" t="inlineStr">
        <is>
          <t>冰箱冷藏空间</t>
        </is>
      </c>
      <c r="D122" s="2" t="inlineStr">
        <is>
          <t>Canteen and kitchen</t>
        </is>
      </c>
      <c r="E122" s="2" t="inlineStr">
        <is>
          <t>Both plans</t>
        </is>
      </c>
      <c r="F122" s="2" t="inlineStr">
        <is>
          <t>Reusable</t>
        </is>
      </c>
      <c r="G122" s="2" t="inlineStr">
        <is>
          <t>shelf space</t>
        </is>
      </c>
      <c r="H122" s="2">
        <f>IF(OR($E122="Both plans",'Read me'!$C$9="A and B",AND($E122="Plan A (freezer)",'Read me'!$C$9="A"),AND($E122="Plan B (no freezer)",'Read me'!$C$9="B")),1,0)</f>
        <v/>
      </c>
      <c r="I122" s="2" t="n"/>
      <c r="J122" s="2" t="n"/>
      <c r="K122" s="2" t="n"/>
      <c r="L122" s="2" t="n"/>
      <c r="M122" s="2" t="n"/>
      <c r="N122" s="2" t="n"/>
      <c r="O122" s="2" t="n"/>
      <c r="P122" s="2" t="n"/>
      <c r="Q122" s="2" t="n"/>
      <c r="R122" s="2" t="n"/>
      <c r="S122" s="2" t="n"/>
      <c r="T122" s="2" t="n"/>
      <c r="U122" s="2" t="n"/>
      <c r="V122" s="2" t="n"/>
      <c r="W122" s="2" t="n">
        <v>1</v>
      </c>
      <c r="X122" s="2" t="n"/>
      <c r="Y122" s="2" t="n"/>
      <c r="Z122" s="2" t="n"/>
      <c r="AA122" s="2" t="n"/>
      <c r="AB122" s="2" t="n"/>
      <c r="AC122" s="2" t="n"/>
      <c r="AD122" s="2" t="n"/>
      <c r="AE122" s="2" t="n"/>
      <c r="AF122" s="2" t="n"/>
      <c r="AG122" s="2" t="n"/>
      <c r="AH122" s="2" t="n"/>
      <c r="AI122" s="2" t="n"/>
      <c r="AJ122" s="2" t="n"/>
      <c r="AK122" s="2" t="n"/>
      <c r="AL122" s="2" t="n"/>
      <c r="AM122" s="2">
        <f>N(I122)+N(S122)+N(AC122)</f>
        <v/>
      </c>
      <c r="AN122" s="2">
        <f>N(J122)+N(T122)+N(AD122)</f>
        <v/>
      </c>
      <c r="AO122" s="2">
        <f>N(K122)+N(U122)+N(AE122)</f>
        <v/>
      </c>
      <c r="AP122" s="2">
        <f>N(L122)+N(V122)+N(AF122)</f>
        <v/>
      </c>
      <c r="AQ122" s="2">
        <f>N(M122)+N(W122)+N(AG122)</f>
        <v/>
      </c>
      <c r="AR122" s="2">
        <f>N(N122)+N(X122)+N(AH122)</f>
        <v/>
      </c>
      <c r="AS122" s="2">
        <f>N(O122)+N(Y122)+N(AI122)</f>
        <v/>
      </c>
      <c r="AT122" s="2">
        <f>N(P122)+N(Z122)+N(AJ122)</f>
        <v/>
      </c>
      <c r="AU122" s="2">
        <f>N(Q122)+N(AA122)+N(AK122)</f>
        <v/>
      </c>
      <c r="AV122" s="2">
        <f>N(R122)+N(AB122)+N(AL122)</f>
        <v/>
      </c>
      <c r="AW122" s="2">
        <f>SUM(I122:R122)</f>
        <v/>
      </c>
      <c r="AX122" s="2">
        <f>SUM(S122:AB122)</f>
        <v/>
      </c>
      <c r="AY122" s="2">
        <f>SUM(AC122:AL122)</f>
        <v/>
      </c>
    </row>
    <row r="123">
      <c r="A123" s="2" t="inlineStr">
        <is>
          <t>jug_heatproof_500ml|both|jugs</t>
        </is>
      </c>
      <c r="B123" s="2" t="inlineStr">
        <is>
          <t>Heatproof jug, at least 500 ml</t>
        </is>
      </c>
      <c r="C123" s="2" t="inlineStr">
        <is>
          <t>耐热水壶（500毫升以上，可装开水）</t>
        </is>
      </c>
      <c r="D123" s="2" t="inlineStr">
        <is>
          <t>Canteen and kitchen</t>
        </is>
      </c>
      <c r="E123" s="2" t="inlineStr">
        <is>
          <t>Both plans</t>
        </is>
      </c>
      <c r="F123" s="2" t="inlineStr">
        <is>
          <t>Reusable</t>
        </is>
      </c>
      <c r="G123" s="2" t="inlineStr">
        <is>
          <t>jugs</t>
        </is>
      </c>
      <c r="H123" s="2">
        <f>IF(OR($E123="Both plans",'Read me'!$C$9="A and B",AND($E123="Plan A (freezer)",'Read me'!$C$9="A"),AND($E123="Plan B (no freezer)",'Read me'!$C$9="B")),1,0)</f>
        <v/>
      </c>
      <c r="I123" s="2" t="n"/>
      <c r="J123" s="2" t="n"/>
      <c r="K123" s="2" t="n"/>
      <c r="L123" s="2" t="n"/>
      <c r="M123" s="2" t="n"/>
      <c r="N123" s="2" t="n"/>
      <c r="O123" s="2" t="n"/>
      <c r="P123" s="2" t="n"/>
      <c r="Q123" s="2" t="n"/>
      <c r="R123" s="2" t="n"/>
      <c r="S123" s="2" t="n"/>
      <c r="T123" s="2" t="n"/>
      <c r="U123" s="2" t="n"/>
      <c r="V123" s="2" t="n"/>
      <c r="W123" s="2" t="n">
        <v>1</v>
      </c>
      <c r="X123" s="2" t="n"/>
      <c r="Y123" s="2" t="n"/>
      <c r="Z123" s="2" t="n"/>
      <c r="AA123" s="2" t="n"/>
      <c r="AB123" s="2" t="n"/>
      <c r="AC123" s="2" t="n"/>
      <c r="AD123" s="2" t="n"/>
      <c r="AE123" s="2" t="n"/>
      <c r="AF123" s="2" t="n"/>
      <c r="AG123" s="2" t="n"/>
      <c r="AH123" s="2" t="n"/>
      <c r="AI123" s="2" t="n"/>
      <c r="AJ123" s="2" t="n"/>
      <c r="AK123" s="2" t="n"/>
      <c r="AL123" s="2" t="n"/>
      <c r="AM123" s="2">
        <f>N(I123)+N(S123)+N(AC123)</f>
        <v/>
      </c>
      <c r="AN123" s="2">
        <f>N(J123)+N(T123)+N(AD123)</f>
        <v/>
      </c>
      <c r="AO123" s="2">
        <f>N(K123)+N(U123)+N(AE123)</f>
        <v/>
      </c>
      <c r="AP123" s="2">
        <f>N(L123)+N(V123)+N(AF123)</f>
        <v/>
      </c>
      <c r="AQ123" s="2">
        <f>N(M123)+N(W123)+N(AG123)</f>
        <v/>
      </c>
      <c r="AR123" s="2">
        <f>N(N123)+N(X123)+N(AH123)</f>
        <v/>
      </c>
      <c r="AS123" s="2">
        <f>N(O123)+N(Y123)+N(AI123)</f>
        <v/>
      </c>
      <c r="AT123" s="2">
        <f>N(P123)+N(Z123)+N(AJ123)</f>
        <v/>
      </c>
      <c r="AU123" s="2">
        <f>N(Q123)+N(AA123)+N(AK123)</f>
        <v/>
      </c>
      <c r="AV123" s="2">
        <f>N(R123)+N(AB123)+N(AL123)</f>
        <v/>
      </c>
      <c r="AW123" s="2">
        <f>SUM(I123:R123)</f>
        <v/>
      </c>
      <c r="AX123" s="2">
        <f>SUM(S123:AB123)</f>
        <v/>
      </c>
      <c r="AY123" s="2">
        <f>SUM(AC123:AL123)</f>
        <v/>
      </c>
    </row>
    <row r="124">
      <c r="A124" s="2" t="inlineStr">
        <is>
          <t>lemon_juice|both|ml</t>
        </is>
      </c>
      <c r="B124" s="2" t="inlineStr">
        <is>
          <t>Lemon juice</t>
        </is>
      </c>
      <c r="C124" s="2" t="inlineStr">
        <is>
          <t>柠檬汁</t>
        </is>
      </c>
      <c r="D124" s="2" t="inlineStr">
        <is>
          <t>Canteen and kitchen</t>
        </is>
      </c>
      <c r="E124" s="2" t="inlineStr">
        <is>
          <t>Both plans</t>
        </is>
      </c>
      <c r="F124" s="2" t="inlineStr">
        <is>
          <t>Used up</t>
        </is>
      </c>
      <c r="G124" s="2" t="inlineStr">
        <is>
          <t>ml</t>
        </is>
      </c>
      <c r="H124" s="2">
        <f>IF(OR($E124="Both plans",'Read me'!$C$9="A and B",AND($E124="Plan A (freezer)",'Read me'!$C$9="A"),AND($E124="Plan B (no freezer)",'Read me'!$C$9="B")),1,0)</f>
        <v/>
      </c>
      <c r="I124" s="2" t="n"/>
      <c r="J124" s="2" t="n"/>
      <c r="K124" s="2" t="n"/>
      <c r="L124" s="2" t="n"/>
      <c r="M124" s="2" t="n"/>
      <c r="N124" s="2" t="n"/>
      <c r="O124" s="2" t="n"/>
      <c r="P124" s="2" t="n"/>
      <c r="Q124" s="2" t="n"/>
      <c r="R124" s="2" t="n"/>
      <c r="S124" s="2" t="n"/>
      <c r="T124" s="2" t="n"/>
      <c r="U124" s="2" t="n"/>
      <c r="V124" s="2" t="n"/>
      <c r="W124" s="2" t="n">
        <v>60</v>
      </c>
      <c r="X124" s="2" t="n"/>
      <c r="Y124" s="2" t="n"/>
      <c r="Z124" s="2" t="n"/>
      <c r="AA124" s="2" t="n"/>
      <c r="AB124" s="2" t="n"/>
      <c r="AC124" s="2" t="n"/>
      <c r="AD124" s="2" t="n"/>
      <c r="AE124" s="2" t="n"/>
      <c r="AF124" s="2" t="n"/>
      <c r="AG124" s="2" t="n"/>
      <c r="AH124" s="2" t="n"/>
      <c r="AI124" s="2" t="n"/>
      <c r="AJ124" s="2" t="n"/>
      <c r="AK124" s="2" t="n"/>
      <c r="AL124" s="2" t="n"/>
      <c r="AM124" s="2">
        <f>N(I124)+N(S124)+N(AC124)</f>
        <v/>
      </c>
      <c r="AN124" s="2">
        <f>N(J124)+N(T124)+N(AD124)</f>
        <v/>
      </c>
      <c r="AO124" s="2">
        <f>N(K124)+N(U124)+N(AE124)</f>
        <v/>
      </c>
      <c r="AP124" s="2">
        <f>N(L124)+N(V124)+N(AF124)</f>
        <v/>
      </c>
      <c r="AQ124" s="2">
        <f>N(M124)+N(W124)+N(AG124)</f>
        <v/>
      </c>
      <c r="AR124" s="2">
        <f>N(N124)+N(X124)+N(AH124)</f>
        <v/>
      </c>
      <c r="AS124" s="2">
        <f>N(O124)+N(Y124)+N(AI124)</f>
        <v/>
      </c>
      <c r="AT124" s="2">
        <f>N(P124)+N(Z124)+N(AJ124)</f>
        <v/>
      </c>
      <c r="AU124" s="2">
        <f>N(Q124)+N(AA124)+N(AK124)</f>
        <v/>
      </c>
      <c r="AV124" s="2">
        <f>N(R124)+N(AB124)+N(AL124)</f>
        <v/>
      </c>
      <c r="AW124" s="2">
        <f>SUM(I124:R124)</f>
        <v/>
      </c>
      <c r="AX124" s="2">
        <f>SUM(S124:AB124)</f>
        <v/>
      </c>
      <c r="AY124" s="2">
        <f>SUM(AC124:AL124)</f>
        <v/>
      </c>
    </row>
    <row r="125">
      <c r="A125" s="2" t="inlineStr">
        <is>
          <t>flour_plain|B|g</t>
        </is>
      </c>
      <c r="B125" s="2" t="inlineStr">
        <is>
          <t>Plain flour (wheat)</t>
        </is>
      </c>
      <c r="C125" s="2" t="inlineStr">
        <is>
          <t>面粉（普通小麦粉）</t>
        </is>
      </c>
      <c r="D125" s="2" t="inlineStr">
        <is>
          <t>Canteen and kitchen</t>
        </is>
      </c>
      <c r="E125" s="2" t="inlineStr">
        <is>
          <t>Plan B (no freezer)</t>
        </is>
      </c>
      <c r="F125" s="2" t="inlineStr">
        <is>
          <t>Used up</t>
        </is>
      </c>
      <c r="G125" s="2" t="inlineStr">
        <is>
          <t>g</t>
        </is>
      </c>
      <c r="H125" s="2">
        <f>IF(OR($E125="Both plans",'Read me'!$C$9="A and B",AND($E125="Plan A (freezer)",'Read me'!$C$9="A"),AND($E125="Plan B (no freezer)",'Read me'!$C$9="B")),1,0)</f>
        <v/>
      </c>
      <c r="I125" s="2" t="n"/>
      <c r="J125" s="2" t="n"/>
      <c r="K125" s="2" t="n"/>
      <c r="L125" s="2" t="n"/>
      <c r="M125" s="2" t="n">
        <v>30</v>
      </c>
      <c r="N125" s="2" t="n"/>
      <c r="O125" s="2" t="n">
        <v>500</v>
      </c>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f>N(I125)+N(S125)+N(AC125)</f>
        <v/>
      </c>
      <c r="AN125" s="2">
        <f>N(J125)+N(T125)+N(AD125)</f>
        <v/>
      </c>
      <c r="AO125" s="2">
        <f>N(K125)+N(U125)+N(AE125)</f>
        <v/>
      </c>
      <c r="AP125" s="2">
        <f>N(L125)+N(V125)+N(AF125)</f>
        <v/>
      </c>
      <c r="AQ125" s="2">
        <f>N(M125)+N(W125)+N(AG125)</f>
        <v/>
      </c>
      <c r="AR125" s="2">
        <f>N(N125)+N(X125)+N(AH125)</f>
        <v/>
      </c>
      <c r="AS125" s="2">
        <f>N(O125)+N(Y125)+N(AI125)</f>
        <v/>
      </c>
      <c r="AT125" s="2">
        <f>N(P125)+N(Z125)+N(AJ125)</f>
        <v/>
      </c>
      <c r="AU125" s="2">
        <f>N(Q125)+N(AA125)+N(AK125)</f>
        <v/>
      </c>
      <c r="AV125" s="2">
        <f>N(R125)+N(AB125)+N(AL125)</f>
        <v/>
      </c>
      <c r="AW125" s="2">
        <f>SUM(I125:R125)</f>
        <v/>
      </c>
      <c r="AX125" s="2">
        <f>SUM(S125:AB125)</f>
        <v/>
      </c>
      <c r="AY125" s="2">
        <f>SUM(AC125:AL125)</f>
        <v/>
      </c>
    </row>
    <row r="126">
      <c r="A126" s="2" t="inlineStr">
        <is>
          <t>red_cabbage|both|head</t>
        </is>
      </c>
      <c r="B126" s="2" t="inlineStr">
        <is>
          <t>Red cabbage</t>
        </is>
      </c>
      <c r="C126" s="2" t="inlineStr">
        <is>
          <t>紫甘蓝</t>
        </is>
      </c>
      <c r="D126" s="2" t="inlineStr">
        <is>
          <t>Canteen and kitchen</t>
        </is>
      </c>
      <c r="E126" s="2" t="inlineStr">
        <is>
          <t>Both plans</t>
        </is>
      </c>
      <c r="F126" s="2" t="inlineStr">
        <is>
          <t>Used up</t>
        </is>
      </c>
      <c r="G126" s="2" t="inlineStr">
        <is>
          <t>head</t>
        </is>
      </c>
      <c r="H126" s="2">
        <f>IF(OR($E126="Both plans",'Read me'!$C$9="A and B",AND($E126="Plan A (freezer)",'Read me'!$C$9="A"),AND($E126="Plan B (no freezer)",'Read me'!$C$9="B")),1,0)</f>
        <v/>
      </c>
      <c r="I126" s="2" t="n"/>
      <c r="J126" s="2" t="n"/>
      <c r="K126" s="2" t="n"/>
      <c r="L126" s="2" t="n"/>
      <c r="M126" s="2" t="n"/>
      <c r="N126" s="2" t="n"/>
      <c r="O126" s="2" t="n"/>
      <c r="P126" s="2" t="n"/>
      <c r="Q126" s="2" t="n"/>
      <c r="R126" s="2" t="n"/>
      <c r="S126" s="2" t="n"/>
      <c r="T126" s="2" t="n"/>
      <c r="U126" s="2" t="n"/>
      <c r="V126" s="2" t="n"/>
      <c r="W126" s="2" t="n">
        <v>0.25</v>
      </c>
      <c r="X126" s="2" t="n"/>
      <c r="Y126" s="2" t="n"/>
      <c r="Z126" s="2" t="n"/>
      <c r="AA126" s="2" t="n"/>
      <c r="AB126" s="2" t="n"/>
      <c r="AC126" s="2" t="n"/>
      <c r="AD126" s="2" t="n"/>
      <c r="AE126" s="2" t="n"/>
      <c r="AF126" s="2" t="n"/>
      <c r="AG126" s="2" t="n"/>
      <c r="AH126" s="2" t="n"/>
      <c r="AI126" s="2" t="n"/>
      <c r="AJ126" s="2" t="n"/>
      <c r="AK126" s="2" t="n"/>
      <c r="AL126" s="2" t="n"/>
      <c r="AM126" s="2">
        <f>N(I126)+N(S126)+N(AC126)</f>
        <v/>
      </c>
      <c r="AN126" s="2">
        <f>N(J126)+N(T126)+N(AD126)</f>
        <v/>
      </c>
      <c r="AO126" s="2">
        <f>N(K126)+N(U126)+N(AE126)</f>
        <v/>
      </c>
      <c r="AP126" s="2">
        <f>N(L126)+N(V126)+N(AF126)</f>
        <v/>
      </c>
      <c r="AQ126" s="2">
        <f>N(M126)+N(W126)+N(AG126)</f>
        <v/>
      </c>
      <c r="AR126" s="2">
        <f>N(N126)+N(X126)+N(AH126)</f>
        <v/>
      </c>
      <c r="AS126" s="2">
        <f>N(O126)+N(Y126)+N(AI126)</f>
        <v/>
      </c>
      <c r="AT126" s="2">
        <f>N(P126)+N(Z126)+N(AJ126)</f>
        <v/>
      </c>
      <c r="AU126" s="2">
        <f>N(Q126)+N(AA126)+N(AK126)</f>
        <v/>
      </c>
      <c r="AV126" s="2">
        <f>N(R126)+N(AB126)+N(AL126)</f>
        <v/>
      </c>
      <c r="AW126" s="2">
        <f>SUM(I126:R126)</f>
        <v/>
      </c>
      <c r="AX126" s="2">
        <f>SUM(S126:AB126)</f>
        <v/>
      </c>
      <c r="AY126" s="2">
        <f>SUM(AC126:AL126)</f>
        <v/>
      </c>
    </row>
    <row r="127">
      <c r="A127" s="2" t="inlineStr">
        <is>
          <t>salt_table|B|g</t>
        </is>
      </c>
      <c r="B127" s="2" t="inlineStr">
        <is>
          <t>Salt, table salt</t>
        </is>
      </c>
      <c r="C127" s="2" t="inlineStr">
        <is>
          <t>食盐</t>
        </is>
      </c>
      <c r="D127" s="2" t="inlineStr">
        <is>
          <t>Canteen and kitchen</t>
        </is>
      </c>
      <c r="E127" s="2" t="inlineStr">
        <is>
          <t>Plan B (no freezer)</t>
        </is>
      </c>
      <c r="F127" s="2" t="inlineStr">
        <is>
          <t>Used up</t>
        </is>
      </c>
      <c r="G127" s="2" t="inlineStr">
        <is>
          <t>g</t>
        </is>
      </c>
      <c r="H127" s="2">
        <f>IF(OR($E127="Both plans",'Read me'!$C$9="A and B",AND($E127="Plan A (freezer)",'Read me'!$C$9="A"),AND($E127="Plan B (no freezer)",'Read me'!$C$9="B")),1,0)</f>
        <v/>
      </c>
      <c r="I127" s="2" t="n"/>
      <c r="J127" s="2" t="n"/>
      <c r="K127" s="2" t="n"/>
      <c r="L127" s="2" t="n"/>
      <c r="M127" s="2" t="n">
        <v>35</v>
      </c>
      <c r="N127" s="2" t="n"/>
      <c r="O127" s="2" t="n">
        <v>580</v>
      </c>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f>N(I127)+N(S127)+N(AC127)</f>
        <v/>
      </c>
      <c r="AN127" s="2">
        <f>N(J127)+N(T127)+N(AD127)</f>
        <v/>
      </c>
      <c r="AO127" s="2">
        <f>N(K127)+N(U127)+N(AE127)</f>
        <v/>
      </c>
      <c r="AP127" s="2">
        <f>N(L127)+N(V127)+N(AF127)</f>
        <v/>
      </c>
      <c r="AQ127" s="2">
        <f>N(M127)+N(W127)+N(AG127)</f>
        <v/>
      </c>
      <c r="AR127" s="2">
        <f>N(N127)+N(X127)+N(AH127)</f>
        <v/>
      </c>
      <c r="AS127" s="2">
        <f>N(O127)+N(Y127)+N(AI127)</f>
        <v/>
      </c>
      <c r="AT127" s="2">
        <f>N(P127)+N(Z127)+N(AJ127)</f>
        <v/>
      </c>
      <c r="AU127" s="2">
        <f>N(Q127)+N(AA127)+N(AK127)</f>
        <v/>
      </c>
      <c r="AV127" s="2">
        <f>N(R127)+N(AB127)+N(AL127)</f>
        <v/>
      </c>
      <c r="AW127" s="2">
        <f>SUM(I127:R127)</f>
        <v/>
      </c>
      <c r="AX127" s="2">
        <f>SUM(S127:AB127)</f>
        <v/>
      </c>
      <c r="AY127" s="2">
        <f>SUM(AC127:AL127)</f>
        <v/>
      </c>
    </row>
    <row r="128">
      <c r="A128" s="2" t="inlineStr">
        <is>
          <t>sieve|both|sieve</t>
        </is>
      </c>
      <c r="B128" s="2" t="inlineStr">
        <is>
          <t>Sieve, kitchen</t>
        </is>
      </c>
      <c r="C128" s="2" t="inlineStr">
        <is>
          <t>滤网（筛子）</t>
        </is>
      </c>
      <c r="D128" s="2" t="inlineStr">
        <is>
          <t>Canteen and kitchen</t>
        </is>
      </c>
      <c r="E128" s="2" t="inlineStr">
        <is>
          <t>Both plans</t>
        </is>
      </c>
      <c r="F128" s="2" t="inlineStr">
        <is>
          <t>Reusable</t>
        </is>
      </c>
      <c r="G128" s="2" t="inlineStr">
        <is>
          <t>sieve</t>
        </is>
      </c>
      <c r="H128" s="2">
        <f>IF(OR($E128="Both plans",'Read me'!$C$9="A and B",AND($E128="Plan A (freezer)",'Read me'!$C$9="A"),AND($E128="Plan B (no freezer)",'Read me'!$C$9="B")),1,0)</f>
        <v/>
      </c>
      <c r="I128" s="2" t="n"/>
      <c r="J128" s="2" t="n"/>
      <c r="K128" s="2" t="n"/>
      <c r="L128" s="2" t="n"/>
      <c r="M128" s="2" t="n"/>
      <c r="N128" s="2" t="n"/>
      <c r="O128" s="2" t="n"/>
      <c r="P128" s="2" t="n"/>
      <c r="Q128" s="2" t="n"/>
      <c r="R128" s="2" t="n"/>
      <c r="S128" s="2" t="n"/>
      <c r="T128" s="2" t="n"/>
      <c r="U128" s="2" t="n"/>
      <c r="V128" s="2" t="n"/>
      <c r="W128" s="2" t="n">
        <v>1</v>
      </c>
      <c r="X128" s="2" t="n"/>
      <c r="Y128" s="2" t="n"/>
      <c r="Z128" s="2" t="n"/>
      <c r="AA128" s="2" t="n"/>
      <c r="AB128" s="2" t="n"/>
      <c r="AC128" s="2" t="n"/>
      <c r="AD128" s="2" t="n"/>
      <c r="AE128" s="2" t="n"/>
      <c r="AF128" s="2" t="n"/>
      <c r="AG128" s="2" t="n"/>
      <c r="AH128" s="2" t="n"/>
      <c r="AI128" s="2" t="n"/>
      <c r="AJ128" s="2" t="n"/>
      <c r="AK128" s="2" t="n"/>
      <c r="AL128" s="2" t="n"/>
      <c r="AM128" s="2">
        <f>N(I128)+N(S128)+N(AC128)</f>
        <v/>
      </c>
      <c r="AN128" s="2">
        <f>N(J128)+N(T128)+N(AD128)</f>
        <v/>
      </c>
      <c r="AO128" s="2">
        <f>N(K128)+N(U128)+N(AE128)</f>
        <v/>
      </c>
      <c r="AP128" s="2">
        <f>N(L128)+N(V128)+N(AF128)</f>
        <v/>
      </c>
      <c r="AQ128" s="2">
        <f>N(M128)+N(W128)+N(AG128)</f>
        <v/>
      </c>
      <c r="AR128" s="2">
        <f>N(N128)+N(X128)+N(AH128)</f>
        <v/>
      </c>
      <c r="AS128" s="2">
        <f>N(O128)+N(Y128)+N(AI128)</f>
        <v/>
      </c>
      <c r="AT128" s="2">
        <f>N(P128)+N(Z128)+N(AJ128)</f>
        <v/>
      </c>
      <c r="AU128" s="2">
        <f>N(Q128)+N(AA128)+N(AK128)</f>
        <v/>
      </c>
      <c r="AV128" s="2">
        <f>N(R128)+N(AB128)+N(AL128)</f>
        <v/>
      </c>
      <c r="AW128" s="2">
        <f>SUM(I128:R128)</f>
        <v/>
      </c>
      <c r="AX128" s="2">
        <f>SUM(S128:AB128)</f>
        <v/>
      </c>
      <c r="AY128" s="2">
        <f>SUM(AC128:AL128)</f>
        <v/>
      </c>
    </row>
    <row r="129">
      <c r="A129" s="2" t="inlineStr">
        <is>
          <t>kettle|B|kettles</t>
        </is>
      </c>
      <c r="B129" s="2" t="inlineStr">
        <is>
          <t>Electric kettle</t>
        </is>
      </c>
      <c r="C129" s="2" t="inlineStr">
        <is>
          <t>电水壶</t>
        </is>
      </c>
      <c r="D129" s="2" t="inlineStr">
        <is>
          <t>Canteen and kitchen</t>
        </is>
      </c>
      <c r="E129" s="2" t="inlineStr">
        <is>
          <t>Plan B (no freezer)</t>
        </is>
      </c>
      <c r="F129" s="2" t="inlineStr">
        <is>
          <t>Reusable</t>
        </is>
      </c>
      <c r="G129" s="2" t="inlineStr">
        <is>
          <t>kettles</t>
        </is>
      </c>
      <c r="H129" s="2">
        <f>IF(OR($E129="Both plans",'Read me'!$C$9="A and B",AND($E129="Plan A (freezer)",'Read me'!$C$9="A"),AND($E129="Plan B (no freezer)",'Read me'!$C$9="B")),1,0)</f>
        <v/>
      </c>
      <c r="I129" s="2" t="n"/>
      <c r="J129" s="2" t="n"/>
      <c r="K129" s="2" t="n"/>
      <c r="L129" s="2" t="n"/>
      <c r="M129" s="2" t="n"/>
      <c r="N129" s="2" t="n">
        <v>1</v>
      </c>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f>N(I129)+N(S129)+N(AC129)</f>
        <v/>
      </c>
      <c r="AN129" s="2">
        <f>N(J129)+N(T129)+N(AD129)</f>
        <v/>
      </c>
      <c r="AO129" s="2">
        <f>N(K129)+N(U129)+N(AE129)</f>
        <v/>
      </c>
      <c r="AP129" s="2">
        <f>N(L129)+N(V129)+N(AF129)</f>
        <v/>
      </c>
      <c r="AQ129" s="2">
        <f>N(M129)+N(W129)+N(AG129)</f>
        <v/>
      </c>
      <c r="AR129" s="2">
        <f>N(N129)+N(X129)+N(AH129)</f>
        <v/>
      </c>
      <c r="AS129" s="2">
        <f>N(O129)+N(Y129)+N(AI129)</f>
        <v/>
      </c>
      <c r="AT129" s="2">
        <f>N(P129)+N(Z129)+N(AJ129)</f>
        <v/>
      </c>
      <c r="AU129" s="2">
        <f>N(Q129)+N(AA129)+N(AK129)</f>
        <v/>
      </c>
      <c r="AV129" s="2">
        <f>N(R129)+N(AB129)+N(AL129)</f>
        <v/>
      </c>
      <c r="AW129" s="2">
        <f>SUM(I129:R129)</f>
        <v/>
      </c>
      <c r="AX129" s="2">
        <f>SUM(S129:AB129)</f>
        <v/>
      </c>
      <c r="AY129" s="2">
        <f>SUM(AC129:AL129)</f>
        <v/>
      </c>
    </row>
    <row r="130">
      <c r="A130" s="2" t="inlineStr">
        <is>
          <t>ice_cubes|A|kg</t>
        </is>
      </c>
      <c r="B130" s="2" t="inlineStr">
        <is>
          <t>Ice cubes</t>
        </is>
      </c>
      <c r="C130" s="2" t="inlineStr">
        <is>
          <t>冰块</t>
        </is>
      </c>
      <c r="D130" s="2" t="inlineStr">
        <is>
          <t>Canteen and kitchen</t>
        </is>
      </c>
      <c r="E130" s="2" t="inlineStr">
        <is>
          <t>Plan A (freezer)</t>
        </is>
      </c>
      <c r="F130" s="2" t="inlineStr">
        <is>
          <t>Used up</t>
        </is>
      </c>
      <c r="G130" s="2" t="inlineStr">
        <is>
          <t>kg</t>
        </is>
      </c>
      <c r="H130" s="2">
        <f>IF(OR($E130="Both plans",'Read me'!$C$9="A and B",AND($E130="Plan A (freezer)",'Read me'!$C$9="A"),AND($E130="Plan B (no freezer)",'Read me'!$C$9="B")),1,0)</f>
        <v/>
      </c>
      <c r="I130" s="2" t="n"/>
      <c r="J130" s="2" t="n"/>
      <c r="K130" s="2" t="n"/>
      <c r="L130" s="2" t="n"/>
      <c r="M130" s="2" t="n"/>
      <c r="N130" s="2" t="n">
        <v>0.7</v>
      </c>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v>3</v>
      </c>
      <c r="AI130" s="2" t="n"/>
      <c r="AJ130" s="2" t="n">
        <v>4</v>
      </c>
      <c r="AK130" s="2" t="n"/>
      <c r="AL130" s="2" t="n"/>
      <c r="AM130" s="2">
        <f>N(I130)+N(S130)+N(AC130)</f>
        <v/>
      </c>
      <c r="AN130" s="2">
        <f>N(J130)+N(T130)+N(AD130)</f>
        <v/>
      </c>
      <c r="AO130" s="2">
        <f>N(K130)+N(U130)+N(AE130)</f>
        <v/>
      </c>
      <c r="AP130" s="2">
        <f>N(L130)+N(V130)+N(AF130)</f>
        <v/>
      </c>
      <c r="AQ130" s="2">
        <f>N(M130)+N(W130)+N(AG130)</f>
        <v/>
      </c>
      <c r="AR130" s="2">
        <f>N(N130)+N(X130)+N(AH130)</f>
        <v/>
      </c>
      <c r="AS130" s="2">
        <f>N(O130)+N(Y130)+N(AI130)</f>
        <v/>
      </c>
      <c r="AT130" s="2">
        <f>N(P130)+N(Z130)+N(AJ130)</f>
        <v/>
      </c>
      <c r="AU130" s="2">
        <f>N(Q130)+N(AA130)+N(AK130)</f>
        <v/>
      </c>
      <c r="AV130" s="2">
        <f>N(R130)+N(AB130)+N(AL130)</f>
        <v/>
      </c>
      <c r="AW130" s="2">
        <f>SUM(I130:R130)</f>
        <v/>
      </c>
      <c r="AX130" s="2">
        <f>SUM(S130:AB130)</f>
        <v/>
      </c>
      <c r="AY130" s="2">
        <f>SUM(AC130:AL130)</f>
        <v/>
      </c>
    </row>
    <row r="131">
      <c r="A131" s="2" t="inlineStr">
        <is>
          <t>jug_plastic_2l|B|jugs</t>
        </is>
      </c>
      <c r="B131" s="2" t="inlineStr">
        <is>
          <t>Jugs, plastic, about 2 litres</t>
        </is>
      </c>
      <c r="C131" s="2" t="inlineStr">
        <is>
          <t>塑料水壶（约2升）</t>
        </is>
      </c>
      <c r="D131" s="2" t="inlineStr">
        <is>
          <t>Canteen and kitchen</t>
        </is>
      </c>
      <c r="E131" s="2" t="inlineStr">
        <is>
          <t>Plan B (no freezer)</t>
        </is>
      </c>
      <c r="F131" s="2" t="inlineStr">
        <is>
          <t>Reusable</t>
        </is>
      </c>
      <c r="G131" s="2" t="inlineStr">
        <is>
          <t>jugs</t>
        </is>
      </c>
      <c r="H131" s="2">
        <f>IF(OR($E131="Both plans",'Read me'!$C$9="A and B",AND($E131="Plan A (freezer)",'Read me'!$C$9="A"),AND($E131="Plan B (no freezer)",'Read me'!$C$9="B")),1,0)</f>
        <v/>
      </c>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c r="AH131" s="2" t="n">
        <v>1</v>
      </c>
      <c r="AI131" s="2" t="n"/>
      <c r="AJ131" s="2" t="n"/>
      <c r="AK131" s="2" t="n"/>
      <c r="AL131" s="2" t="n"/>
      <c r="AM131" s="2">
        <f>N(I131)+N(S131)+N(AC131)</f>
        <v/>
      </c>
      <c r="AN131" s="2">
        <f>N(J131)+N(T131)+N(AD131)</f>
        <v/>
      </c>
      <c r="AO131" s="2">
        <f>N(K131)+N(U131)+N(AE131)</f>
        <v/>
      </c>
      <c r="AP131" s="2">
        <f>N(L131)+N(V131)+N(AF131)</f>
        <v/>
      </c>
      <c r="AQ131" s="2">
        <f>N(M131)+N(W131)+N(AG131)</f>
        <v/>
      </c>
      <c r="AR131" s="2">
        <f>N(N131)+N(X131)+N(AH131)</f>
        <v/>
      </c>
      <c r="AS131" s="2">
        <f>N(O131)+N(Y131)+N(AI131)</f>
        <v/>
      </c>
      <c r="AT131" s="2">
        <f>N(P131)+N(Z131)+N(AJ131)</f>
        <v/>
      </c>
      <c r="AU131" s="2">
        <f>N(Q131)+N(AA131)+N(AK131)</f>
        <v/>
      </c>
      <c r="AV131" s="2">
        <f>N(R131)+N(AB131)+N(AL131)</f>
        <v/>
      </c>
      <c r="AW131" s="2">
        <f>SUM(I131:R131)</f>
        <v/>
      </c>
      <c r="AX131" s="2">
        <f>SUM(S131:AB131)</f>
        <v/>
      </c>
      <c r="AY131" s="2">
        <f>SUM(AC131:AL131)</f>
        <v/>
      </c>
    </row>
    <row r="132">
      <c r="A132" s="2" t="inlineStr">
        <is>
          <t>rolling_pin|A|rolling pin</t>
        </is>
      </c>
      <c r="B132" s="2" t="inlineStr">
        <is>
          <t>Rolling pin</t>
        </is>
      </c>
      <c r="C132" s="2" t="inlineStr">
        <is>
          <t>擀面杖</t>
        </is>
      </c>
      <c r="D132" s="2" t="inlineStr">
        <is>
          <t>Canteen and kitchen</t>
        </is>
      </c>
      <c r="E132" s="2" t="inlineStr">
        <is>
          <t>Plan A (freezer)</t>
        </is>
      </c>
      <c r="F132" s="2" t="inlineStr">
        <is>
          <t>Reusable</t>
        </is>
      </c>
      <c r="G132" s="2" t="inlineStr">
        <is>
          <t>rolling pin</t>
        </is>
      </c>
      <c r="H132" s="2">
        <f>IF(OR($E132="Both plans",'Read me'!$C$9="A and B",AND($E132="Plan A (freezer)",'Read me'!$C$9="A"),AND($E132="Plan B (no freezer)",'Read me'!$C$9="B")),1,0)</f>
        <v/>
      </c>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c r="AH132" s="2" t="n">
        <v>1</v>
      </c>
      <c r="AI132" s="2" t="n"/>
      <c r="AJ132" s="2" t="n">
        <v>1</v>
      </c>
      <c r="AK132" s="2" t="n"/>
      <c r="AL132" s="2" t="n"/>
      <c r="AM132" s="2">
        <f>N(I132)+N(S132)+N(AC132)</f>
        <v/>
      </c>
      <c r="AN132" s="2">
        <f>N(J132)+N(T132)+N(AD132)</f>
        <v/>
      </c>
      <c r="AO132" s="2">
        <f>N(K132)+N(U132)+N(AE132)</f>
        <v/>
      </c>
      <c r="AP132" s="2">
        <f>N(L132)+N(V132)+N(AF132)</f>
        <v/>
      </c>
      <c r="AQ132" s="2">
        <f>N(M132)+N(W132)+N(AG132)</f>
        <v/>
      </c>
      <c r="AR132" s="2">
        <f>N(N132)+N(X132)+N(AH132)</f>
        <v/>
      </c>
      <c r="AS132" s="2">
        <f>N(O132)+N(Y132)+N(AI132)</f>
        <v/>
      </c>
      <c r="AT132" s="2">
        <f>N(P132)+N(Z132)+N(AJ132)</f>
        <v/>
      </c>
      <c r="AU132" s="2">
        <f>N(Q132)+N(AA132)+N(AK132)</f>
        <v/>
      </c>
      <c r="AV132" s="2">
        <f>N(R132)+N(AB132)+N(AL132)</f>
        <v/>
      </c>
      <c r="AW132" s="2">
        <f>SUM(I132:R132)</f>
        <v/>
      </c>
      <c r="AX132" s="2">
        <f>SUM(S132:AB132)</f>
        <v/>
      </c>
      <c r="AY132" s="2">
        <f>SUM(AC132:AL132)</f>
        <v/>
      </c>
    </row>
    <row r="133">
      <c r="A133" s="2" t="inlineStr">
        <is>
          <t>salt_table|A|g</t>
        </is>
      </c>
      <c r="B133" s="2" t="inlineStr">
        <is>
          <t>Salt, table salt</t>
        </is>
      </c>
      <c r="C133" s="2" t="inlineStr">
        <is>
          <t>食盐</t>
        </is>
      </c>
      <c r="D133" s="2" t="inlineStr">
        <is>
          <t>Canteen and kitchen</t>
        </is>
      </c>
      <c r="E133" s="2" t="inlineStr">
        <is>
          <t>Plan A (freezer)</t>
        </is>
      </c>
      <c r="F133" s="2" t="inlineStr">
        <is>
          <t>Used up</t>
        </is>
      </c>
      <c r="G133" s="2" t="inlineStr">
        <is>
          <t>g</t>
        </is>
      </c>
      <c r="H133" s="2">
        <f>IF(OR($E133="Both plans",'Read me'!$C$9="A and B",AND($E133="Plan A (freezer)",'Read me'!$C$9="A"),AND($E133="Plan B (no freezer)",'Read me'!$C$9="B")),1,0)</f>
        <v/>
      </c>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v>1000</v>
      </c>
      <c r="AI133" s="2" t="n"/>
      <c r="AJ133" s="2" t="n">
        <v>500</v>
      </c>
      <c r="AK133" s="2" t="n"/>
      <c r="AL133" s="2" t="n"/>
      <c r="AM133" s="2">
        <f>N(I133)+N(S133)+N(AC133)</f>
        <v/>
      </c>
      <c r="AN133" s="2">
        <f>N(J133)+N(T133)+N(AD133)</f>
        <v/>
      </c>
      <c r="AO133" s="2">
        <f>N(K133)+N(U133)+N(AE133)</f>
        <v/>
      </c>
      <c r="AP133" s="2">
        <f>N(L133)+N(V133)+N(AF133)</f>
        <v/>
      </c>
      <c r="AQ133" s="2">
        <f>N(M133)+N(W133)+N(AG133)</f>
        <v/>
      </c>
      <c r="AR133" s="2">
        <f>N(N133)+N(X133)+N(AH133)</f>
        <v/>
      </c>
      <c r="AS133" s="2">
        <f>N(O133)+N(Y133)+N(AI133)</f>
        <v/>
      </c>
      <c r="AT133" s="2">
        <f>N(P133)+N(Z133)+N(AJ133)</f>
        <v/>
      </c>
      <c r="AU133" s="2">
        <f>N(Q133)+N(AA133)+N(AK133)</f>
        <v/>
      </c>
      <c r="AV133" s="2">
        <f>N(R133)+N(AB133)+N(AL133)</f>
        <v/>
      </c>
      <c r="AW133" s="2">
        <f>SUM(I133:R133)</f>
        <v/>
      </c>
      <c r="AX133" s="2">
        <f>SUM(S133:AB133)</f>
        <v/>
      </c>
      <c r="AY133" s="2">
        <f>SUM(AC133:AL133)</f>
        <v/>
      </c>
    </row>
    <row r="134">
      <c r="A134" s="2" t="inlineStr">
        <is>
          <t>vacuum_flask|both|flasks</t>
        </is>
      </c>
      <c r="B134" s="2" t="inlineStr">
        <is>
          <t>Vacuum flask</t>
        </is>
      </c>
      <c r="C134" s="2" t="inlineStr">
        <is>
          <t>保温瓶</t>
        </is>
      </c>
      <c r="D134" s="2" t="inlineStr">
        <is>
          <t>Canteen and kitchen</t>
        </is>
      </c>
      <c r="E134" s="2" t="inlineStr">
        <is>
          <t>Both plans</t>
        </is>
      </c>
      <c r="F134" s="2" t="inlineStr">
        <is>
          <t>Reusable</t>
        </is>
      </c>
      <c r="G134" s="2" t="inlineStr">
        <is>
          <t>flasks</t>
        </is>
      </c>
      <c r="H134" s="2">
        <f>IF(OR($E134="Both plans",'Read me'!$C$9="A and B",AND($E134="Plan A (freezer)",'Read me'!$C$9="A"),AND($E134="Plan B (no freezer)",'Read me'!$C$9="B")),1,0)</f>
        <v/>
      </c>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v>1</v>
      </c>
      <c r="AI134" s="2" t="n"/>
      <c r="AJ134" s="2" t="n">
        <v>2</v>
      </c>
      <c r="AK134" s="2" t="n"/>
      <c r="AL134" s="2" t="n"/>
      <c r="AM134" s="2">
        <f>N(I134)+N(S134)+N(AC134)</f>
        <v/>
      </c>
      <c r="AN134" s="2">
        <f>N(J134)+N(T134)+N(AD134)</f>
        <v/>
      </c>
      <c r="AO134" s="2">
        <f>N(K134)+N(U134)+N(AE134)</f>
        <v/>
      </c>
      <c r="AP134" s="2">
        <f>N(L134)+N(V134)+N(AF134)</f>
        <v/>
      </c>
      <c r="AQ134" s="2">
        <f>N(M134)+N(W134)+N(AG134)</f>
        <v/>
      </c>
      <c r="AR134" s="2">
        <f>N(N134)+N(X134)+N(AH134)</f>
        <v/>
      </c>
      <c r="AS134" s="2">
        <f>N(O134)+N(Y134)+N(AI134)</f>
        <v/>
      </c>
      <c r="AT134" s="2">
        <f>N(P134)+N(Z134)+N(AJ134)</f>
        <v/>
      </c>
      <c r="AU134" s="2">
        <f>N(Q134)+N(AA134)+N(AK134)</f>
        <v/>
      </c>
      <c r="AV134" s="2">
        <f>N(R134)+N(AB134)+N(AL134)</f>
        <v/>
      </c>
      <c r="AW134" s="2">
        <f>SUM(I134:R134)</f>
        <v/>
      </c>
      <c r="AX134" s="2">
        <f>SUM(S134:AB134)</f>
        <v/>
      </c>
      <c r="AY134" s="2">
        <f>SUM(AC134:AL134)</f>
        <v/>
      </c>
    </row>
    <row r="135">
      <c r="A135" s="2" t="inlineStr">
        <is>
          <t>napkins_canteen|both|napkins</t>
        </is>
      </c>
      <c r="B135" s="2" t="inlineStr">
        <is>
          <t>Canteen napkins</t>
        </is>
      </c>
      <c r="C135" s="2" t="inlineStr">
        <is>
          <t>食堂餐巾纸</t>
        </is>
      </c>
      <c r="D135" s="2" t="inlineStr">
        <is>
          <t>Canteen and kitchen</t>
        </is>
      </c>
      <c r="E135" s="2" t="inlineStr">
        <is>
          <t>Both plans</t>
        </is>
      </c>
      <c r="F135" s="2" t="inlineStr">
        <is>
          <t>Used up</t>
        </is>
      </c>
      <c r="G135" s="2" t="inlineStr">
        <is>
          <t>napkins</t>
        </is>
      </c>
      <c r="H135" s="2">
        <f>IF(OR($E135="Both plans",'Read me'!$C$9="A and B",AND($E135="Plan A (freezer)",'Read me'!$C$9="A"),AND($E135="Plan B (no freezer)",'Read me'!$C$9="B")),1,0)</f>
        <v/>
      </c>
      <c r="I135" s="2" t="n"/>
      <c r="J135" s="2" t="n"/>
      <c r="K135" s="2" t="n"/>
      <c r="L135" s="2" t="n"/>
      <c r="M135" s="2" t="n"/>
      <c r="N135" s="2" t="n"/>
      <c r="O135" s="2" t="n"/>
      <c r="P135" s="2" t="n"/>
      <c r="Q135" s="2" t="n"/>
      <c r="R135" s="2" t="n"/>
      <c r="S135" s="2" t="n"/>
      <c r="T135" s="2" t="n"/>
      <c r="U135" s="2" t="n"/>
      <c r="V135" s="2" t="n"/>
      <c r="W135" s="2" t="n"/>
      <c r="X135" s="2" t="n"/>
      <c r="Y135" s="2" t="n"/>
      <c r="Z135" s="2" t="n">
        <v>2</v>
      </c>
      <c r="AA135" s="2" t="n"/>
      <c r="AB135" s="2" t="n"/>
      <c r="AC135" s="2" t="n"/>
      <c r="AD135" s="2" t="n"/>
      <c r="AE135" s="2" t="n"/>
      <c r="AF135" s="2" t="n"/>
      <c r="AG135" s="2" t="n"/>
      <c r="AH135" s="2" t="n"/>
      <c r="AI135" s="2" t="n"/>
      <c r="AJ135" s="2" t="n"/>
      <c r="AK135" s="2" t="n"/>
      <c r="AL135" s="2" t="n"/>
      <c r="AM135" s="2">
        <f>N(I135)+N(S135)+N(AC135)</f>
        <v/>
      </c>
      <c r="AN135" s="2">
        <f>N(J135)+N(T135)+N(AD135)</f>
        <v/>
      </c>
      <c r="AO135" s="2">
        <f>N(K135)+N(U135)+N(AE135)</f>
        <v/>
      </c>
      <c r="AP135" s="2">
        <f>N(L135)+N(V135)+N(AF135)</f>
        <v/>
      </c>
      <c r="AQ135" s="2">
        <f>N(M135)+N(W135)+N(AG135)</f>
        <v/>
      </c>
      <c r="AR135" s="2">
        <f>N(N135)+N(X135)+N(AH135)</f>
        <v/>
      </c>
      <c r="AS135" s="2">
        <f>N(O135)+N(Y135)+N(AI135)</f>
        <v/>
      </c>
      <c r="AT135" s="2">
        <f>N(P135)+N(Z135)+N(AJ135)</f>
        <v/>
      </c>
      <c r="AU135" s="2">
        <f>N(Q135)+N(AA135)+N(AK135)</f>
        <v/>
      </c>
      <c r="AV135" s="2">
        <f>N(R135)+N(AB135)+N(AL135)</f>
        <v/>
      </c>
      <c r="AW135" s="2">
        <f>SUM(I135:R135)</f>
        <v/>
      </c>
      <c r="AX135" s="2">
        <f>SUM(S135:AB135)</f>
        <v/>
      </c>
      <c r="AY135" s="2">
        <f>SUM(AC135:AL135)</f>
        <v/>
      </c>
    </row>
    <row r="136">
      <c r="A136" s="2" t="inlineStr">
        <is>
          <t>food_colouring|A|small bottle</t>
        </is>
      </c>
      <c r="B136" s="2" t="inlineStr">
        <is>
          <t>Food colouring</t>
        </is>
      </c>
      <c r="C136" s="2" t="inlineStr">
        <is>
          <t>食用色素</t>
        </is>
      </c>
      <c r="D136" s="2" t="inlineStr">
        <is>
          <t>Canteen and kitchen</t>
        </is>
      </c>
      <c r="E136" s="2" t="inlineStr">
        <is>
          <t>Plan A (freezer)</t>
        </is>
      </c>
      <c r="F136" s="2" t="inlineStr">
        <is>
          <t>Used up</t>
        </is>
      </c>
      <c r="G136" s="2" t="inlineStr">
        <is>
          <t>small bottle</t>
        </is>
      </c>
      <c r="H136" s="2">
        <f>IF(OR($E136="Both plans",'Read me'!$C$9="A and B",AND($E136="Plan A (freezer)",'Read me'!$C$9="A"),AND($E136="Plan B (no freezer)",'Read me'!$C$9="B")),1,0)</f>
        <v/>
      </c>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v>1</v>
      </c>
      <c r="AK136" s="2" t="n"/>
      <c r="AL136" s="2" t="n"/>
      <c r="AM136" s="2">
        <f>N(I136)+N(S136)+N(AC136)</f>
        <v/>
      </c>
      <c r="AN136" s="2">
        <f>N(J136)+N(T136)+N(AD136)</f>
        <v/>
      </c>
      <c r="AO136" s="2">
        <f>N(K136)+N(U136)+N(AE136)</f>
        <v/>
      </c>
      <c r="AP136" s="2">
        <f>N(L136)+N(V136)+N(AF136)</f>
        <v/>
      </c>
      <c r="AQ136" s="2">
        <f>N(M136)+N(W136)+N(AG136)</f>
        <v/>
      </c>
      <c r="AR136" s="2">
        <f>N(N136)+N(X136)+N(AH136)</f>
        <v/>
      </c>
      <c r="AS136" s="2">
        <f>N(O136)+N(Y136)+N(AI136)</f>
        <v/>
      </c>
      <c r="AT136" s="2">
        <f>N(P136)+N(Z136)+N(AJ136)</f>
        <v/>
      </c>
      <c r="AU136" s="2">
        <f>N(Q136)+N(AA136)+N(AK136)</f>
        <v/>
      </c>
      <c r="AV136" s="2">
        <f>N(R136)+N(AB136)+N(AL136)</f>
        <v/>
      </c>
      <c r="AW136" s="2">
        <f>SUM(I136:R136)</f>
        <v/>
      </c>
      <c r="AX136" s="2">
        <f>SUM(S136:AB136)</f>
        <v/>
      </c>
      <c r="AY136" s="2">
        <f>SUM(AC136:AL136)</f>
        <v/>
      </c>
    </row>
    <row r="137">
      <c r="A137" s="2" t="inlineStr">
        <is>
          <t>food_colouring|both|drops</t>
        </is>
      </c>
      <c r="B137" s="2" t="inlineStr">
        <is>
          <t>Food colouring</t>
        </is>
      </c>
      <c r="C137" s="2" t="inlineStr">
        <is>
          <t>食用色素</t>
        </is>
      </c>
      <c r="D137" s="2" t="inlineStr">
        <is>
          <t>Canteen and kitchen</t>
        </is>
      </c>
      <c r="E137" s="2" t="inlineStr">
        <is>
          <t>Both plans</t>
        </is>
      </c>
      <c r="F137" s="2" t="inlineStr">
        <is>
          <t>Used up</t>
        </is>
      </c>
      <c r="G137" s="2" t="inlineStr">
        <is>
          <t>drops</t>
        </is>
      </c>
      <c r="H137" s="2">
        <f>IF(OR($E137="Both plans",'Read me'!$C$9="A and B",AND($E137="Plan A (freezer)",'Read me'!$C$9="A"),AND($E137="Plan B (no freezer)",'Read me'!$C$9="B")),1,0)</f>
        <v/>
      </c>
      <c r="I137" s="2" t="n"/>
      <c r="J137" s="2" t="n"/>
      <c r="K137" s="2" t="n"/>
      <c r="L137" s="2" t="n"/>
      <c r="M137" s="2" t="n"/>
      <c r="N137" s="2" t="n"/>
      <c r="O137" s="2" t="n"/>
      <c r="P137" s="2" t="n"/>
      <c r="Q137" s="2" t="n"/>
      <c r="R137" s="2" t="n"/>
      <c r="S137" s="2" t="n"/>
      <c r="T137" s="2" t="n"/>
      <c r="U137" s="2" t="n"/>
      <c r="V137" s="2" t="n"/>
      <c r="W137" s="2" t="n"/>
      <c r="X137" s="2" t="n"/>
      <c r="Y137" s="2" t="n"/>
      <c r="Z137" s="2" t="n">
        <v>6</v>
      </c>
      <c r="AA137" s="2" t="n"/>
      <c r="AB137" s="2" t="n"/>
      <c r="AC137" s="2" t="n"/>
      <c r="AD137" s="2" t="n"/>
      <c r="AE137" s="2" t="n"/>
      <c r="AF137" s="2" t="n"/>
      <c r="AG137" s="2" t="n"/>
      <c r="AH137" s="2" t="n"/>
      <c r="AI137" s="2" t="n"/>
      <c r="AJ137" s="2" t="n"/>
      <c r="AK137" s="2" t="n"/>
      <c r="AL137" s="2" t="n"/>
      <c r="AM137" s="2">
        <f>N(I137)+N(S137)+N(AC137)</f>
        <v/>
      </c>
      <c r="AN137" s="2">
        <f>N(J137)+N(T137)+N(AD137)</f>
        <v/>
      </c>
      <c r="AO137" s="2">
        <f>N(K137)+N(U137)+N(AE137)</f>
        <v/>
      </c>
      <c r="AP137" s="2">
        <f>N(L137)+N(V137)+N(AF137)</f>
        <v/>
      </c>
      <c r="AQ137" s="2">
        <f>N(M137)+N(W137)+N(AG137)</f>
        <v/>
      </c>
      <c r="AR137" s="2">
        <f>N(N137)+N(X137)+N(AH137)</f>
        <v/>
      </c>
      <c r="AS137" s="2">
        <f>N(O137)+N(Y137)+N(AI137)</f>
        <v/>
      </c>
      <c r="AT137" s="2">
        <f>N(P137)+N(Z137)+N(AJ137)</f>
        <v/>
      </c>
      <c r="AU137" s="2">
        <f>N(Q137)+N(AA137)+N(AK137)</f>
        <v/>
      </c>
      <c r="AV137" s="2">
        <f>N(R137)+N(AB137)+N(AL137)</f>
        <v/>
      </c>
      <c r="AW137" s="2">
        <f>SUM(I137:R137)</f>
        <v/>
      </c>
      <c r="AX137" s="2">
        <f>SUM(S137:AB137)</f>
        <v/>
      </c>
      <c r="AY137" s="2">
        <f>SUM(AC137:AL137)</f>
        <v/>
      </c>
    </row>
    <row r="138">
      <c r="A138" s="2" t="inlineStr">
        <is>
          <t>saucers|A|saucers</t>
        </is>
      </c>
      <c r="B138" s="2" t="inlineStr">
        <is>
          <t>Saucers, small, identical</t>
        </is>
      </c>
      <c r="C138" s="2" t="inlineStr">
        <is>
          <t>小碟子（同款）</t>
        </is>
      </c>
      <c r="D138" s="2" t="inlineStr">
        <is>
          <t>Canteen and kitchen</t>
        </is>
      </c>
      <c r="E138" s="2" t="inlineStr">
        <is>
          <t>Plan A (freezer)</t>
        </is>
      </c>
      <c r="F138" s="2" t="inlineStr">
        <is>
          <t>Reusable</t>
        </is>
      </c>
      <c r="G138" s="2" t="inlineStr">
        <is>
          <t>saucers</t>
        </is>
      </c>
      <c r="H138" s="2">
        <f>IF(OR($E138="Both plans",'Read me'!$C$9="A and B",AND($E138="Plan A (freezer)",'Read me'!$C$9="A"),AND($E138="Plan B (no freezer)",'Read me'!$C$9="B")),1,0)</f>
        <v/>
      </c>
      <c r="I138" s="2" t="n"/>
      <c r="J138" s="2" t="n"/>
      <c r="K138" s="2" t="n"/>
      <c r="L138" s="2" t="n"/>
      <c r="M138" s="2" t="n"/>
      <c r="N138" s="2" t="n"/>
      <c r="O138" s="2" t="n"/>
      <c r="P138" s="2" t="n">
        <v>20</v>
      </c>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v>6</v>
      </c>
      <c r="AK138" s="2" t="n"/>
      <c r="AL138" s="2" t="n"/>
      <c r="AM138" s="2">
        <f>N(I138)+N(S138)+N(AC138)</f>
        <v/>
      </c>
      <c r="AN138" s="2">
        <f>N(J138)+N(T138)+N(AD138)</f>
        <v/>
      </c>
      <c r="AO138" s="2">
        <f>N(K138)+N(U138)+N(AE138)</f>
        <v/>
      </c>
      <c r="AP138" s="2">
        <f>N(L138)+N(V138)+N(AF138)</f>
        <v/>
      </c>
      <c r="AQ138" s="2">
        <f>N(M138)+N(W138)+N(AG138)</f>
        <v/>
      </c>
      <c r="AR138" s="2">
        <f>N(N138)+N(X138)+N(AH138)</f>
        <v/>
      </c>
      <c r="AS138" s="2">
        <f>N(O138)+N(Y138)+N(AI138)</f>
        <v/>
      </c>
      <c r="AT138" s="2">
        <f>N(P138)+N(Z138)+N(AJ138)</f>
        <v/>
      </c>
      <c r="AU138" s="2">
        <f>N(Q138)+N(AA138)+N(AK138)</f>
        <v/>
      </c>
      <c r="AV138" s="2">
        <f>N(R138)+N(AB138)+N(AL138)</f>
        <v/>
      </c>
      <c r="AW138" s="2">
        <f>SUM(I138:R138)</f>
        <v/>
      </c>
      <c r="AX138" s="2">
        <f>SUM(S138:AB138)</f>
        <v/>
      </c>
      <c r="AY138" s="2">
        <f>SUM(AC138:AL138)</f>
        <v/>
      </c>
    </row>
    <row r="139">
      <c r="A139" s="2" t="inlineStr">
        <is>
          <t>tablespoons|both|tablespoons</t>
        </is>
      </c>
      <c r="B139" s="2" t="inlineStr">
        <is>
          <t>Tablespoons, kitchen</t>
        </is>
      </c>
      <c r="C139" s="2" t="inlineStr">
        <is>
          <t>汤匙</t>
        </is>
      </c>
      <c r="D139" s="2" t="inlineStr">
        <is>
          <t>Canteen and kitchen</t>
        </is>
      </c>
      <c r="E139" s="2" t="inlineStr">
        <is>
          <t>Both plans</t>
        </is>
      </c>
      <c r="F139" s="2" t="inlineStr">
        <is>
          <t>Reusable</t>
        </is>
      </c>
      <c r="G139" s="2" t="inlineStr">
        <is>
          <t>tablespoons</t>
        </is>
      </c>
      <c r="H139" s="2">
        <f>IF(OR($E139="Both plans",'Read me'!$C$9="A and B",AND($E139="Plan A (freezer)",'Read me'!$C$9="A"),AND($E139="Plan B (no freezer)",'Read me'!$C$9="B")),1,0)</f>
        <v/>
      </c>
      <c r="I139" s="2" t="n"/>
      <c r="J139" s="2" t="n"/>
      <c r="K139" s="2" t="n"/>
      <c r="L139" s="2" t="n"/>
      <c r="M139" s="2" t="n"/>
      <c r="N139" s="2" t="n"/>
      <c r="O139" s="2" t="n"/>
      <c r="P139" s="2" t="n"/>
      <c r="Q139" s="2" t="n"/>
      <c r="R139" s="2" t="n"/>
      <c r="S139" s="2" t="n"/>
      <c r="T139" s="2" t="n"/>
      <c r="U139" s="2" t="n"/>
      <c r="V139" s="2" t="n"/>
      <c r="W139" s="2" t="n"/>
      <c r="X139" s="2" t="n"/>
      <c r="Y139" s="2" t="n"/>
      <c r="Z139" s="2" t="n">
        <v>10</v>
      </c>
      <c r="AA139" s="2" t="n"/>
      <c r="AB139" s="2" t="n"/>
      <c r="AC139" s="2" t="n"/>
      <c r="AD139" s="2" t="n"/>
      <c r="AE139" s="2" t="n"/>
      <c r="AF139" s="2" t="n"/>
      <c r="AG139" s="2" t="n"/>
      <c r="AH139" s="2" t="n"/>
      <c r="AI139" s="2" t="n"/>
      <c r="AJ139" s="2" t="n"/>
      <c r="AK139" s="2" t="n"/>
      <c r="AL139" s="2" t="n"/>
      <c r="AM139" s="2">
        <f>N(I139)+N(S139)+N(AC139)</f>
        <v/>
      </c>
      <c r="AN139" s="2">
        <f>N(J139)+N(T139)+N(AD139)</f>
        <v/>
      </c>
      <c r="AO139" s="2">
        <f>N(K139)+N(U139)+N(AE139)</f>
        <v/>
      </c>
      <c r="AP139" s="2">
        <f>N(L139)+N(V139)+N(AF139)</f>
        <v/>
      </c>
      <c r="AQ139" s="2">
        <f>N(M139)+N(W139)+N(AG139)</f>
        <v/>
      </c>
      <c r="AR139" s="2">
        <f>N(N139)+N(X139)+N(AH139)</f>
        <v/>
      </c>
      <c r="AS139" s="2">
        <f>N(O139)+N(Y139)+N(AI139)</f>
        <v/>
      </c>
      <c r="AT139" s="2">
        <f>N(P139)+N(Z139)+N(AJ139)</f>
        <v/>
      </c>
      <c r="AU139" s="2">
        <f>N(Q139)+N(AA139)+N(AK139)</f>
        <v/>
      </c>
      <c r="AV139" s="2">
        <f>N(R139)+N(AB139)+N(AL139)</f>
        <v/>
      </c>
      <c r="AW139" s="2">
        <f>SUM(I139:R139)</f>
        <v/>
      </c>
      <c r="AX139" s="2">
        <f>SUM(S139:AB139)</f>
        <v/>
      </c>
      <c r="AY139" s="2">
        <f>SUM(AC139:AL139)</f>
        <v/>
      </c>
    </row>
    <row r="140">
      <c r="A140" s="2" t="inlineStr">
        <is>
          <t>freezer_space|both|drawer</t>
        </is>
      </c>
      <c r="B140" s="2" t="inlineStr">
        <is>
          <t>Freezer space</t>
        </is>
      </c>
      <c r="C140" s="2" t="inlineStr">
        <is>
          <t>冰柜空间</t>
        </is>
      </c>
      <c r="D140" s="2" t="inlineStr">
        <is>
          <t>Canteen and kitchen</t>
        </is>
      </c>
      <c r="E140" s="2" t="inlineStr">
        <is>
          <t>Both plans</t>
        </is>
      </c>
      <c r="F140" s="2" t="inlineStr">
        <is>
          <t>Reusable</t>
        </is>
      </c>
      <c r="G140" s="2" t="inlineStr">
        <is>
          <t>drawer</t>
        </is>
      </c>
      <c r="H140" s="2">
        <f>IF(OR($E140="Both plans",'Read me'!$C$9="A and B",AND($E140="Plan A (freezer)",'Read me'!$C$9="A"),AND($E140="Plan B (no freezer)",'Read me'!$C$9="B")),1,0)</f>
        <v/>
      </c>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v>1</v>
      </c>
      <c r="AC140" s="2" t="n"/>
      <c r="AD140" s="2" t="n"/>
      <c r="AE140" s="2" t="n"/>
      <c r="AF140" s="2" t="n"/>
      <c r="AG140" s="2" t="n"/>
      <c r="AH140" s="2" t="n"/>
      <c r="AI140" s="2" t="n"/>
      <c r="AJ140" s="2" t="n"/>
      <c r="AK140" s="2" t="n"/>
      <c r="AL140" s="2" t="n"/>
      <c r="AM140" s="2">
        <f>N(I140)+N(S140)+N(AC140)</f>
        <v/>
      </c>
      <c r="AN140" s="2">
        <f>N(J140)+N(T140)+N(AD140)</f>
        <v/>
      </c>
      <c r="AO140" s="2">
        <f>N(K140)+N(U140)+N(AE140)</f>
        <v/>
      </c>
      <c r="AP140" s="2">
        <f>N(L140)+N(V140)+N(AF140)</f>
        <v/>
      </c>
      <c r="AQ140" s="2">
        <f>N(M140)+N(W140)+N(AG140)</f>
        <v/>
      </c>
      <c r="AR140" s="2">
        <f>N(N140)+N(X140)+N(AH140)</f>
        <v/>
      </c>
      <c r="AS140" s="2">
        <f>N(O140)+N(Y140)+N(AI140)</f>
        <v/>
      </c>
      <c r="AT140" s="2">
        <f>N(P140)+N(Z140)+N(AJ140)</f>
        <v/>
      </c>
      <c r="AU140" s="2">
        <f>N(Q140)+N(AA140)+N(AK140)</f>
        <v/>
      </c>
      <c r="AV140" s="2">
        <f>N(R140)+N(AB140)+N(AL140)</f>
        <v/>
      </c>
      <c r="AW140" s="2">
        <f>SUM(I140:R140)</f>
        <v/>
      </c>
      <c r="AX140" s="2">
        <f>SUM(S140:AB140)</f>
        <v/>
      </c>
      <c r="AY140" s="2">
        <f>SUM(AC140:AL140)</f>
        <v/>
      </c>
    </row>
    <row r="141">
      <c r="A141" s="2" t="inlineStr">
        <is>
          <t>bottle_cap|both|caps</t>
        </is>
      </c>
      <c r="B141" s="2" t="inlineStr">
        <is>
          <t>Bottle cap</t>
        </is>
      </c>
      <c r="C141" s="2" t="inlineStr">
        <is>
          <t>瓶盖</t>
        </is>
      </c>
      <c r="D141" s="2" t="inlineStr">
        <is>
          <t>Collect or borrow</t>
        </is>
      </c>
      <c r="E141" s="2" t="inlineStr">
        <is>
          <t>Both plans</t>
        </is>
      </c>
      <c r="F141" s="2" t="inlineStr">
        <is>
          <t>Reusable</t>
        </is>
      </c>
      <c r="G141" s="2" t="inlineStr">
        <is>
          <t>caps</t>
        </is>
      </c>
      <c r="H141" s="2">
        <f>IF(OR($E141="Both plans",'Read me'!$C$9="A and B",AND($E141="Plan A (freezer)",'Read me'!$C$9="A"),AND($E141="Plan B (no freezer)",'Read me'!$C$9="B")),1,0)</f>
        <v/>
      </c>
      <c r="I141" s="2" t="n"/>
      <c r="J141" s="2" t="n">
        <v>1</v>
      </c>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f>N(I141)+N(S141)+N(AC141)</f>
        <v/>
      </c>
      <c r="AN141" s="2">
        <f>N(J141)+N(T141)+N(AD141)</f>
        <v/>
      </c>
      <c r="AO141" s="2">
        <f>N(K141)+N(U141)+N(AE141)</f>
        <v/>
      </c>
      <c r="AP141" s="2">
        <f>N(L141)+N(V141)+N(AF141)</f>
        <v/>
      </c>
      <c r="AQ141" s="2">
        <f>N(M141)+N(W141)+N(AG141)</f>
        <v/>
      </c>
      <c r="AR141" s="2">
        <f>N(N141)+N(X141)+N(AH141)</f>
        <v/>
      </c>
      <c r="AS141" s="2">
        <f>N(O141)+N(Y141)+N(AI141)</f>
        <v/>
      </c>
      <c r="AT141" s="2">
        <f>N(P141)+N(Z141)+N(AJ141)</f>
        <v/>
      </c>
      <c r="AU141" s="2">
        <f>N(Q141)+N(AA141)+N(AK141)</f>
        <v/>
      </c>
      <c r="AV141" s="2">
        <f>N(R141)+N(AB141)+N(AL141)</f>
        <v/>
      </c>
      <c r="AW141" s="2">
        <f>SUM(I141:R141)</f>
        <v/>
      </c>
      <c r="AX141" s="2">
        <f>SUM(S141:AB141)</f>
        <v/>
      </c>
      <c r="AY141" s="2">
        <f>SUM(AC141:AL141)</f>
        <v/>
      </c>
    </row>
    <row r="142">
      <c r="A142" s="2" t="inlineStr">
        <is>
          <t>coin|both|coins</t>
        </is>
      </c>
      <c r="B142" s="2" t="inlineStr">
        <is>
          <t>Coin</t>
        </is>
      </c>
      <c r="C142" s="2" t="inlineStr">
        <is>
          <t>硬币</t>
        </is>
      </c>
      <c r="D142" s="2" t="inlineStr">
        <is>
          <t>Collect or borrow</t>
        </is>
      </c>
      <c r="E142" s="2" t="inlineStr">
        <is>
          <t>Both plans</t>
        </is>
      </c>
      <c r="F142" s="2" t="inlineStr">
        <is>
          <t>Reusable</t>
        </is>
      </c>
      <c r="G142" s="2" t="inlineStr">
        <is>
          <t>coins</t>
        </is>
      </c>
      <c r="H142" s="2">
        <f>IF(OR($E142="Both plans",'Read me'!$C$9="A and B",AND($E142="Plan A (freezer)",'Read me'!$C$9="A"),AND($E142="Plan B (no freezer)",'Read me'!$C$9="B")),1,0)</f>
        <v/>
      </c>
      <c r="I142" s="2" t="n"/>
      <c r="J142" s="2" t="n">
        <v>1</v>
      </c>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f>N(I142)+N(S142)+N(AC142)</f>
        <v/>
      </c>
      <c r="AN142" s="2">
        <f>N(J142)+N(T142)+N(AD142)</f>
        <v/>
      </c>
      <c r="AO142" s="2">
        <f>N(K142)+N(U142)+N(AE142)</f>
        <v/>
      </c>
      <c r="AP142" s="2">
        <f>N(L142)+N(V142)+N(AF142)</f>
        <v/>
      </c>
      <c r="AQ142" s="2">
        <f>N(M142)+N(W142)+N(AG142)</f>
        <v/>
      </c>
      <c r="AR142" s="2">
        <f>N(N142)+N(X142)+N(AH142)</f>
        <v/>
      </c>
      <c r="AS142" s="2">
        <f>N(O142)+N(Y142)+N(AI142)</f>
        <v/>
      </c>
      <c r="AT142" s="2">
        <f>N(P142)+N(Z142)+N(AJ142)</f>
        <v/>
      </c>
      <c r="AU142" s="2">
        <f>N(Q142)+N(AA142)+N(AK142)</f>
        <v/>
      </c>
      <c r="AV142" s="2">
        <f>N(R142)+N(AB142)+N(AL142)</f>
        <v/>
      </c>
      <c r="AW142" s="2">
        <f>SUM(I142:R142)</f>
        <v/>
      </c>
      <c r="AX142" s="2">
        <f>SUM(S142:AB142)</f>
        <v/>
      </c>
      <c r="AY142" s="2">
        <f>SUM(AC142:AL142)</f>
        <v/>
      </c>
    </row>
    <row r="143">
      <c r="A143" s="2" t="inlineStr">
        <is>
          <t>dice|both|dice</t>
        </is>
      </c>
      <c r="B143" s="2" t="inlineStr">
        <is>
          <t>Dice</t>
        </is>
      </c>
      <c r="C143" s="2" t="inlineStr">
        <is>
          <t>骰子</t>
        </is>
      </c>
      <c r="D143" s="2" t="inlineStr">
        <is>
          <t>Collect or borrow</t>
        </is>
      </c>
      <c r="E143" s="2" t="inlineStr">
        <is>
          <t>Both plans</t>
        </is>
      </c>
      <c r="F143" s="2" t="inlineStr">
        <is>
          <t>Reusable</t>
        </is>
      </c>
      <c r="G143" s="2" t="inlineStr">
        <is>
          <t>dice</t>
        </is>
      </c>
      <c r="H143" s="2">
        <f>IF(OR($E143="Both plans",'Read me'!$C$9="A and B",AND($E143="Plan A (freezer)",'Read me'!$C$9="A"),AND($E143="Plan B (no freezer)",'Read me'!$C$9="B")),1,0)</f>
        <v/>
      </c>
      <c r="I143" s="2" t="n"/>
      <c r="J143" s="2" t="n">
        <v>1</v>
      </c>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f>N(I143)+N(S143)+N(AC143)</f>
        <v/>
      </c>
      <c r="AN143" s="2">
        <f>N(J143)+N(T143)+N(AD143)</f>
        <v/>
      </c>
      <c r="AO143" s="2">
        <f>N(K143)+N(U143)+N(AE143)</f>
        <v/>
      </c>
      <c r="AP143" s="2">
        <f>N(L143)+N(V143)+N(AF143)</f>
        <v/>
      </c>
      <c r="AQ143" s="2">
        <f>N(M143)+N(W143)+N(AG143)</f>
        <v/>
      </c>
      <c r="AR143" s="2">
        <f>N(N143)+N(X143)+N(AH143)</f>
        <v/>
      </c>
      <c r="AS143" s="2">
        <f>N(O143)+N(Y143)+N(AI143)</f>
        <v/>
      </c>
      <c r="AT143" s="2">
        <f>N(P143)+N(Z143)+N(AJ143)</f>
        <v/>
      </c>
      <c r="AU143" s="2">
        <f>N(Q143)+N(AA143)+N(AK143)</f>
        <v/>
      </c>
      <c r="AV143" s="2">
        <f>N(R143)+N(AB143)+N(AL143)</f>
        <v/>
      </c>
      <c r="AW143" s="2">
        <f>SUM(I143:R143)</f>
        <v/>
      </c>
      <c r="AX143" s="2">
        <f>SUM(S143:AB143)</f>
        <v/>
      </c>
      <c r="AY143" s="2">
        <f>SUM(AC143:AL143)</f>
        <v/>
      </c>
    </row>
    <row r="144">
      <c r="A144" s="2" t="inlineStr">
        <is>
          <t>eraser|both|erasers</t>
        </is>
      </c>
      <c r="B144" s="2" t="inlineStr">
        <is>
          <t>Eraser</t>
        </is>
      </c>
      <c r="C144" s="2" t="inlineStr">
        <is>
          <t>橡皮</t>
        </is>
      </c>
      <c r="D144" s="2" t="inlineStr">
        <is>
          <t>Collect or borrow</t>
        </is>
      </c>
      <c r="E144" s="2" t="inlineStr">
        <is>
          <t>Both plans</t>
        </is>
      </c>
      <c r="F144" s="2" t="inlineStr">
        <is>
          <t>Reusable</t>
        </is>
      </c>
      <c r="G144" s="2" t="inlineStr">
        <is>
          <t>erasers</t>
        </is>
      </c>
      <c r="H144" s="2">
        <f>IF(OR($E144="Both plans",'Read me'!$C$9="A and B",AND($E144="Plan A (freezer)",'Read me'!$C$9="A"),AND($E144="Plan B (no freezer)",'Read me'!$C$9="B")),1,0)</f>
        <v/>
      </c>
      <c r="I144" s="2" t="n"/>
      <c r="J144" s="2" t="n">
        <v>1</v>
      </c>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f>N(I144)+N(S144)+N(AC144)</f>
        <v/>
      </c>
      <c r="AN144" s="2">
        <f>N(J144)+N(T144)+N(AD144)</f>
        <v/>
      </c>
      <c r="AO144" s="2">
        <f>N(K144)+N(U144)+N(AE144)</f>
        <v/>
      </c>
      <c r="AP144" s="2">
        <f>N(L144)+N(V144)+N(AF144)</f>
        <v/>
      </c>
      <c r="AQ144" s="2">
        <f>N(M144)+N(W144)+N(AG144)</f>
        <v/>
      </c>
      <c r="AR144" s="2">
        <f>N(N144)+N(X144)+N(AH144)</f>
        <v/>
      </c>
      <c r="AS144" s="2">
        <f>N(O144)+N(Y144)+N(AI144)</f>
        <v/>
      </c>
      <c r="AT144" s="2">
        <f>N(P144)+N(Z144)+N(AJ144)</f>
        <v/>
      </c>
      <c r="AU144" s="2">
        <f>N(Q144)+N(AA144)+N(AK144)</f>
        <v/>
      </c>
      <c r="AV144" s="2">
        <f>N(R144)+N(AB144)+N(AL144)</f>
        <v/>
      </c>
      <c r="AW144" s="2">
        <f>SUM(I144:R144)</f>
        <v/>
      </c>
      <c r="AX144" s="2">
        <f>SUM(S144:AB144)</f>
        <v/>
      </c>
      <c r="AY144" s="2">
        <f>SUM(AC144:AL144)</f>
        <v/>
      </c>
    </row>
    <row r="145">
      <c r="A145" s="2" t="inlineStr">
        <is>
          <t>hardback_book|both|books</t>
        </is>
      </c>
      <c r="B145" s="2" t="inlineStr">
        <is>
          <t>Hardback books, flat cover, about A4</t>
        </is>
      </c>
      <c r="C145" s="2" t="inlineStr">
        <is>
          <t>精装书（硬封面，约A4）</t>
        </is>
      </c>
      <c r="D145" s="2" t="inlineStr">
        <is>
          <t>Collect or borrow</t>
        </is>
      </c>
      <c r="E145" s="2" t="inlineStr">
        <is>
          <t>Both plans</t>
        </is>
      </c>
      <c r="F145" s="2" t="inlineStr">
        <is>
          <t>Reusable</t>
        </is>
      </c>
      <c r="G145" s="2" t="inlineStr">
        <is>
          <t>books</t>
        </is>
      </c>
      <c r="H145" s="2">
        <f>IF(OR($E145="Both plans",'Read me'!$C$9="A and B",AND($E145="Plan A (freezer)",'Read me'!$C$9="A"),AND($E145="Plan B (no freezer)",'Read me'!$C$9="B")),1,0)</f>
        <v/>
      </c>
      <c r="I145" s="2" t="n"/>
      <c r="J145" s="2" t="n">
        <v>1</v>
      </c>
      <c r="K145" s="2" t="n"/>
      <c r="L145" s="2" t="n"/>
      <c r="M145" s="2" t="n"/>
      <c r="N145" s="2" t="n"/>
      <c r="O145" s="2" t="n"/>
      <c r="P145" s="2" t="n"/>
      <c r="Q145" s="2" t="n"/>
      <c r="R145" s="2" t="n"/>
      <c r="S145" s="2" t="n"/>
      <c r="T145" s="2" t="n"/>
      <c r="U145" s="2" t="n"/>
      <c r="V145" s="2" t="n"/>
      <c r="W145" s="2" t="n"/>
      <c r="X145" s="2" t="n">
        <v>6</v>
      </c>
      <c r="Y145" s="2" t="n"/>
      <c r="Z145" s="2" t="n"/>
      <c r="AA145" s="2" t="n"/>
      <c r="AB145" s="2" t="n"/>
      <c r="AC145" s="2" t="n"/>
      <c r="AD145" s="2" t="n"/>
      <c r="AE145" s="2" t="n"/>
      <c r="AF145" s="2" t="n">
        <v>6</v>
      </c>
      <c r="AG145" s="2" t="n"/>
      <c r="AH145" s="2" t="n"/>
      <c r="AI145" s="2" t="n"/>
      <c r="AJ145" s="2" t="n">
        <v>1</v>
      </c>
      <c r="AK145" s="2" t="n"/>
      <c r="AL145" s="2" t="n"/>
      <c r="AM145" s="2">
        <f>N(I145)+N(S145)+N(AC145)</f>
        <v/>
      </c>
      <c r="AN145" s="2">
        <f>N(J145)+N(T145)+N(AD145)</f>
        <v/>
      </c>
      <c r="AO145" s="2">
        <f>N(K145)+N(U145)+N(AE145)</f>
        <v/>
      </c>
      <c r="AP145" s="2">
        <f>N(L145)+N(V145)+N(AF145)</f>
        <v/>
      </c>
      <c r="AQ145" s="2">
        <f>N(M145)+N(W145)+N(AG145)</f>
        <v/>
      </c>
      <c r="AR145" s="2">
        <f>N(N145)+N(X145)+N(AH145)</f>
        <v/>
      </c>
      <c r="AS145" s="2">
        <f>N(O145)+N(Y145)+N(AI145)</f>
        <v/>
      </c>
      <c r="AT145" s="2">
        <f>N(P145)+N(Z145)+N(AJ145)</f>
        <v/>
      </c>
      <c r="AU145" s="2">
        <f>N(Q145)+N(AA145)+N(AK145)</f>
        <v/>
      </c>
      <c r="AV145" s="2">
        <f>N(R145)+N(AB145)+N(AL145)</f>
        <v/>
      </c>
      <c r="AW145" s="2">
        <f>SUM(I145:R145)</f>
        <v/>
      </c>
      <c r="AX145" s="2">
        <f>SUM(S145:AB145)</f>
        <v/>
      </c>
      <c r="AY145" s="2">
        <f>SUM(AC145:AL145)</f>
        <v/>
      </c>
    </row>
    <row r="146">
      <c r="A146" s="2" t="inlineStr">
        <is>
          <t>marbles|both|marbles</t>
        </is>
      </c>
      <c r="B146" s="2" t="inlineStr">
        <is>
          <t>Marbles</t>
        </is>
      </c>
      <c r="C146" s="2" t="inlineStr">
        <is>
          <t>玻璃弹珠</t>
        </is>
      </c>
      <c r="D146" s="2" t="inlineStr">
        <is>
          <t>Collect or borrow</t>
        </is>
      </c>
      <c r="E146" s="2" t="inlineStr">
        <is>
          <t>Both plans</t>
        </is>
      </c>
      <c r="F146" s="2" t="inlineStr">
        <is>
          <t>Reusable</t>
        </is>
      </c>
      <c r="G146" s="2" t="inlineStr">
        <is>
          <t>marbles</t>
        </is>
      </c>
      <c r="H146" s="2">
        <f>IF(OR($E146="Both plans",'Read me'!$C$9="A and B",AND($E146="Plan A (freezer)",'Read me'!$C$9="A"),AND($E146="Plan B (no freezer)",'Read me'!$C$9="B")),1,0)</f>
        <v/>
      </c>
      <c r="I146" s="2" t="n"/>
      <c r="J146" s="2" t="n">
        <v>3</v>
      </c>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f>N(I146)+N(S146)+N(AC146)</f>
        <v/>
      </c>
      <c r="AN146" s="2">
        <f>N(J146)+N(T146)+N(AD146)</f>
        <v/>
      </c>
      <c r="AO146" s="2">
        <f>N(K146)+N(U146)+N(AE146)</f>
        <v/>
      </c>
      <c r="AP146" s="2">
        <f>N(L146)+N(V146)+N(AF146)</f>
        <v/>
      </c>
      <c r="AQ146" s="2">
        <f>N(M146)+N(W146)+N(AG146)</f>
        <v/>
      </c>
      <c r="AR146" s="2">
        <f>N(N146)+N(X146)+N(AH146)</f>
        <v/>
      </c>
      <c r="AS146" s="2">
        <f>N(O146)+N(Y146)+N(AI146)</f>
        <v/>
      </c>
      <c r="AT146" s="2">
        <f>N(P146)+N(Z146)+N(AJ146)</f>
        <v/>
      </c>
      <c r="AU146" s="2">
        <f>N(Q146)+N(AA146)+N(AK146)</f>
        <v/>
      </c>
      <c r="AV146" s="2">
        <f>N(R146)+N(AB146)+N(AL146)</f>
        <v/>
      </c>
      <c r="AW146" s="2">
        <f>SUM(I146:R146)</f>
        <v/>
      </c>
      <c r="AX146" s="2">
        <f>SUM(S146:AB146)</f>
        <v/>
      </c>
      <c r="AY146" s="2">
        <f>SUM(AC146:AL146)</f>
        <v/>
      </c>
    </row>
    <row r="147">
      <c r="A147" s="2" t="inlineStr">
        <is>
          <t>paper_scrap_a4|both|sheets</t>
        </is>
      </c>
      <c r="B147" s="2" t="inlineStr">
        <is>
          <t>Scrap paper, A4 (used or spare)</t>
        </is>
      </c>
      <c r="C147" s="2" t="inlineStr">
        <is>
          <t>废纸（A4，旧纸即可）</t>
        </is>
      </c>
      <c r="D147" s="2" t="inlineStr">
        <is>
          <t>Collect or borrow</t>
        </is>
      </c>
      <c r="E147" s="2" t="inlineStr">
        <is>
          <t>Both plans</t>
        </is>
      </c>
      <c r="F147" s="2" t="inlineStr">
        <is>
          <t>Used up</t>
        </is>
      </c>
      <c r="G147" s="2" t="inlineStr">
        <is>
          <t>sheets</t>
        </is>
      </c>
      <c r="H147" s="2">
        <f>IF(OR($E147="Both plans",'Read me'!$C$9="A and B",AND($E147="Plan A (freezer)",'Read me'!$C$9="A"),AND($E147="Plan B (no freezer)",'Read me'!$C$9="B")),1,0)</f>
        <v/>
      </c>
      <c r="I147" s="2" t="n"/>
      <c r="J147" s="2" t="n"/>
      <c r="K147" s="2" t="n"/>
      <c r="L147" s="2" t="n"/>
      <c r="M147" s="2" t="n"/>
      <c r="N147" s="2" t="n"/>
      <c r="O147" s="2" t="n"/>
      <c r="P147" s="2" t="n"/>
      <c r="Q147" s="2" t="n"/>
      <c r="R147" s="2" t="n"/>
      <c r="S147" s="2" t="n"/>
      <c r="T147" s="2" t="n">
        <v>24</v>
      </c>
      <c r="U147" s="2" t="n"/>
      <c r="V147" s="2" t="n"/>
      <c r="W147" s="2" t="n"/>
      <c r="X147" s="2" t="n"/>
      <c r="Y147" s="2" t="n"/>
      <c r="Z147" s="2" t="n"/>
      <c r="AA147" s="2" t="n"/>
      <c r="AB147" s="2" t="n"/>
      <c r="AC147" s="2" t="n"/>
      <c r="AD147" s="2" t="n"/>
      <c r="AE147" s="2" t="n"/>
      <c r="AF147" s="2" t="n"/>
      <c r="AG147" s="2" t="n"/>
      <c r="AH147" s="2" t="n"/>
      <c r="AI147" s="2" t="n"/>
      <c r="AJ147" s="2" t="n"/>
      <c r="AK147" s="2" t="n"/>
      <c r="AL147" s="2" t="n"/>
      <c r="AM147" s="2">
        <f>N(I147)+N(S147)+N(AC147)</f>
        <v/>
      </c>
      <c r="AN147" s="2">
        <f>N(J147)+N(T147)+N(AD147)</f>
        <v/>
      </c>
      <c r="AO147" s="2">
        <f>N(K147)+N(U147)+N(AE147)</f>
        <v/>
      </c>
      <c r="AP147" s="2">
        <f>N(L147)+N(V147)+N(AF147)</f>
        <v/>
      </c>
      <c r="AQ147" s="2">
        <f>N(M147)+N(W147)+N(AG147)</f>
        <v/>
      </c>
      <c r="AR147" s="2">
        <f>N(N147)+N(X147)+N(AH147)</f>
        <v/>
      </c>
      <c r="AS147" s="2">
        <f>N(O147)+N(Y147)+N(AI147)</f>
        <v/>
      </c>
      <c r="AT147" s="2">
        <f>N(P147)+N(Z147)+N(AJ147)</f>
        <v/>
      </c>
      <c r="AU147" s="2">
        <f>N(Q147)+N(AA147)+N(AK147)</f>
        <v/>
      </c>
      <c r="AV147" s="2">
        <f>N(R147)+N(AB147)+N(AL147)</f>
        <v/>
      </c>
      <c r="AW147" s="2">
        <f>SUM(I147:R147)</f>
        <v/>
      </c>
      <c r="AX147" s="2">
        <f>SUM(S147:AB147)</f>
        <v/>
      </c>
      <c r="AY147" s="2">
        <f>SUM(AC147:AL147)</f>
        <v/>
      </c>
    </row>
    <row r="148">
      <c r="A148" s="2" t="inlineStr">
        <is>
          <t>bell_small|both|bells</t>
        </is>
      </c>
      <c r="B148" s="2" t="inlineStr">
        <is>
          <t>Small bell (mystery cup object)</t>
        </is>
      </c>
      <c r="C148" s="2" t="inlineStr">
        <is>
          <t>小铃铛</t>
        </is>
      </c>
      <c r="D148" s="2" t="inlineStr">
        <is>
          <t>Collect or borrow</t>
        </is>
      </c>
      <c r="E148" s="2" t="inlineStr">
        <is>
          <t>Both plans</t>
        </is>
      </c>
      <c r="F148" s="2" t="inlineStr">
        <is>
          <t>Reusable</t>
        </is>
      </c>
      <c r="G148" s="2" t="inlineStr">
        <is>
          <t>bells</t>
        </is>
      </c>
      <c r="H148" s="2">
        <f>IF(OR($E148="Both plans",'Read me'!$C$9="A and B",AND($E148="Plan A (freezer)",'Read me'!$C$9="A"),AND($E148="Plan B (no freezer)",'Read me'!$C$9="B")),1,0)</f>
        <v/>
      </c>
      <c r="I148" s="2" t="n"/>
      <c r="J148" s="2" t="n">
        <v>1</v>
      </c>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f>N(I148)+N(S148)+N(AC148)</f>
        <v/>
      </c>
      <c r="AN148" s="2">
        <f>N(J148)+N(T148)+N(AD148)</f>
        <v/>
      </c>
      <c r="AO148" s="2">
        <f>N(K148)+N(U148)+N(AE148)</f>
        <v/>
      </c>
      <c r="AP148" s="2">
        <f>N(L148)+N(V148)+N(AF148)</f>
        <v/>
      </c>
      <c r="AQ148" s="2">
        <f>N(M148)+N(W148)+N(AG148)</f>
        <v/>
      </c>
      <c r="AR148" s="2">
        <f>N(N148)+N(X148)+N(AH148)</f>
        <v/>
      </c>
      <c r="AS148" s="2">
        <f>N(O148)+N(Y148)+N(AI148)</f>
        <v/>
      </c>
      <c r="AT148" s="2">
        <f>N(P148)+N(Z148)+N(AJ148)</f>
        <v/>
      </c>
      <c r="AU148" s="2">
        <f>N(Q148)+N(AA148)+N(AK148)</f>
        <v/>
      </c>
      <c r="AV148" s="2">
        <f>N(R148)+N(AB148)+N(AL148)</f>
        <v/>
      </c>
      <c r="AW148" s="2">
        <f>SUM(I148:R148)</f>
        <v/>
      </c>
      <c r="AX148" s="2">
        <f>SUM(S148:AB148)</f>
        <v/>
      </c>
      <c r="AY148" s="2">
        <f>SUM(AC148:AL148)</f>
        <v/>
      </c>
    </row>
    <row r="149">
      <c r="A149" s="2" t="inlineStr">
        <is>
          <t>wooden_block_small|both|blocks</t>
        </is>
      </c>
      <c r="B149" s="2" t="inlineStr">
        <is>
          <t>Small wooden block (mystery cup object)</t>
        </is>
      </c>
      <c r="C149" s="2" t="inlineStr">
        <is>
          <t>小木块</t>
        </is>
      </c>
      <c r="D149" s="2" t="inlineStr">
        <is>
          <t>Collect or borrow</t>
        </is>
      </c>
      <c r="E149" s="2" t="inlineStr">
        <is>
          <t>Both plans</t>
        </is>
      </c>
      <c r="F149" s="2" t="inlineStr">
        <is>
          <t>Reusable</t>
        </is>
      </c>
      <c r="G149" s="2" t="inlineStr">
        <is>
          <t>blocks</t>
        </is>
      </c>
      <c r="H149" s="2">
        <f>IF(OR($E149="Both plans",'Read me'!$C$9="A and B",AND($E149="Plan A (freezer)",'Read me'!$C$9="A"),AND($E149="Plan B (no freezer)",'Read me'!$C$9="B")),1,0)</f>
        <v/>
      </c>
      <c r="I149" s="2" t="n"/>
      <c r="J149" s="2" t="n">
        <v>1</v>
      </c>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f>N(I149)+N(S149)+N(AC149)</f>
        <v/>
      </c>
      <c r="AN149" s="2">
        <f>N(J149)+N(T149)+N(AD149)</f>
        <v/>
      </c>
      <c r="AO149" s="2">
        <f>N(K149)+N(U149)+N(AE149)</f>
        <v/>
      </c>
      <c r="AP149" s="2">
        <f>N(L149)+N(V149)+N(AF149)</f>
        <v/>
      </c>
      <c r="AQ149" s="2">
        <f>N(M149)+N(W149)+N(AG149)</f>
        <v/>
      </c>
      <c r="AR149" s="2">
        <f>N(N149)+N(X149)+N(AH149)</f>
        <v/>
      </c>
      <c r="AS149" s="2">
        <f>N(O149)+N(Y149)+N(AI149)</f>
        <v/>
      </c>
      <c r="AT149" s="2">
        <f>N(P149)+N(Z149)+N(AJ149)</f>
        <v/>
      </c>
      <c r="AU149" s="2">
        <f>N(Q149)+N(AA149)+N(AK149)</f>
        <v/>
      </c>
      <c r="AV149" s="2">
        <f>N(R149)+N(AB149)+N(AL149)</f>
        <v/>
      </c>
      <c r="AW149" s="2">
        <f>SUM(I149:R149)</f>
        <v/>
      </c>
      <c r="AX149" s="2">
        <f>SUM(S149:AB149)</f>
        <v/>
      </c>
      <c r="AY149" s="2">
        <f>SUM(AC149:AL149)</f>
        <v/>
      </c>
    </row>
    <row r="150">
      <c r="A150" s="2" t="inlineStr">
        <is>
          <t>device_phone_tablet|both|device</t>
        </is>
      </c>
      <c r="B150" s="2" t="inlineStr">
        <is>
          <t>Phone, tablet or camera (teacher's own)</t>
        </is>
      </c>
      <c r="C150" s="2" t="inlineStr">
        <is>
          <t>手机、平板电脑或相机（教师自备）</t>
        </is>
      </c>
      <c r="D150" s="2" t="inlineStr">
        <is>
          <t>Collect or borrow</t>
        </is>
      </c>
      <c r="E150" s="2" t="inlineStr">
        <is>
          <t>Both plans</t>
        </is>
      </c>
      <c r="F150" s="2" t="inlineStr">
        <is>
          <t>Reusable</t>
        </is>
      </c>
      <c r="G150" s="2" t="inlineStr">
        <is>
          <t>device</t>
        </is>
      </c>
      <c r="H150" s="2">
        <f>IF(OR($E150="Both plans",'Read me'!$C$9="A and B",AND($E150="Plan A (freezer)",'Read me'!$C$9="A"),AND($E150="Plan B (no freezer)",'Read me'!$C$9="B")),1,0)</f>
        <v/>
      </c>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v>1</v>
      </c>
      <c r="AG150" s="2" t="n"/>
      <c r="AH150" s="2" t="n"/>
      <c r="AI150" s="2" t="n"/>
      <c r="AJ150" s="2" t="n">
        <v>1</v>
      </c>
      <c r="AK150" s="2" t="n"/>
      <c r="AL150" s="2" t="n">
        <v>1</v>
      </c>
      <c r="AM150" s="2">
        <f>N(I150)+N(S150)+N(AC150)</f>
        <v/>
      </c>
      <c r="AN150" s="2">
        <f>N(J150)+N(T150)+N(AD150)</f>
        <v/>
      </c>
      <c r="AO150" s="2">
        <f>N(K150)+N(U150)+N(AE150)</f>
        <v/>
      </c>
      <c r="AP150" s="2">
        <f>N(L150)+N(V150)+N(AF150)</f>
        <v/>
      </c>
      <c r="AQ150" s="2">
        <f>N(M150)+N(W150)+N(AG150)</f>
        <v/>
      </c>
      <c r="AR150" s="2">
        <f>N(N150)+N(X150)+N(AH150)</f>
        <v/>
      </c>
      <c r="AS150" s="2">
        <f>N(O150)+N(Y150)+N(AI150)</f>
        <v/>
      </c>
      <c r="AT150" s="2">
        <f>N(P150)+N(Z150)+N(AJ150)</f>
        <v/>
      </c>
      <c r="AU150" s="2">
        <f>N(Q150)+N(AA150)+N(AK150)</f>
        <v/>
      </c>
      <c r="AV150" s="2">
        <f>N(R150)+N(AB150)+N(AL150)</f>
        <v/>
      </c>
      <c r="AW150" s="2">
        <f>SUM(I150:R150)</f>
        <v/>
      </c>
      <c r="AX150" s="2">
        <f>SUM(S150:AB150)</f>
        <v/>
      </c>
      <c r="AY150" s="2">
        <f>SUM(AC150:AL150)</f>
        <v/>
      </c>
    </row>
    <row r="151">
      <c r="A151" s="2" t="inlineStr">
        <is>
          <t>bottles_plastic_500ml|both|bottles</t>
        </is>
      </c>
      <c r="B151" s="2" t="inlineStr">
        <is>
          <t>Plastic bottles, 500 ml, identical, clean</t>
        </is>
      </c>
      <c r="C151" s="2" t="inlineStr">
        <is>
          <t>塑料瓶（500毫升，同款，洗净）</t>
        </is>
      </c>
      <c r="D151" s="2" t="inlineStr">
        <is>
          <t>Collect or borrow</t>
        </is>
      </c>
      <c r="E151" s="2" t="inlineStr">
        <is>
          <t>Both plans</t>
        </is>
      </c>
      <c r="F151" s="2" t="inlineStr">
        <is>
          <t>Reusable</t>
        </is>
      </c>
      <c r="G151" s="2" t="inlineStr">
        <is>
          <t>bottles</t>
        </is>
      </c>
      <c r="H151" s="2">
        <f>IF(OR($E151="Both plans",'Read me'!$C$9="A and B",AND($E151="Plan A (freezer)",'Read me'!$C$9="A"),AND($E151="Plan B (no freezer)",'Read me'!$C$9="B")),1,0)</f>
        <v/>
      </c>
      <c r="I151" s="2" t="n"/>
      <c r="J151" s="2" t="n"/>
      <c r="K151" s="2" t="n"/>
      <c r="L151" s="2" t="n"/>
      <c r="M151" s="2" t="n"/>
      <c r="N151" s="2" t="n"/>
      <c r="O151" s="2" t="n"/>
      <c r="P151" s="2" t="n"/>
      <c r="Q151" s="2" t="n"/>
      <c r="R151" s="2" t="n"/>
      <c r="S151" s="2" t="n"/>
      <c r="T151" s="2" t="n"/>
      <c r="U151" s="2" t="n"/>
      <c r="V151" s="2" t="n"/>
      <c r="W151" s="2" t="n">
        <v>1</v>
      </c>
      <c r="X151" s="2" t="n"/>
      <c r="Y151" s="2" t="n"/>
      <c r="Z151" s="2" t="n"/>
      <c r="AA151" s="2" t="n"/>
      <c r="AB151" s="2" t="n"/>
      <c r="AC151" s="2" t="n"/>
      <c r="AD151" s="2" t="n"/>
      <c r="AE151" s="2" t="n"/>
      <c r="AF151" s="2" t="n"/>
      <c r="AG151" s="2" t="n"/>
      <c r="AH151" s="2" t="n"/>
      <c r="AI151" s="2" t="n"/>
      <c r="AJ151" s="2" t="n">
        <v>6</v>
      </c>
      <c r="AK151" s="2" t="n"/>
      <c r="AL151" s="2" t="n"/>
      <c r="AM151" s="2">
        <f>N(I151)+N(S151)+N(AC151)</f>
        <v/>
      </c>
      <c r="AN151" s="2">
        <f>N(J151)+N(T151)+N(AD151)</f>
        <v/>
      </c>
      <c r="AO151" s="2">
        <f>N(K151)+N(U151)+N(AE151)</f>
        <v/>
      </c>
      <c r="AP151" s="2">
        <f>N(L151)+N(V151)+N(AF151)</f>
        <v/>
      </c>
      <c r="AQ151" s="2">
        <f>N(M151)+N(W151)+N(AG151)</f>
        <v/>
      </c>
      <c r="AR151" s="2">
        <f>N(N151)+N(X151)+N(AH151)</f>
        <v/>
      </c>
      <c r="AS151" s="2">
        <f>N(O151)+N(Y151)+N(AI151)</f>
        <v/>
      </c>
      <c r="AT151" s="2">
        <f>N(P151)+N(Z151)+N(AJ151)</f>
        <v/>
      </c>
      <c r="AU151" s="2">
        <f>N(Q151)+N(AA151)+N(AK151)</f>
        <v/>
      </c>
      <c r="AV151" s="2">
        <f>N(R151)+N(AB151)+N(AL151)</f>
        <v/>
      </c>
      <c r="AW151" s="2">
        <f>SUM(I151:R151)</f>
        <v/>
      </c>
      <c r="AX151" s="2">
        <f>SUM(S151:AB151)</f>
        <v/>
      </c>
      <c r="AY151" s="2">
        <f>SUM(AC151:AL151)</f>
        <v/>
      </c>
    </row>
    <row r="152">
      <c r="A152" s="2" t="inlineStr">
        <is>
          <t>bags_carrier_handles|both|bags</t>
        </is>
      </c>
      <c r="B152" s="2" t="inlineStr">
        <is>
          <t>Small carrier bags or freezer bags with handles</t>
        </is>
      </c>
      <c r="C152" s="2" t="inlineStr">
        <is>
          <t>带提手的小塑料袋或冷冻袋</t>
        </is>
      </c>
      <c r="D152" s="2" t="inlineStr">
        <is>
          <t>Collect or borrow</t>
        </is>
      </c>
      <c r="E152" s="2" t="inlineStr">
        <is>
          <t>Both plans</t>
        </is>
      </c>
      <c r="F152" s="2" t="inlineStr">
        <is>
          <t>Used up</t>
        </is>
      </c>
      <c r="G152" s="2" t="inlineStr">
        <is>
          <t>bags</t>
        </is>
      </c>
      <c r="H152" s="2">
        <f>IF(OR($E152="Both plans",'Read me'!$C$9="A and B",AND($E152="Plan A (freezer)",'Read me'!$C$9="A"),AND($E152="Plan B (no freezer)",'Read me'!$C$9="B")),1,0)</f>
        <v/>
      </c>
      <c r="I152" s="2" t="n"/>
      <c r="J152" s="2" t="n"/>
      <c r="K152" s="2" t="n"/>
      <c r="L152" s="2" t="n"/>
      <c r="M152" s="2" t="n">
        <v>1</v>
      </c>
      <c r="N152" s="2" t="n"/>
      <c r="O152" s="2" t="n"/>
      <c r="P152" s="2" t="n">
        <v>13</v>
      </c>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f>N(I152)+N(S152)+N(AC152)</f>
        <v/>
      </c>
      <c r="AN152" s="2">
        <f>N(J152)+N(T152)+N(AD152)</f>
        <v/>
      </c>
      <c r="AO152" s="2">
        <f>N(K152)+N(U152)+N(AE152)</f>
        <v/>
      </c>
      <c r="AP152" s="2">
        <f>N(L152)+N(V152)+N(AF152)</f>
        <v/>
      </c>
      <c r="AQ152" s="2">
        <f>N(M152)+N(W152)+N(AG152)</f>
        <v/>
      </c>
      <c r="AR152" s="2">
        <f>N(N152)+N(X152)+N(AH152)</f>
        <v/>
      </c>
      <c r="AS152" s="2">
        <f>N(O152)+N(Y152)+N(AI152)</f>
        <v/>
      </c>
      <c r="AT152" s="2">
        <f>N(P152)+N(Z152)+N(AJ152)</f>
        <v/>
      </c>
      <c r="AU152" s="2">
        <f>N(Q152)+N(AA152)+N(AK152)</f>
        <v/>
      </c>
      <c r="AV152" s="2">
        <f>N(R152)+N(AB152)+N(AL152)</f>
        <v/>
      </c>
      <c r="AW152" s="2">
        <f>SUM(I152:R152)</f>
        <v/>
      </c>
      <c r="AX152" s="2">
        <f>SUM(S152:AB152)</f>
        <v/>
      </c>
      <c r="AY152" s="2">
        <f>SUM(AC152:AL152)</f>
        <v/>
      </c>
    </row>
    <row r="153">
      <c r="A153" s="2" t="inlineStr">
        <is>
          <t>textbooks_stacks|both|books</t>
        </is>
      </c>
      <c r="B153" s="2" t="inlineStr">
        <is>
          <t>Textbooks for book stacks</t>
        </is>
      </c>
      <c r="C153" s="2" t="inlineStr">
        <is>
          <t>课本（叠成书堆用）</t>
        </is>
      </c>
      <c r="D153" s="2" t="inlineStr">
        <is>
          <t>Collect or borrow</t>
        </is>
      </c>
      <c r="E153" s="2" t="inlineStr">
        <is>
          <t>Both plans</t>
        </is>
      </c>
      <c r="F153" s="2" t="inlineStr">
        <is>
          <t>Reusable</t>
        </is>
      </c>
      <c r="G153" s="2" t="inlineStr">
        <is>
          <t>books</t>
        </is>
      </c>
      <c r="H153" s="2">
        <f>IF(OR($E153="Both plans",'Read me'!$C$9="A and B",AND($E153="Plan A (freezer)",'Read me'!$C$9="A"),AND($E153="Plan B (no freezer)",'Read me'!$C$9="B")),1,0)</f>
        <v/>
      </c>
      <c r="I153" s="2" t="n"/>
      <c r="J153" s="2" t="n"/>
      <c r="K153" s="2" t="n"/>
      <c r="L153" s="2" t="n"/>
      <c r="M153" s="2" t="n">
        <v>6</v>
      </c>
      <c r="N153" s="2" t="n"/>
      <c r="O153" s="2" t="n"/>
      <c r="P153" s="2" t="n">
        <v>78</v>
      </c>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f>N(I153)+N(S153)+N(AC153)</f>
        <v/>
      </c>
      <c r="AN153" s="2">
        <f>N(J153)+N(T153)+N(AD153)</f>
        <v/>
      </c>
      <c r="AO153" s="2">
        <f>N(K153)+N(U153)+N(AE153)</f>
        <v/>
      </c>
      <c r="AP153" s="2">
        <f>N(L153)+N(V153)+N(AF153)</f>
        <v/>
      </c>
      <c r="AQ153" s="2">
        <f>N(M153)+N(W153)+N(AG153)</f>
        <v/>
      </c>
      <c r="AR153" s="2">
        <f>N(N153)+N(X153)+N(AH153)</f>
        <v/>
      </c>
      <c r="AS153" s="2">
        <f>N(O153)+N(Y153)+N(AI153)</f>
        <v/>
      </c>
      <c r="AT153" s="2">
        <f>N(P153)+N(Z153)+N(AJ153)</f>
        <v/>
      </c>
      <c r="AU153" s="2">
        <f>N(Q153)+N(AA153)+N(AK153)</f>
        <v/>
      </c>
      <c r="AV153" s="2">
        <f>N(R153)+N(AB153)+N(AL153)</f>
        <v/>
      </c>
      <c r="AW153" s="2">
        <f>SUM(I153:R153)</f>
        <v/>
      </c>
      <c r="AX153" s="2">
        <f>SUM(S153:AB153)</f>
        <v/>
      </c>
      <c r="AY153" s="2">
        <f>SUM(AC153:AL153)</f>
        <v/>
      </c>
    </row>
    <row r="154">
      <c r="A154" s="2" t="inlineStr">
        <is>
          <t>wood_block_trough_template|both|blocks</t>
        </is>
      </c>
      <c r="B154" s="2" t="inlineStr">
        <is>
          <t>Wood offcut for the trough template block, 12 x 2 cm</t>
        </is>
      </c>
      <c r="C154" s="2" t="inlineStr">
        <is>
          <t>铝箔槽模具木块（12×2厘米）</t>
        </is>
      </c>
      <c r="D154" s="2" t="inlineStr">
        <is>
          <t>Collect or borrow</t>
        </is>
      </c>
      <c r="E154" s="2" t="inlineStr">
        <is>
          <t>Both plans</t>
        </is>
      </c>
      <c r="F154" s="2" t="inlineStr">
        <is>
          <t>Reusable</t>
        </is>
      </c>
      <c r="G154" s="2" t="inlineStr">
        <is>
          <t>blocks</t>
        </is>
      </c>
      <c r="H154" s="2">
        <f>IF(OR($E154="Both plans",'Read me'!$C$9="A and B",AND($E154="Plan A (freezer)",'Read me'!$C$9="A"),AND($E154="Plan B (no freezer)",'Read me'!$C$9="B")),1,0)</f>
        <v/>
      </c>
      <c r="I154" s="2" t="n"/>
      <c r="J154" s="2" t="n"/>
      <c r="K154" s="2" t="n"/>
      <c r="L154" s="2" t="n"/>
      <c r="M154" s="2" t="n">
        <v>1</v>
      </c>
      <c r="N154" s="2" t="n"/>
      <c r="O154" s="2" t="n">
        <v>1</v>
      </c>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f>N(I154)+N(S154)+N(AC154)</f>
        <v/>
      </c>
      <c r="AN154" s="2">
        <f>N(J154)+N(T154)+N(AD154)</f>
        <v/>
      </c>
      <c r="AO154" s="2">
        <f>N(K154)+N(U154)+N(AE154)</f>
        <v/>
      </c>
      <c r="AP154" s="2">
        <f>N(L154)+N(V154)+N(AF154)</f>
        <v/>
      </c>
      <c r="AQ154" s="2">
        <f>N(M154)+N(W154)+N(AG154)</f>
        <v/>
      </c>
      <c r="AR154" s="2">
        <f>N(N154)+N(X154)+N(AH154)</f>
        <v/>
      </c>
      <c r="AS154" s="2">
        <f>N(O154)+N(Y154)+N(AI154)</f>
        <v/>
      </c>
      <c r="AT154" s="2">
        <f>N(P154)+N(Z154)+N(AJ154)</f>
        <v/>
      </c>
      <c r="AU154" s="2">
        <f>N(Q154)+N(AA154)+N(AK154)</f>
        <v/>
      </c>
      <c r="AV154" s="2">
        <f>N(R154)+N(AB154)+N(AL154)</f>
        <v/>
      </c>
      <c r="AW154" s="2">
        <f>SUM(I154:R154)</f>
        <v/>
      </c>
      <c r="AX154" s="2">
        <f>SUM(S154:AB154)</f>
        <v/>
      </c>
      <c r="AY154" s="2">
        <f>SUM(AC154:AL154)</f>
        <v/>
      </c>
    </row>
    <row r="155">
      <c r="A155" s="2" t="inlineStr">
        <is>
          <t>bubble_wrap|both|pieces</t>
        </is>
      </c>
      <c r="B155" s="2" t="inlineStr">
        <is>
          <t>Bubble wrap</t>
        </is>
      </c>
      <c r="C155" s="2" t="inlineStr">
        <is>
          <t>气泡膜</t>
        </is>
      </c>
      <c r="D155" s="2" t="inlineStr">
        <is>
          <t>Collect or borrow</t>
        </is>
      </c>
      <c r="E155" s="2" t="inlineStr">
        <is>
          <t>Both plans</t>
        </is>
      </c>
      <c r="F155" s="2" t="inlineStr">
        <is>
          <t>Reusable</t>
        </is>
      </c>
      <c r="G155" s="2" t="inlineStr">
        <is>
          <t>pieces</t>
        </is>
      </c>
      <c r="H155" s="2">
        <f>IF(OR($E155="Both plans",'Read me'!$C$9="A and B",AND($E155="Plan A (freezer)",'Read me'!$C$9="A"),AND($E155="Plan B (no freezer)",'Read me'!$C$9="B")),1,0)</f>
        <v/>
      </c>
      <c r="I155" s="2" t="n"/>
      <c r="J155" s="2" t="n"/>
      <c r="K155" s="2" t="n"/>
      <c r="L155" s="2" t="n"/>
      <c r="M155" s="2" t="n"/>
      <c r="N155" s="2" t="n">
        <v>6</v>
      </c>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f>N(I155)+N(S155)+N(AC155)</f>
        <v/>
      </c>
      <c r="AN155" s="2">
        <f>N(J155)+N(T155)+N(AD155)</f>
        <v/>
      </c>
      <c r="AO155" s="2">
        <f>N(K155)+N(U155)+N(AE155)</f>
        <v/>
      </c>
      <c r="AP155" s="2">
        <f>N(L155)+N(V155)+N(AF155)</f>
        <v/>
      </c>
      <c r="AQ155" s="2">
        <f>N(M155)+N(W155)+N(AG155)</f>
        <v/>
      </c>
      <c r="AR155" s="2">
        <f>N(N155)+N(X155)+N(AH155)</f>
        <v/>
      </c>
      <c r="AS155" s="2">
        <f>N(O155)+N(Y155)+N(AI155)</f>
        <v/>
      </c>
      <c r="AT155" s="2">
        <f>N(P155)+N(Z155)+N(AJ155)</f>
        <v/>
      </c>
      <c r="AU155" s="2">
        <f>N(Q155)+N(AA155)+N(AK155)</f>
        <v/>
      </c>
      <c r="AV155" s="2">
        <f>N(R155)+N(AB155)+N(AL155)</f>
        <v/>
      </c>
      <c r="AW155" s="2">
        <f>SUM(I155:R155)</f>
        <v/>
      </c>
      <c r="AX155" s="2">
        <f>SUM(S155:AB155)</f>
        <v/>
      </c>
      <c r="AY155" s="2">
        <f>SUM(AC155:AL155)</f>
        <v/>
      </c>
    </row>
    <row r="156">
      <c r="A156" s="2" t="inlineStr">
        <is>
          <t>fabric_scraps|both|pieces</t>
        </is>
      </c>
      <c r="B156" s="2" t="inlineStr">
        <is>
          <t>Fabric scraps, one type, same size</t>
        </is>
      </c>
      <c r="C156" s="2" t="inlineStr">
        <is>
          <t>布料碎片（同种布料、同样大小）</t>
        </is>
      </c>
      <c r="D156" s="2" t="inlineStr">
        <is>
          <t>Collect or borrow</t>
        </is>
      </c>
      <c r="E156" s="2" t="inlineStr">
        <is>
          <t>Both plans</t>
        </is>
      </c>
      <c r="F156" s="2" t="inlineStr">
        <is>
          <t>Reusable</t>
        </is>
      </c>
      <c r="G156" s="2" t="inlineStr">
        <is>
          <t>pieces</t>
        </is>
      </c>
      <c r="H156" s="2">
        <f>IF(OR($E156="Both plans",'Read me'!$C$9="A and B",AND($E156="Plan A (freezer)",'Read me'!$C$9="A"),AND($E156="Plan B (no freezer)",'Read me'!$C$9="B")),1,0)</f>
        <v/>
      </c>
      <c r="I156" s="2" t="n"/>
      <c r="J156" s="2" t="n"/>
      <c r="K156" s="2" t="n"/>
      <c r="L156" s="2" t="n"/>
      <c r="M156" s="2" t="n"/>
      <c r="N156" s="2" t="n">
        <v>6</v>
      </c>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v>9</v>
      </c>
      <c r="AK156" s="2" t="n"/>
      <c r="AL156" s="2" t="n"/>
      <c r="AM156" s="2">
        <f>N(I156)+N(S156)+N(AC156)</f>
        <v/>
      </c>
      <c r="AN156" s="2">
        <f>N(J156)+N(T156)+N(AD156)</f>
        <v/>
      </c>
      <c r="AO156" s="2">
        <f>N(K156)+N(U156)+N(AE156)</f>
        <v/>
      </c>
      <c r="AP156" s="2">
        <f>N(L156)+N(V156)+N(AF156)</f>
        <v/>
      </c>
      <c r="AQ156" s="2">
        <f>N(M156)+N(W156)+N(AG156)</f>
        <v/>
      </c>
      <c r="AR156" s="2">
        <f>N(N156)+N(X156)+N(AH156)</f>
        <v/>
      </c>
      <c r="AS156" s="2">
        <f>N(O156)+N(Y156)+N(AI156)</f>
        <v/>
      </c>
      <c r="AT156" s="2">
        <f>N(P156)+N(Z156)+N(AJ156)</f>
        <v/>
      </c>
      <c r="AU156" s="2">
        <f>N(Q156)+N(AA156)+N(AK156)</f>
        <v/>
      </c>
      <c r="AV156" s="2">
        <f>N(R156)+N(AB156)+N(AL156)</f>
        <v/>
      </c>
      <c r="AW156" s="2">
        <f>SUM(I156:R156)</f>
        <v/>
      </c>
      <c r="AX156" s="2">
        <f>SUM(S156:AB156)</f>
        <v/>
      </c>
      <c r="AY156" s="2">
        <f>SUM(AC156:AL156)</f>
        <v/>
      </c>
    </row>
    <row r="157">
      <c r="A157" s="2" t="inlineStr">
        <is>
          <t>newspaper|both|pieces</t>
        </is>
      </c>
      <c r="B157" s="2" t="inlineStr">
        <is>
          <t>Newspaper</t>
        </is>
      </c>
      <c r="C157" s="2" t="inlineStr">
        <is>
          <t>报纸</t>
        </is>
      </c>
      <c r="D157" s="2" t="inlineStr">
        <is>
          <t>Collect or borrow</t>
        </is>
      </c>
      <c r="E157" s="2" t="inlineStr">
        <is>
          <t>Both plans</t>
        </is>
      </c>
      <c r="F157" s="2" t="inlineStr">
        <is>
          <t>Used up</t>
        </is>
      </c>
      <c r="G157" s="2" t="inlineStr">
        <is>
          <t>pieces</t>
        </is>
      </c>
      <c r="H157" s="2">
        <f>IF(OR($E157="Both plans",'Read me'!$C$9="A and B",AND($E157="Plan A (freezer)",'Read me'!$C$9="A"),AND($E157="Plan B (no freezer)",'Read me'!$C$9="B")),1,0)</f>
        <v/>
      </c>
      <c r="I157" s="2" t="n"/>
      <c r="J157" s="2" t="n"/>
      <c r="K157" s="2" t="n"/>
      <c r="L157" s="2" t="n"/>
      <c r="M157" s="2" t="n"/>
      <c r="N157" s="2" t="n">
        <v>12</v>
      </c>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f>N(I157)+N(S157)+N(AC157)</f>
        <v/>
      </c>
      <c r="AN157" s="2">
        <f>N(J157)+N(T157)+N(AD157)</f>
        <v/>
      </c>
      <c r="AO157" s="2">
        <f>N(K157)+N(U157)+N(AE157)</f>
        <v/>
      </c>
      <c r="AP157" s="2">
        <f>N(L157)+N(V157)+N(AF157)</f>
        <v/>
      </c>
      <c r="AQ157" s="2">
        <f>N(M157)+N(W157)+N(AG157)</f>
        <v/>
      </c>
      <c r="AR157" s="2">
        <f>N(N157)+N(X157)+N(AH157)</f>
        <v/>
      </c>
      <c r="AS157" s="2">
        <f>N(O157)+N(Y157)+N(AI157)</f>
        <v/>
      </c>
      <c r="AT157" s="2">
        <f>N(P157)+N(Z157)+N(AJ157)</f>
        <v/>
      </c>
      <c r="AU157" s="2">
        <f>N(Q157)+N(AA157)+N(AK157)</f>
        <v/>
      </c>
      <c r="AV157" s="2">
        <f>N(R157)+N(AB157)+N(AL157)</f>
        <v/>
      </c>
      <c r="AW157" s="2">
        <f>SUM(I157:R157)</f>
        <v/>
      </c>
      <c r="AX157" s="2">
        <f>SUM(S157:AB157)</f>
        <v/>
      </c>
      <c r="AY157" s="2">
        <f>SUM(AC157:AL157)</f>
        <v/>
      </c>
    </row>
    <row r="158">
      <c r="A158" s="2" t="inlineStr">
        <is>
          <t>shredded_paper|both|g</t>
        </is>
      </c>
      <c r="B158" s="2" t="inlineStr">
        <is>
          <t>Shredded paper, finely shredded</t>
        </is>
      </c>
      <c r="C158" s="2" t="inlineStr">
        <is>
          <t>碎纸（细碎）</t>
        </is>
      </c>
      <c r="D158" s="2" t="inlineStr">
        <is>
          <t>Collect or borrow</t>
        </is>
      </c>
      <c r="E158" s="2" t="inlineStr">
        <is>
          <t>Both plans</t>
        </is>
      </c>
      <c r="F158" s="2" t="inlineStr">
        <is>
          <t>Used up</t>
        </is>
      </c>
      <c r="G158" s="2" t="inlineStr">
        <is>
          <t>g</t>
        </is>
      </c>
      <c r="H158" s="2">
        <f>IF(OR($E158="Both plans",'Read me'!$C$9="A and B",AND($E158="Plan A (freezer)",'Read me'!$C$9="A"),AND($E158="Plan B (no freezer)",'Read me'!$C$9="B")),1,0)</f>
        <v/>
      </c>
      <c r="I158" s="2" t="n"/>
      <c r="J158" s="2" t="n"/>
      <c r="K158" s="2" t="n"/>
      <c r="L158" s="2" t="n"/>
      <c r="M158" s="2" t="n"/>
      <c r="N158" s="2" t="n"/>
      <c r="O158" s="2" t="n">
        <v>12</v>
      </c>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f>N(I158)+N(S158)+N(AC158)</f>
        <v/>
      </c>
      <c r="AN158" s="2">
        <f>N(J158)+N(T158)+N(AD158)</f>
        <v/>
      </c>
      <c r="AO158" s="2">
        <f>N(K158)+N(U158)+N(AE158)</f>
        <v/>
      </c>
      <c r="AP158" s="2">
        <f>N(L158)+N(V158)+N(AF158)</f>
        <v/>
      </c>
      <c r="AQ158" s="2">
        <f>N(M158)+N(W158)+N(AG158)</f>
        <v/>
      </c>
      <c r="AR158" s="2">
        <f>N(N158)+N(X158)+N(AH158)</f>
        <v/>
      </c>
      <c r="AS158" s="2">
        <f>N(O158)+N(Y158)+N(AI158)</f>
        <v/>
      </c>
      <c r="AT158" s="2">
        <f>N(P158)+N(Z158)+N(AJ158)</f>
        <v/>
      </c>
      <c r="AU158" s="2">
        <f>N(Q158)+N(AA158)+N(AK158)</f>
        <v/>
      </c>
      <c r="AV158" s="2">
        <f>N(R158)+N(AB158)+N(AL158)</f>
        <v/>
      </c>
      <c r="AW158" s="2">
        <f>SUM(I158:R158)</f>
        <v/>
      </c>
      <c r="AX158" s="2">
        <f>SUM(S158:AB158)</f>
        <v/>
      </c>
      <c r="AY158" s="2">
        <f>SUM(AC158:AL158)</f>
        <v/>
      </c>
    </row>
    <row r="159">
      <c r="A159" s="2" t="inlineStr">
        <is>
          <t>box_lidded_card|A|boxes</t>
        </is>
      </c>
      <c r="B159" s="2" t="inlineStr">
        <is>
          <t>Box with a lid (to wrap in bubble wrap)</t>
        </is>
      </c>
      <c r="C159" s="2" t="inlineStr">
        <is>
          <t>带盖纸箱（外包气泡膜）</t>
        </is>
      </c>
      <c r="D159" s="2" t="inlineStr">
        <is>
          <t>Collect or borrow</t>
        </is>
      </c>
      <c r="E159" s="2" t="inlineStr">
        <is>
          <t>Plan A (freezer)</t>
        </is>
      </c>
      <c r="F159" s="2" t="inlineStr">
        <is>
          <t>Reusable</t>
        </is>
      </c>
      <c r="G159" s="2" t="inlineStr">
        <is>
          <t>boxes</t>
        </is>
      </c>
      <c r="H159" s="2">
        <f>IF(OR($E159="Both plans",'Read me'!$C$9="A and B",AND($E159="Plan A (freezer)",'Read me'!$C$9="A"),AND($E159="Plan B (no freezer)",'Read me'!$C$9="B")),1,0)</f>
        <v/>
      </c>
      <c r="I159" s="2" t="n"/>
      <c r="J159" s="2" t="n"/>
      <c r="K159" s="2" t="n"/>
      <c r="L159" s="2" t="n"/>
      <c r="M159" s="2" t="n"/>
      <c r="N159" s="2" t="n"/>
      <c r="O159" s="2" t="n"/>
      <c r="P159" s="2" t="n">
        <v>6</v>
      </c>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f>N(I159)+N(S159)+N(AC159)</f>
        <v/>
      </c>
      <c r="AN159" s="2">
        <f>N(J159)+N(T159)+N(AD159)</f>
        <v/>
      </c>
      <c r="AO159" s="2">
        <f>N(K159)+N(U159)+N(AE159)</f>
        <v/>
      </c>
      <c r="AP159" s="2">
        <f>N(L159)+N(V159)+N(AF159)</f>
        <v/>
      </c>
      <c r="AQ159" s="2">
        <f>N(M159)+N(W159)+N(AG159)</f>
        <v/>
      </c>
      <c r="AR159" s="2">
        <f>N(N159)+N(X159)+N(AH159)</f>
        <v/>
      </c>
      <c r="AS159" s="2">
        <f>N(O159)+N(Y159)+N(AI159)</f>
        <v/>
      </c>
      <c r="AT159" s="2">
        <f>N(P159)+N(Z159)+N(AJ159)</f>
        <v/>
      </c>
      <c r="AU159" s="2">
        <f>N(Q159)+N(AA159)+N(AK159)</f>
        <v/>
      </c>
      <c r="AV159" s="2">
        <f>N(R159)+N(AB159)+N(AL159)</f>
        <v/>
      </c>
      <c r="AW159" s="2">
        <f>SUM(I159:R159)</f>
        <v/>
      </c>
      <c r="AX159" s="2">
        <f>SUM(S159:AB159)</f>
        <v/>
      </c>
      <c r="AY159" s="2">
        <f>SUM(AC159:AL159)</f>
        <v/>
      </c>
    </row>
    <row r="160">
      <c r="A160" s="2" t="inlineStr">
        <is>
          <t>bubble_wrap|both|box wraps</t>
        </is>
      </c>
      <c r="B160" s="2" t="inlineStr">
        <is>
          <t>Bubble wrap</t>
        </is>
      </c>
      <c r="C160" s="2" t="inlineStr">
        <is>
          <t>气泡膜</t>
        </is>
      </c>
      <c r="D160" s="2" t="inlineStr">
        <is>
          <t>Collect or borrow</t>
        </is>
      </c>
      <c r="E160" s="2" t="inlineStr">
        <is>
          <t>Both plans</t>
        </is>
      </c>
      <c r="F160" s="2" t="inlineStr">
        <is>
          <t>Reusable</t>
        </is>
      </c>
      <c r="G160" s="2" t="inlineStr">
        <is>
          <t>box wraps</t>
        </is>
      </c>
      <c r="H160" s="2">
        <f>IF(OR($E160="Both plans",'Read me'!$C$9="A and B",AND($E160="Plan A (freezer)",'Read me'!$C$9="A"),AND($E160="Plan B (no freezer)",'Read me'!$C$9="B")),1,0)</f>
        <v/>
      </c>
      <c r="I160" s="2" t="n"/>
      <c r="J160" s="2" t="n"/>
      <c r="K160" s="2" t="n"/>
      <c r="L160" s="2" t="n"/>
      <c r="M160" s="2" t="n"/>
      <c r="N160" s="2" t="n"/>
      <c r="O160" s="2" t="n"/>
      <c r="P160" s="2" t="n">
        <v>6</v>
      </c>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f>N(I160)+N(S160)+N(AC160)</f>
        <v/>
      </c>
      <c r="AN160" s="2">
        <f>N(J160)+N(T160)+N(AD160)</f>
        <v/>
      </c>
      <c r="AO160" s="2">
        <f>N(K160)+N(U160)+N(AE160)</f>
        <v/>
      </c>
      <c r="AP160" s="2">
        <f>N(L160)+N(V160)+N(AF160)</f>
        <v/>
      </c>
      <c r="AQ160" s="2">
        <f>N(M160)+N(W160)+N(AG160)</f>
        <v/>
      </c>
      <c r="AR160" s="2">
        <f>N(N160)+N(X160)+N(AH160)</f>
        <v/>
      </c>
      <c r="AS160" s="2">
        <f>N(O160)+N(Y160)+N(AI160)</f>
        <v/>
      </c>
      <c r="AT160" s="2">
        <f>N(P160)+N(Z160)+N(AJ160)</f>
        <v/>
      </c>
      <c r="AU160" s="2">
        <f>N(Q160)+N(AA160)+N(AK160)</f>
        <v/>
      </c>
      <c r="AV160" s="2">
        <f>N(R160)+N(AB160)+N(AL160)</f>
        <v/>
      </c>
      <c r="AW160" s="2">
        <f>SUM(I160:R160)</f>
        <v/>
      </c>
      <c r="AX160" s="2">
        <f>SUM(S160:AB160)</f>
        <v/>
      </c>
      <c r="AY160" s="2">
        <f>SUM(AC160:AL160)</f>
        <v/>
      </c>
    </row>
    <row r="161">
      <c r="A161" s="2" t="inlineStr">
        <is>
          <t>soil_campus_samples|both|cups</t>
        </is>
      </c>
      <c r="B161" s="2" t="inlineStr">
        <is>
          <t>Campus soil samples (references A to D)</t>
        </is>
      </c>
      <c r="C161" s="2" t="inlineStr">
        <is>
          <t>校园土壤样本（参照A至D）</t>
        </is>
      </c>
      <c r="D161" s="2" t="inlineStr">
        <is>
          <t>Collect or borrow</t>
        </is>
      </c>
      <c r="E161" s="2" t="inlineStr">
        <is>
          <t>Both plans</t>
        </is>
      </c>
      <c r="F161" s="2" t="inlineStr">
        <is>
          <t>Used up</t>
        </is>
      </c>
      <c r="G161" s="2" t="inlineStr">
        <is>
          <t>cups</t>
        </is>
      </c>
      <c r="H161" s="2">
        <f>IF(OR($E161="Both plans",'Read me'!$C$9="A and B",AND($E161="Plan A (freezer)",'Read me'!$C$9="A"),AND($E161="Plan B (no freezer)",'Read me'!$C$9="B")),1,0)</f>
        <v/>
      </c>
      <c r="I161" s="2" t="n"/>
      <c r="J161" s="2" t="n"/>
      <c r="K161" s="2" t="n"/>
      <c r="L161" s="2" t="n"/>
      <c r="M161" s="2" t="n"/>
      <c r="N161" s="2" t="n"/>
      <c r="O161" s="2" t="n"/>
      <c r="P161" s="2" t="n"/>
      <c r="Q161" s="2" t="n"/>
      <c r="R161" s="2" t="n"/>
      <c r="S161" s="2" t="n"/>
      <c r="T161" s="2" t="n"/>
      <c r="U161" s="2" t="n"/>
      <c r="V161" s="2" t="n"/>
      <c r="W161" s="2" t="n"/>
      <c r="X161" s="2" t="n"/>
      <c r="Y161" s="2" t="n"/>
      <c r="Z161" s="2" t="n">
        <v>8</v>
      </c>
      <c r="AA161" s="2" t="n"/>
      <c r="AB161" s="2" t="n"/>
      <c r="AC161" s="2" t="n"/>
      <c r="AD161" s="2" t="n"/>
      <c r="AE161" s="2" t="n"/>
      <c r="AF161" s="2" t="n"/>
      <c r="AG161" s="2" t="n"/>
      <c r="AH161" s="2" t="n"/>
      <c r="AI161" s="2" t="n"/>
      <c r="AJ161" s="2" t="n"/>
      <c r="AK161" s="2" t="n"/>
      <c r="AL161" s="2" t="n"/>
      <c r="AM161" s="2">
        <f>N(I161)+N(S161)+N(AC161)</f>
        <v/>
      </c>
      <c r="AN161" s="2">
        <f>N(J161)+N(T161)+N(AD161)</f>
        <v/>
      </c>
      <c r="AO161" s="2">
        <f>N(K161)+N(U161)+N(AE161)</f>
        <v/>
      </c>
      <c r="AP161" s="2">
        <f>N(L161)+N(V161)+N(AF161)</f>
        <v/>
      </c>
      <c r="AQ161" s="2">
        <f>N(M161)+N(W161)+N(AG161)</f>
        <v/>
      </c>
      <c r="AR161" s="2">
        <f>N(N161)+N(X161)+N(AH161)</f>
        <v/>
      </c>
      <c r="AS161" s="2">
        <f>N(O161)+N(Y161)+N(AI161)</f>
        <v/>
      </c>
      <c r="AT161" s="2">
        <f>N(P161)+N(Z161)+N(AJ161)</f>
        <v/>
      </c>
      <c r="AU161" s="2">
        <f>N(Q161)+N(AA161)+N(AK161)</f>
        <v/>
      </c>
      <c r="AV161" s="2">
        <f>N(R161)+N(AB161)+N(AL161)</f>
        <v/>
      </c>
      <c r="AW161" s="2">
        <f>SUM(I161:R161)</f>
        <v/>
      </c>
      <c r="AX161" s="2">
        <f>SUM(S161:AB161)</f>
        <v/>
      </c>
      <c r="AY161" s="2">
        <f>SUM(AC161:AL161)</f>
        <v/>
      </c>
    </row>
    <row r="162">
      <c r="A162" s="2" t="inlineStr">
        <is>
          <t>bottles_clear_300ml_screw|both|bottles</t>
        </is>
      </c>
      <c r="B162" s="2" t="inlineStr">
        <is>
          <t>Clear plastic bottles or jars with screw lids, about 300 ml</t>
        </is>
      </c>
      <c r="C162" s="2" t="inlineStr">
        <is>
          <t>透明塑料瓶或罐（带螺旋盖，约300毫升）</t>
        </is>
      </c>
      <c r="D162" s="2" t="inlineStr">
        <is>
          <t>Collect or borrow</t>
        </is>
      </c>
      <c r="E162" s="2" t="inlineStr">
        <is>
          <t>Both plans</t>
        </is>
      </c>
      <c r="F162" s="2" t="inlineStr">
        <is>
          <t>Reusable</t>
        </is>
      </c>
      <c r="G162" s="2" t="inlineStr">
        <is>
          <t>bottles</t>
        </is>
      </c>
      <c r="H162" s="2">
        <f>IF(OR($E162="Both plans",'Read me'!$C$9="A and B",AND($E162="Plan A (freezer)",'Read me'!$C$9="A"),AND($E162="Plan B (no freezer)",'Read me'!$C$9="B")),1,0)</f>
        <v/>
      </c>
      <c r="I162" s="2" t="n"/>
      <c r="J162" s="2" t="n"/>
      <c r="K162" s="2" t="n"/>
      <c r="L162" s="2" t="n"/>
      <c r="M162" s="2" t="n"/>
      <c r="N162" s="2" t="n"/>
      <c r="O162" s="2" t="n"/>
      <c r="P162" s="2" t="n"/>
      <c r="Q162" s="2" t="n"/>
      <c r="R162" s="2" t="n"/>
      <c r="S162" s="2" t="n"/>
      <c r="T162" s="2" t="n"/>
      <c r="U162" s="2" t="n"/>
      <c r="V162" s="2" t="n"/>
      <c r="W162" s="2" t="n"/>
      <c r="X162" s="2" t="n"/>
      <c r="Y162" s="2" t="n"/>
      <c r="Z162" s="2" t="n">
        <v>20</v>
      </c>
      <c r="AA162" s="2" t="n"/>
      <c r="AB162" s="2" t="n"/>
      <c r="AC162" s="2" t="n"/>
      <c r="AD162" s="2" t="n"/>
      <c r="AE162" s="2" t="n"/>
      <c r="AF162" s="2" t="n"/>
      <c r="AG162" s="2" t="n"/>
      <c r="AH162" s="2" t="n"/>
      <c r="AI162" s="2" t="n"/>
      <c r="AJ162" s="2" t="n"/>
      <c r="AK162" s="2" t="n"/>
      <c r="AL162" s="2" t="n"/>
      <c r="AM162" s="2">
        <f>N(I162)+N(S162)+N(AC162)</f>
        <v/>
      </c>
      <c r="AN162" s="2">
        <f>N(J162)+N(T162)+N(AD162)</f>
        <v/>
      </c>
      <c r="AO162" s="2">
        <f>N(K162)+N(U162)+N(AE162)</f>
        <v/>
      </c>
      <c r="AP162" s="2">
        <f>N(L162)+N(V162)+N(AF162)</f>
        <v/>
      </c>
      <c r="AQ162" s="2">
        <f>N(M162)+N(W162)+N(AG162)</f>
        <v/>
      </c>
      <c r="AR162" s="2">
        <f>N(N162)+N(X162)+N(AH162)</f>
        <v/>
      </c>
      <c r="AS162" s="2">
        <f>N(O162)+N(Y162)+N(AI162)</f>
        <v/>
      </c>
      <c r="AT162" s="2">
        <f>N(P162)+N(Z162)+N(AJ162)</f>
        <v/>
      </c>
      <c r="AU162" s="2">
        <f>N(Q162)+N(AA162)+N(AK162)</f>
        <v/>
      </c>
      <c r="AV162" s="2">
        <f>N(R162)+N(AB162)+N(AL162)</f>
        <v/>
      </c>
      <c r="AW162" s="2">
        <f>SUM(I162:R162)</f>
        <v/>
      </c>
      <c r="AX162" s="2">
        <f>SUM(S162:AB162)</f>
        <v/>
      </c>
      <c r="AY162" s="2">
        <f>SUM(AC162:AL162)</f>
        <v/>
      </c>
    </row>
    <row r="163">
      <c r="A163" s="2" t="inlineStr">
        <is>
          <t>headphones|both|pairs</t>
        </is>
      </c>
      <c r="B163" s="2" t="inlineStr">
        <is>
          <t>Headphones</t>
        </is>
      </c>
      <c r="C163" s="2" t="inlineStr">
        <is>
          <t>耳机</t>
        </is>
      </c>
      <c r="D163" s="2" t="inlineStr">
        <is>
          <t>Collect or borrow</t>
        </is>
      </c>
      <c r="E163" s="2" t="inlineStr">
        <is>
          <t>Both plans</t>
        </is>
      </c>
      <c r="F163" s="2" t="inlineStr">
        <is>
          <t>Reusable</t>
        </is>
      </c>
      <c r="G163" s="2" t="inlineStr">
        <is>
          <t>pairs</t>
        </is>
      </c>
      <c r="H163" s="2">
        <f>IF(OR($E163="Both plans",'Read me'!$C$9="A and B",AND($E163="Plan A (freezer)",'Read me'!$C$9="A"),AND($E163="Plan B (no freezer)",'Read me'!$C$9="B")),1,0)</f>
        <v/>
      </c>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v>1</v>
      </c>
      <c r="AK163" s="2" t="n"/>
      <c r="AL163" s="2" t="n"/>
      <c r="AM163" s="2">
        <f>N(I163)+N(S163)+N(AC163)</f>
        <v/>
      </c>
      <c r="AN163" s="2">
        <f>N(J163)+N(T163)+N(AD163)</f>
        <v/>
      </c>
      <c r="AO163" s="2">
        <f>N(K163)+N(U163)+N(AE163)</f>
        <v/>
      </c>
      <c r="AP163" s="2">
        <f>N(L163)+N(V163)+N(AF163)</f>
        <v/>
      </c>
      <c r="AQ163" s="2">
        <f>N(M163)+N(W163)+N(AG163)</f>
        <v/>
      </c>
      <c r="AR163" s="2">
        <f>N(N163)+N(X163)+N(AH163)</f>
        <v/>
      </c>
      <c r="AS163" s="2">
        <f>N(O163)+N(Y163)+N(AI163)</f>
        <v/>
      </c>
      <c r="AT163" s="2">
        <f>N(P163)+N(Z163)+N(AJ163)</f>
        <v/>
      </c>
      <c r="AU163" s="2">
        <f>N(Q163)+N(AA163)+N(AK163)</f>
        <v/>
      </c>
      <c r="AV163" s="2">
        <f>N(R163)+N(AB163)+N(AL163)</f>
        <v/>
      </c>
      <c r="AW163" s="2">
        <f>SUM(I163:R163)</f>
        <v/>
      </c>
      <c r="AX163" s="2">
        <f>SUM(S163:AB163)</f>
        <v/>
      </c>
      <c r="AY163" s="2">
        <f>SUM(AC163:AL163)</f>
        <v/>
      </c>
    </row>
    <row r="164">
      <c r="A164" s="2" t="inlineStr">
        <is>
          <t>newspaper|both|sheets</t>
        </is>
      </c>
      <c r="B164" s="2" t="inlineStr">
        <is>
          <t>Newspaper</t>
        </is>
      </c>
      <c r="C164" s="2" t="inlineStr">
        <is>
          <t>报纸</t>
        </is>
      </c>
      <c r="D164" s="2" t="inlineStr">
        <is>
          <t>Collect or borrow</t>
        </is>
      </c>
      <c r="E164" s="2" t="inlineStr">
        <is>
          <t>Both plans</t>
        </is>
      </c>
      <c r="F164" s="2" t="inlineStr">
        <is>
          <t>Used up</t>
        </is>
      </c>
      <c r="G164" s="2" t="inlineStr">
        <is>
          <t>sheets</t>
        </is>
      </c>
      <c r="H164" s="2">
        <f>IF(OR($E164="Both plans",'Read me'!$C$9="A and B",AND($E164="Plan A (freezer)",'Read me'!$C$9="A"),AND($E164="Plan B (no freezer)",'Read me'!$C$9="B")),1,0)</f>
        <v/>
      </c>
      <c r="I164" s="2" t="n"/>
      <c r="J164" s="2" t="n"/>
      <c r="K164" s="2" t="n"/>
      <c r="L164" s="2" t="n"/>
      <c r="M164" s="2" t="n"/>
      <c r="N164" s="2" t="n"/>
      <c r="O164" s="2" t="n"/>
      <c r="P164" s="2" t="n"/>
      <c r="Q164" s="2" t="n"/>
      <c r="R164" s="2" t="n"/>
      <c r="S164" s="2" t="n"/>
      <c r="T164" s="2" t="n"/>
      <c r="U164" s="2" t="n"/>
      <c r="V164" s="2" t="n"/>
      <c r="W164" s="2" t="n"/>
      <c r="X164" s="2" t="n"/>
      <c r="Y164" s="2" t="n"/>
      <c r="Z164" s="2" t="n">
        <v>4</v>
      </c>
      <c r="AA164" s="2" t="n"/>
      <c r="AB164" s="2" t="n"/>
      <c r="AC164" s="2" t="n"/>
      <c r="AD164" s="2" t="n"/>
      <c r="AE164" s="2" t="n"/>
      <c r="AF164" s="2" t="n"/>
      <c r="AG164" s="2" t="n"/>
      <c r="AH164" s="2" t="n"/>
      <c r="AI164" s="2" t="n"/>
      <c r="AJ164" s="2" t="n"/>
      <c r="AK164" s="2" t="n"/>
      <c r="AL164" s="2" t="n"/>
      <c r="AM164" s="2">
        <f>N(I164)+N(S164)+N(AC164)</f>
        <v/>
      </c>
      <c r="AN164" s="2">
        <f>N(J164)+N(T164)+N(AD164)</f>
        <v/>
      </c>
      <c r="AO164" s="2">
        <f>N(K164)+N(U164)+N(AE164)</f>
        <v/>
      </c>
      <c r="AP164" s="2">
        <f>N(L164)+N(V164)+N(AF164)</f>
        <v/>
      </c>
      <c r="AQ164" s="2">
        <f>N(M164)+N(W164)+N(AG164)</f>
        <v/>
      </c>
      <c r="AR164" s="2">
        <f>N(N164)+N(X164)+N(AH164)</f>
        <v/>
      </c>
      <c r="AS164" s="2">
        <f>N(O164)+N(Y164)+N(AI164)</f>
        <v/>
      </c>
      <c r="AT164" s="2">
        <f>N(P164)+N(Z164)+N(AJ164)</f>
        <v/>
      </c>
      <c r="AU164" s="2">
        <f>N(Q164)+N(AA164)+N(AK164)</f>
        <v/>
      </c>
      <c r="AV164" s="2">
        <f>N(R164)+N(AB164)+N(AL164)</f>
        <v/>
      </c>
      <c r="AW164" s="2">
        <f>SUM(I164:R164)</f>
        <v/>
      </c>
      <c r="AX164" s="2">
        <f>SUM(S164:AB164)</f>
        <v/>
      </c>
      <c r="AY164" s="2">
        <f>SUM(AC164:AL164)</f>
        <v/>
      </c>
    </row>
    <row r="165">
      <c r="A165" s="2" t="inlineStr">
        <is>
          <t>bags_thin_plastic|A|bags</t>
        </is>
      </c>
      <c r="B165" s="2" t="inlineStr">
        <is>
          <t>Thin plastic bags (to cover books)</t>
        </is>
      </c>
      <c r="C165" s="2" t="inlineStr">
        <is>
          <t>薄塑料袋（包书用）</t>
        </is>
      </c>
      <c r="D165" s="2" t="inlineStr">
        <is>
          <t>Collect or borrow</t>
        </is>
      </c>
      <c r="E165" s="2" t="inlineStr">
        <is>
          <t>Plan A (freezer)</t>
        </is>
      </c>
      <c r="F165" s="2" t="inlineStr">
        <is>
          <t>Used up</t>
        </is>
      </c>
      <c r="G165" s="2" t="inlineStr">
        <is>
          <t>bags</t>
        </is>
      </c>
      <c r="H165" s="2">
        <f>IF(OR($E165="Both plans",'Read me'!$C$9="A and B",AND($E165="Plan A (freezer)",'Read me'!$C$9="A"),AND($E165="Plan B (no freezer)",'Read me'!$C$9="B")),1,0)</f>
        <v/>
      </c>
      <c r="I165" s="2" t="n"/>
      <c r="J165" s="2" t="n"/>
      <c r="K165" s="2" t="n"/>
      <c r="L165" s="2" t="n"/>
      <c r="M165" s="2" t="n"/>
      <c r="N165" s="2" t="n"/>
      <c r="O165" s="2" t="n"/>
      <c r="P165" s="2" t="n">
        <v>12</v>
      </c>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f>N(I165)+N(S165)+N(AC165)</f>
        <v/>
      </c>
      <c r="AN165" s="2">
        <f>N(J165)+N(T165)+N(AD165)</f>
        <v/>
      </c>
      <c r="AO165" s="2">
        <f>N(K165)+N(U165)+N(AE165)</f>
        <v/>
      </c>
      <c r="AP165" s="2">
        <f>N(L165)+N(V165)+N(AF165)</f>
        <v/>
      </c>
      <c r="AQ165" s="2">
        <f>N(M165)+N(W165)+N(AG165)</f>
        <v/>
      </c>
      <c r="AR165" s="2">
        <f>N(N165)+N(X165)+N(AH165)</f>
        <v/>
      </c>
      <c r="AS165" s="2">
        <f>N(O165)+N(Y165)+N(AI165)</f>
        <v/>
      </c>
      <c r="AT165" s="2">
        <f>N(P165)+N(Z165)+N(AJ165)</f>
        <v/>
      </c>
      <c r="AU165" s="2">
        <f>N(Q165)+N(AA165)+N(AK165)</f>
        <v/>
      </c>
      <c r="AV165" s="2">
        <f>N(R165)+N(AB165)+N(AL165)</f>
        <v/>
      </c>
      <c r="AW165" s="2">
        <f>SUM(I165:R165)</f>
        <v/>
      </c>
      <c r="AX165" s="2">
        <f>SUM(S165:AB165)</f>
        <v/>
      </c>
      <c r="AY165" s="2">
        <f>SUM(AC165:AL165)</f>
        <v/>
      </c>
    </row>
    <row r="166">
      <c r="A166" s="2" t="inlineStr">
        <is>
          <t>towels_cloth|both|towels</t>
        </is>
      </c>
      <c r="B166" s="2" t="inlineStr">
        <is>
          <t>Towels, cloth</t>
        </is>
      </c>
      <c r="C166" s="2" t="inlineStr">
        <is>
          <t>毛巾</t>
        </is>
      </c>
      <c r="D166" s="2" t="inlineStr">
        <is>
          <t>Collect or borrow</t>
        </is>
      </c>
      <c r="E166" s="2" t="inlineStr">
        <is>
          <t>Both plans</t>
        </is>
      </c>
      <c r="F166" s="2" t="inlineStr">
        <is>
          <t>Reusable</t>
        </is>
      </c>
      <c r="G166" s="2" t="inlineStr">
        <is>
          <t>towels</t>
        </is>
      </c>
      <c r="H166" s="2">
        <f>IF(OR($E166="Both plans",'Read me'!$C$9="A and B",AND($E166="Plan A (freezer)",'Read me'!$C$9="A"),AND($E166="Plan B (no freezer)",'Read me'!$C$9="B")),1,0)</f>
        <v/>
      </c>
      <c r="I166" s="2" t="n"/>
      <c r="J166" s="2" t="n"/>
      <c r="K166" s="2" t="n"/>
      <c r="L166" s="2" t="n"/>
      <c r="M166" s="2" t="n"/>
      <c r="N166" s="2" t="n"/>
      <c r="O166" s="2" t="n"/>
      <c r="P166" s="2" t="n">
        <v>13</v>
      </c>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f>N(I166)+N(S166)+N(AC166)</f>
        <v/>
      </c>
      <c r="AN166" s="2">
        <f>N(J166)+N(T166)+N(AD166)</f>
        <v/>
      </c>
      <c r="AO166" s="2">
        <f>N(K166)+N(U166)+N(AE166)</f>
        <v/>
      </c>
      <c r="AP166" s="2">
        <f>N(L166)+N(V166)+N(AF166)</f>
        <v/>
      </c>
      <c r="AQ166" s="2">
        <f>N(M166)+N(W166)+N(AG166)</f>
        <v/>
      </c>
      <c r="AR166" s="2">
        <f>N(N166)+N(X166)+N(AH166)</f>
        <v/>
      </c>
      <c r="AS166" s="2">
        <f>N(O166)+N(Y166)+N(AI166)</f>
        <v/>
      </c>
      <c r="AT166" s="2">
        <f>N(P166)+N(Z166)+N(AJ166)</f>
        <v/>
      </c>
      <c r="AU166" s="2">
        <f>N(Q166)+N(AA166)+N(AK166)</f>
        <v/>
      </c>
      <c r="AV166" s="2">
        <f>N(R166)+N(AB166)+N(AL166)</f>
        <v/>
      </c>
      <c r="AW166" s="2">
        <f>SUM(I166:R166)</f>
        <v/>
      </c>
      <c r="AX166" s="2">
        <f>SUM(S166:AB166)</f>
        <v/>
      </c>
      <c r="AY166" s="2">
        <f>SUM(AC166:AL166)</f>
        <v/>
      </c>
    </row>
    <row r="167">
      <c r="A167" s="2" t="inlineStr">
        <is>
          <t>notebook_prop|both|notebook</t>
        </is>
      </c>
      <c r="B167" s="2" t="inlineStr">
        <is>
          <t>Old notebook (prop)</t>
        </is>
      </c>
      <c r="C167" s="2" t="inlineStr">
        <is>
          <t>旧笔记本（道具）</t>
        </is>
      </c>
      <c r="D167" s="2" t="inlineStr">
        <is>
          <t>Collect or borrow</t>
        </is>
      </c>
      <c r="E167" s="2" t="inlineStr">
        <is>
          <t>Both plans</t>
        </is>
      </c>
      <c r="F167" s="2" t="inlineStr">
        <is>
          <t>Reusable</t>
        </is>
      </c>
      <c r="G167" s="2" t="inlineStr">
        <is>
          <t>notebook</t>
        </is>
      </c>
      <c r="H167" s="2">
        <f>IF(OR($E167="Both plans",'Read me'!$C$9="A and B",AND($E167="Plan A (freezer)",'Read me'!$C$9="A"),AND($E167="Plan B (no freezer)",'Read me'!$C$9="B")),1,0)</f>
        <v/>
      </c>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v>1</v>
      </c>
      <c r="AC167" s="2" t="n"/>
      <c r="AD167" s="2" t="n"/>
      <c r="AE167" s="2" t="n"/>
      <c r="AF167" s="2" t="n"/>
      <c r="AG167" s="2" t="n"/>
      <c r="AH167" s="2" t="n"/>
      <c r="AI167" s="2" t="n"/>
      <c r="AJ167" s="2" t="n"/>
      <c r="AK167" s="2" t="n"/>
      <c r="AL167" s="2" t="n"/>
      <c r="AM167" s="2">
        <f>N(I167)+N(S167)+N(AC167)</f>
        <v/>
      </c>
      <c r="AN167" s="2">
        <f>N(J167)+N(T167)+N(AD167)</f>
        <v/>
      </c>
      <c r="AO167" s="2">
        <f>N(K167)+N(U167)+N(AE167)</f>
        <v/>
      </c>
      <c r="AP167" s="2">
        <f>N(L167)+N(V167)+N(AF167)</f>
        <v/>
      </c>
      <c r="AQ167" s="2">
        <f>N(M167)+N(W167)+N(AG167)</f>
        <v/>
      </c>
      <c r="AR167" s="2">
        <f>N(N167)+N(X167)+N(AH167)</f>
        <v/>
      </c>
      <c r="AS167" s="2">
        <f>N(O167)+N(Y167)+N(AI167)</f>
        <v/>
      </c>
      <c r="AT167" s="2">
        <f>N(P167)+N(Z167)+N(AJ167)</f>
        <v/>
      </c>
      <c r="AU167" s="2">
        <f>N(Q167)+N(AA167)+N(AK167)</f>
        <v/>
      </c>
      <c r="AV167" s="2">
        <f>N(R167)+N(AB167)+N(AL167)</f>
        <v/>
      </c>
      <c r="AW167" s="2">
        <f>SUM(I167:R167)</f>
        <v/>
      </c>
      <c r="AX167" s="2">
        <f>SUM(S167:AB167)</f>
        <v/>
      </c>
      <c r="AY167" s="2">
        <f>SUM(AC167:AL167)</f>
        <v/>
      </c>
    </row>
    <row r="168">
      <c r="A168" s="2" t="inlineStr">
        <is>
          <t>tm_baking_soda_solution|both|small batch</t>
        </is>
      </c>
      <c r="B168" s="2" t="inlineStr">
        <is>
          <t>Baking soda solution</t>
        </is>
      </c>
      <c r="C168" s="2" t="inlineStr">
        <is>
          <t>小苏打溶液</t>
        </is>
      </c>
      <c r="D168" s="2" t="inlineStr">
        <is>
          <t>Teacher made</t>
        </is>
      </c>
      <c r="E168" s="2" t="inlineStr">
        <is>
          <t>Both plans</t>
        </is>
      </c>
      <c r="F168" s="2" t="inlineStr">
        <is>
          <t>Used up</t>
        </is>
      </c>
      <c r="G168" s="2" t="inlineStr">
        <is>
          <t>small batch</t>
        </is>
      </c>
      <c r="H168" s="2">
        <f>IF(OR($E168="Both plans",'Read me'!$C$9="A and B",AND($E168="Plan A (freezer)",'Read me'!$C$9="A"),AND($E168="Plan B (no freezer)",'Read me'!$C$9="B")),1,0)</f>
        <v/>
      </c>
      <c r="I168" s="2" t="n"/>
      <c r="J168" s="2" t="n"/>
      <c r="K168" s="2" t="n"/>
      <c r="L168" s="2" t="n"/>
      <c r="M168" s="2" t="n"/>
      <c r="N168" s="2" t="n"/>
      <c r="O168" s="2" t="n"/>
      <c r="P168" s="2" t="n"/>
      <c r="Q168" s="2" t="n"/>
      <c r="R168" s="2" t="n"/>
      <c r="S168" s="2" t="n">
        <v>1</v>
      </c>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f>N(I168)+N(S168)+N(AC168)</f>
        <v/>
      </c>
      <c r="AN168" s="2">
        <f>N(J168)+N(T168)+N(AD168)</f>
        <v/>
      </c>
      <c r="AO168" s="2">
        <f>N(K168)+N(U168)+N(AE168)</f>
        <v/>
      </c>
      <c r="AP168" s="2">
        <f>N(L168)+N(V168)+N(AF168)</f>
        <v/>
      </c>
      <c r="AQ168" s="2">
        <f>N(M168)+N(W168)+N(AG168)</f>
        <v/>
      </c>
      <c r="AR168" s="2">
        <f>N(N168)+N(X168)+N(AH168)</f>
        <v/>
      </c>
      <c r="AS168" s="2">
        <f>N(O168)+N(Y168)+N(AI168)</f>
        <v/>
      </c>
      <c r="AT168" s="2">
        <f>N(P168)+N(Z168)+N(AJ168)</f>
        <v/>
      </c>
      <c r="AU168" s="2">
        <f>N(Q168)+N(AA168)+N(AK168)</f>
        <v/>
      </c>
      <c r="AV168" s="2">
        <f>N(R168)+N(AB168)+N(AL168)</f>
        <v/>
      </c>
      <c r="AW168" s="2">
        <f>SUM(I168:R168)</f>
        <v/>
      </c>
      <c r="AX168" s="2">
        <f>SUM(S168:AB168)</f>
        <v/>
      </c>
      <c r="AY168" s="2">
        <f>SUM(AC168:AL168)</f>
        <v/>
      </c>
    </row>
    <row r="169">
      <c r="A169" s="2" t="inlineStr">
        <is>
          <t>tm_display_note|both|note</t>
        </is>
      </c>
      <c r="B169" s="2" t="inlineStr">
        <is>
          <t>Display note (the note prop)</t>
        </is>
      </c>
      <c r="C169" s="2" t="inlineStr">
        <is>
          <t>展示纸条（纸条道具）</t>
        </is>
      </c>
      <c r="D169" s="2" t="inlineStr">
        <is>
          <t>Teacher made</t>
        </is>
      </c>
      <c r="E169" s="2" t="inlineStr">
        <is>
          <t>Both plans</t>
        </is>
      </c>
      <c r="F169" s="2" t="inlineStr">
        <is>
          <t>Reusable</t>
        </is>
      </c>
      <c r="G169" s="2" t="inlineStr">
        <is>
          <t>note</t>
        </is>
      </c>
      <c r="H169" s="2">
        <f>IF(OR($E169="Both plans",'Read me'!$C$9="A and B",AND($E169="Plan A (freezer)",'Read me'!$C$9="A"),AND($E169="Plan B (no freezer)",'Read me'!$C$9="B")),1,0)</f>
        <v/>
      </c>
      <c r="I169" s="2" t="n"/>
      <c r="J169" s="2" t="n"/>
      <c r="K169" s="2" t="n"/>
      <c r="L169" s="2" t="n"/>
      <c r="M169" s="2" t="n"/>
      <c r="N169" s="2" t="n"/>
      <c r="O169" s="2" t="n"/>
      <c r="P169" s="2" t="n"/>
      <c r="Q169" s="2" t="n"/>
      <c r="R169" s="2" t="n"/>
      <c r="S169" s="2" t="n">
        <v>1</v>
      </c>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f>N(I169)+N(S169)+N(AC169)</f>
        <v/>
      </c>
      <c r="AN169" s="2">
        <f>N(J169)+N(T169)+N(AD169)</f>
        <v/>
      </c>
      <c r="AO169" s="2">
        <f>N(K169)+N(U169)+N(AE169)</f>
        <v/>
      </c>
      <c r="AP169" s="2">
        <f>N(L169)+N(V169)+N(AF169)</f>
        <v/>
      </c>
      <c r="AQ169" s="2">
        <f>N(M169)+N(W169)+N(AG169)</f>
        <v/>
      </c>
      <c r="AR169" s="2">
        <f>N(N169)+N(X169)+N(AH169)</f>
        <v/>
      </c>
      <c r="AS169" s="2">
        <f>N(O169)+N(Y169)+N(AI169)</f>
        <v/>
      </c>
      <c r="AT169" s="2">
        <f>N(P169)+N(Z169)+N(AJ169)</f>
        <v/>
      </c>
      <c r="AU169" s="2">
        <f>N(Q169)+N(AA169)+N(AK169)</f>
        <v/>
      </c>
      <c r="AV169" s="2">
        <f>N(R169)+N(AB169)+N(AL169)</f>
        <v/>
      </c>
      <c r="AW169" s="2">
        <f>SUM(I169:R169)</f>
        <v/>
      </c>
      <c r="AX169" s="2">
        <f>SUM(S169:AB169)</f>
        <v/>
      </c>
      <c r="AY169" s="2">
        <f>SUM(AC169:AL169)</f>
        <v/>
      </c>
    </row>
    <row r="170">
      <c r="A170" s="2" t="inlineStr">
        <is>
          <t>tm_evidence4_liquid|both|saucers</t>
        </is>
      </c>
      <c r="B170" s="2" t="inlineStr">
        <is>
          <t>Evidence 4: scene liquid</t>
        </is>
      </c>
      <c r="C170" s="2" t="inlineStr">
        <is>
          <t>证据4：现场液体</t>
        </is>
      </c>
      <c r="D170" s="2" t="inlineStr">
        <is>
          <t>Teacher made</t>
        </is>
      </c>
      <c r="E170" s="2" t="inlineStr">
        <is>
          <t>Both plans</t>
        </is>
      </c>
      <c r="F170" s="2" t="inlineStr">
        <is>
          <t>Used up</t>
        </is>
      </c>
      <c r="G170" s="2" t="inlineStr">
        <is>
          <t>saucers</t>
        </is>
      </c>
      <c r="H170" s="2">
        <f>IF(OR($E170="Both plans",'Read me'!$C$9="A and B",AND($E170="Plan A (freezer)",'Read me'!$C$9="A"),AND($E170="Plan B (no freezer)",'Read me'!$C$9="B")),1,0)</f>
        <v/>
      </c>
      <c r="I170" s="2" t="n"/>
      <c r="J170" s="2" t="n"/>
      <c r="K170" s="2" t="n"/>
      <c r="L170" s="2" t="n"/>
      <c r="M170" s="2" t="n"/>
      <c r="N170" s="2" t="n"/>
      <c r="O170" s="2" t="n"/>
      <c r="P170" s="2" t="n"/>
      <c r="Q170" s="2" t="n"/>
      <c r="R170" s="2" t="n"/>
      <c r="S170" s="2" t="n">
        <v>1</v>
      </c>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f>N(I170)+N(S170)+N(AC170)</f>
        <v/>
      </c>
      <c r="AN170" s="2">
        <f>N(J170)+N(T170)+N(AD170)</f>
        <v/>
      </c>
      <c r="AO170" s="2">
        <f>N(K170)+N(U170)+N(AE170)</f>
        <v/>
      </c>
      <c r="AP170" s="2">
        <f>N(L170)+N(V170)+N(AF170)</f>
        <v/>
      </c>
      <c r="AQ170" s="2">
        <f>N(M170)+N(W170)+N(AG170)</f>
        <v/>
      </c>
      <c r="AR170" s="2">
        <f>N(N170)+N(X170)+N(AH170)</f>
        <v/>
      </c>
      <c r="AS170" s="2">
        <f>N(O170)+N(Y170)+N(AI170)</f>
        <v/>
      </c>
      <c r="AT170" s="2">
        <f>N(P170)+N(Z170)+N(AJ170)</f>
        <v/>
      </c>
      <c r="AU170" s="2">
        <f>N(Q170)+N(AA170)+N(AK170)</f>
        <v/>
      </c>
      <c r="AV170" s="2">
        <f>N(R170)+N(AB170)+N(AL170)</f>
        <v/>
      </c>
      <c r="AW170" s="2">
        <f>SUM(I170:R170)</f>
        <v/>
      </c>
      <c r="AX170" s="2">
        <f>SUM(S170:AB170)</f>
        <v/>
      </c>
      <c r="AY170" s="2">
        <f>SUM(AC170:AL170)</f>
        <v/>
      </c>
    </row>
    <row r="171">
      <c r="A171" s="2" t="inlineStr">
        <is>
          <t>tm_pen_pretest_strips|both|strips</t>
        </is>
      </c>
      <c r="B171" s="2" t="inlineStr">
        <is>
          <t>Pen pre-test strips (answer key)</t>
        </is>
      </c>
      <c r="C171" s="2" t="inlineStr">
        <is>
          <t>A号笔到D号笔预测试滤纸条（答案）</t>
        </is>
      </c>
      <c r="D171" s="2" t="inlineStr">
        <is>
          <t>Teacher made</t>
        </is>
      </c>
      <c r="E171" s="2" t="inlineStr">
        <is>
          <t>Both plans</t>
        </is>
      </c>
      <c r="F171" s="2" t="inlineStr">
        <is>
          <t>Reusable</t>
        </is>
      </c>
      <c r="G171" s="2" t="inlineStr">
        <is>
          <t>strips</t>
        </is>
      </c>
      <c r="H171" s="2">
        <f>IF(OR($E171="Both plans",'Read me'!$C$9="A and B",AND($E171="Plan A (freezer)",'Read me'!$C$9="A"),AND($E171="Plan B (no freezer)",'Read me'!$C$9="B")),1,0)</f>
        <v/>
      </c>
      <c r="I171" s="2" t="n"/>
      <c r="J171" s="2" t="n"/>
      <c r="K171" s="2" t="n"/>
      <c r="L171" s="2" t="n"/>
      <c r="M171" s="2" t="n"/>
      <c r="N171" s="2" t="n"/>
      <c r="O171" s="2" t="n"/>
      <c r="P171" s="2" t="n"/>
      <c r="Q171" s="2" t="n"/>
      <c r="R171" s="2" t="n"/>
      <c r="S171" s="2" t="n">
        <v>4</v>
      </c>
      <c r="T171" s="2" t="n"/>
      <c r="U171" s="2" t="n"/>
      <c r="V171" s="2" t="n"/>
      <c r="W171" s="2" t="n"/>
      <c r="X171" s="2" t="n"/>
      <c r="Y171" s="2" t="n"/>
      <c r="Z171" s="2" t="n">
        <v>6</v>
      </c>
      <c r="AA171" s="2" t="n"/>
      <c r="AB171" s="2" t="n"/>
      <c r="AC171" s="2" t="n"/>
      <c r="AD171" s="2" t="n"/>
      <c r="AE171" s="2" t="n"/>
      <c r="AF171" s="2" t="n"/>
      <c r="AG171" s="2" t="n"/>
      <c r="AH171" s="2" t="n"/>
      <c r="AI171" s="2" t="n"/>
      <c r="AJ171" s="2" t="n"/>
      <c r="AK171" s="2" t="n"/>
      <c r="AL171" s="2" t="n"/>
      <c r="AM171" s="2">
        <f>N(I171)+N(S171)+N(AC171)</f>
        <v/>
      </c>
      <c r="AN171" s="2">
        <f>N(J171)+N(T171)+N(AD171)</f>
        <v/>
      </c>
      <c r="AO171" s="2">
        <f>N(K171)+N(U171)+N(AE171)</f>
        <v/>
      </c>
      <c r="AP171" s="2">
        <f>N(L171)+N(V171)+N(AF171)</f>
        <v/>
      </c>
      <c r="AQ171" s="2">
        <f>N(M171)+N(W171)+N(AG171)</f>
        <v/>
      </c>
      <c r="AR171" s="2">
        <f>N(N171)+N(X171)+N(AH171)</f>
        <v/>
      </c>
      <c r="AS171" s="2">
        <f>N(O171)+N(Y171)+N(AI171)</f>
        <v/>
      </c>
      <c r="AT171" s="2">
        <f>N(P171)+N(Z171)+N(AJ171)</f>
        <v/>
      </c>
      <c r="AU171" s="2">
        <f>N(Q171)+N(AA171)+N(AK171)</f>
        <v/>
      </c>
      <c r="AV171" s="2">
        <f>N(R171)+N(AB171)+N(AL171)</f>
        <v/>
      </c>
      <c r="AW171" s="2">
        <f>SUM(I171:R171)</f>
        <v/>
      </c>
      <c r="AX171" s="2">
        <f>SUM(S171:AB171)</f>
        <v/>
      </c>
      <c r="AY171" s="2">
        <f>SUM(AC171:AL171)</f>
        <v/>
      </c>
    </row>
    <row r="172">
      <c r="A172" s="2" t="inlineStr">
        <is>
          <t>tm_scene_table|both|display</t>
        </is>
      </c>
      <c r="B172" s="2" t="inlineStr">
        <is>
          <t>Scene table (optional Week 1 display)</t>
        </is>
      </c>
      <c r="C172" s="2" t="inlineStr">
        <is>
          <t>案发现场展示桌（第1周，可选）</t>
        </is>
      </c>
      <c r="D172" s="2" t="inlineStr">
        <is>
          <t>Teacher made</t>
        </is>
      </c>
      <c r="E172" s="2" t="inlineStr">
        <is>
          <t>Both plans</t>
        </is>
      </c>
      <c r="F172" s="2" t="inlineStr">
        <is>
          <t>Reusable</t>
        </is>
      </c>
      <c r="G172" s="2" t="inlineStr">
        <is>
          <t>display</t>
        </is>
      </c>
      <c r="H172" s="2">
        <f>IF(OR($E172="Both plans",'Read me'!$C$9="A and B",AND($E172="Plan A (freezer)",'Read me'!$C$9="A"),AND($E172="Plan B (no freezer)",'Read me'!$C$9="B")),1,0)</f>
        <v/>
      </c>
      <c r="I172" s="2" t="n"/>
      <c r="J172" s="2" t="n"/>
      <c r="K172" s="2" t="n"/>
      <c r="L172" s="2" t="n"/>
      <c r="M172" s="2" t="n"/>
      <c r="N172" s="2" t="n"/>
      <c r="O172" s="2" t="n"/>
      <c r="P172" s="2" t="n"/>
      <c r="Q172" s="2" t="n"/>
      <c r="R172" s="2" t="n"/>
      <c r="S172" s="2" t="n">
        <v>1</v>
      </c>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f>N(I172)+N(S172)+N(AC172)</f>
        <v/>
      </c>
      <c r="AN172" s="2">
        <f>N(J172)+N(T172)+N(AD172)</f>
        <v/>
      </c>
      <c r="AO172" s="2">
        <f>N(K172)+N(U172)+N(AE172)</f>
        <v/>
      </c>
      <c r="AP172" s="2">
        <f>N(L172)+N(V172)+N(AF172)</f>
        <v/>
      </c>
      <c r="AQ172" s="2">
        <f>N(M172)+N(W172)+N(AG172)</f>
        <v/>
      </c>
      <c r="AR172" s="2">
        <f>N(N172)+N(X172)+N(AH172)</f>
        <v/>
      </c>
      <c r="AS172" s="2">
        <f>N(O172)+N(Y172)+N(AI172)</f>
        <v/>
      </c>
      <c r="AT172" s="2">
        <f>N(P172)+N(Z172)+N(AJ172)</f>
        <v/>
      </c>
      <c r="AU172" s="2">
        <f>N(Q172)+N(AA172)+N(AK172)</f>
        <v/>
      </c>
      <c r="AV172" s="2">
        <f>N(R172)+N(AB172)+N(AL172)</f>
        <v/>
      </c>
      <c r="AW172" s="2">
        <f>SUM(I172:R172)</f>
        <v/>
      </c>
      <c r="AX172" s="2">
        <f>SUM(S172:AB172)</f>
        <v/>
      </c>
      <c r="AY172" s="2">
        <f>SUM(AC172:AL172)</f>
        <v/>
      </c>
    </row>
    <row r="173">
      <c r="A173" s="2" t="inlineStr">
        <is>
          <t>tm_soap_solution|both|small batch</t>
        </is>
      </c>
      <c r="B173" s="2" t="inlineStr">
        <is>
          <t>Soap solution</t>
        </is>
      </c>
      <c r="C173" s="2" t="inlineStr">
        <is>
          <t>肥皂水</t>
        </is>
      </c>
      <c r="D173" s="2" t="inlineStr">
        <is>
          <t>Teacher made</t>
        </is>
      </c>
      <c r="E173" s="2" t="inlineStr">
        <is>
          <t>Both plans</t>
        </is>
      </c>
      <c r="F173" s="2" t="inlineStr">
        <is>
          <t>Used up</t>
        </is>
      </c>
      <c r="G173" s="2" t="inlineStr">
        <is>
          <t>small batch</t>
        </is>
      </c>
      <c r="H173" s="2">
        <f>IF(OR($E173="Both plans",'Read me'!$C$9="A and B",AND($E173="Plan A (freezer)",'Read me'!$C$9="A"),AND($E173="Plan B (no freezer)",'Read me'!$C$9="B")),1,0)</f>
        <v/>
      </c>
      <c r="I173" s="2" t="n"/>
      <c r="J173" s="2" t="n"/>
      <c r="K173" s="2" t="n"/>
      <c r="L173" s="2" t="n"/>
      <c r="M173" s="2" t="n"/>
      <c r="N173" s="2" t="n"/>
      <c r="O173" s="2" t="n"/>
      <c r="P173" s="2" t="n"/>
      <c r="Q173" s="2" t="n"/>
      <c r="R173" s="2" t="n"/>
      <c r="S173" s="2" t="n">
        <v>1</v>
      </c>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f>N(I173)+N(S173)+N(AC173)</f>
        <v/>
      </c>
      <c r="AN173" s="2">
        <f>N(J173)+N(T173)+N(AD173)</f>
        <v/>
      </c>
      <c r="AO173" s="2">
        <f>N(K173)+N(U173)+N(AE173)</f>
        <v/>
      </c>
      <c r="AP173" s="2">
        <f>N(L173)+N(V173)+N(AF173)</f>
        <v/>
      </c>
      <c r="AQ173" s="2">
        <f>N(M173)+N(W173)+N(AG173)</f>
        <v/>
      </c>
      <c r="AR173" s="2">
        <f>N(N173)+N(X173)+N(AH173)</f>
        <v/>
      </c>
      <c r="AS173" s="2">
        <f>N(O173)+N(Y173)+N(AI173)</f>
        <v/>
      </c>
      <c r="AT173" s="2">
        <f>N(P173)+N(Z173)+N(AJ173)</f>
        <v/>
      </c>
      <c r="AU173" s="2">
        <f>N(Q173)+N(AA173)+N(AK173)</f>
        <v/>
      </c>
      <c r="AV173" s="2">
        <f>N(R173)+N(AB173)+N(AL173)</f>
        <v/>
      </c>
      <c r="AW173" s="2">
        <f>SUM(I173:R173)</f>
        <v/>
      </c>
      <c r="AX173" s="2">
        <f>SUM(S173:AB173)</f>
        <v/>
      </c>
      <c r="AY173" s="2">
        <f>SUM(AC173:AL173)</f>
        <v/>
      </c>
    </row>
    <row r="174">
      <c r="A174" s="2" t="inlineStr">
        <is>
          <t>tm_mystery_cups|both|cups</t>
        </is>
      </c>
      <c r="B174" s="2" t="inlineStr">
        <is>
          <t>Mystery cups (12, labelled A to L)</t>
        </is>
      </c>
      <c r="C174" s="2" t="inlineStr">
        <is>
          <t>神秘杯子（12个，A至L）</t>
        </is>
      </c>
      <c r="D174" s="2" t="inlineStr">
        <is>
          <t>Teacher made</t>
        </is>
      </c>
      <c r="E174" s="2" t="inlineStr">
        <is>
          <t>Both plans</t>
        </is>
      </c>
      <c r="F174" s="2" t="inlineStr">
        <is>
          <t>Reusable</t>
        </is>
      </c>
      <c r="G174" s="2" t="inlineStr">
        <is>
          <t>cups</t>
        </is>
      </c>
      <c r="H174" s="2">
        <f>IF(OR($E174="Both plans",'Read me'!$C$9="A and B",AND($E174="Plan A (freezer)",'Read me'!$C$9="A"),AND($E174="Plan B (no freezer)",'Read me'!$C$9="B")),1,0)</f>
        <v/>
      </c>
      <c r="I174" s="2" t="n"/>
      <c r="J174" s="2" t="n">
        <v>12</v>
      </c>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f>N(I174)+N(S174)+N(AC174)</f>
        <v/>
      </c>
      <c r="AN174" s="2">
        <f>N(J174)+N(T174)+N(AD174)</f>
        <v/>
      </c>
      <c r="AO174" s="2">
        <f>N(K174)+N(U174)+N(AE174)</f>
        <v/>
      </c>
      <c r="AP174" s="2">
        <f>N(L174)+N(V174)+N(AF174)</f>
        <v/>
      </c>
      <c r="AQ174" s="2">
        <f>N(M174)+N(W174)+N(AG174)</f>
        <v/>
      </c>
      <c r="AR174" s="2">
        <f>N(N174)+N(X174)+N(AH174)</f>
        <v/>
      </c>
      <c r="AS174" s="2">
        <f>N(O174)+N(Y174)+N(AI174)</f>
        <v/>
      </c>
      <c r="AT174" s="2">
        <f>N(P174)+N(Z174)+N(AJ174)</f>
        <v/>
      </c>
      <c r="AU174" s="2">
        <f>N(Q174)+N(AA174)+N(AK174)</f>
        <v/>
      </c>
      <c r="AV174" s="2">
        <f>N(R174)+N(AB174)+N(AL174)</f>
        <v/>
      </c>
      <c r="AW174" s="2">
        <f>SUM(I174:R174)</f>
        <v/>
      </c>
      <c r="AX174" s="2">
        <f>SUM(S174:AB174)</f>
        <v/>
      </c>
      <c r="AY174" s="2">
        <f>SUM(AC174:AL174)</f>
        <v/>
      </c>
    </row>
    <row r="175">
      <c r="A175" s="2" t="inlineStr">
        <is>
          <t>tm_demo_spinners|both|spinners</t>
        </is>
      </c>
      <c r="B175" s="2" t="inlineStr">
        <is>
          <t>Demo paper spinners (S and L)</t>
        </is>
      </c>
      <c r="C175" s="2" t="inlineStr">
        <is>
          <t>演示用纸直升机（S号和L号）</t>
        </is>
      </c>
      <c r="D175" s="2" t="inlineStr">
        <is>
          <t>Teacher made</t>
        </is>
      </c>
      <c r="E175" s="2" t="inlineStr">
        <is>
          <t>Both plans</t>
        </is>
      </c>
      <c r="F175" s="2" t="inlineStr">
        <is>
          <t>Reusable</t>
        </is>
      </c>
      <c r="G175" s="2" t="inlineStr">
        <is>
          <t>spinners</t>
        </is>
      </c>
      <c r="H175" s="2">
        <f>IF(OR($E175="Both plans",'Read me'!$C$9="A and B",AND($E175="Plan A (freezer)",'Read me'!$C$9="A"),AND($E175="Plan B (no freezer)",'Read me'!$C$9="B")),1,0)</f>
        <v/>
      </c>
      <c r="I175" s="2" t="n"/>
      <c r="J175" s="2" t="n"/>
      <c r="K175" s="2" t="n">
        <v>2</v>
      </c>
      <c r="L175" s="2" t="n">
        <v>1</v>
      </c>
      <c r="M175" s="2" t="n">
        <v>6</v>
      </c>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f>N(I175)+N(S175)+N(AC175)</f>
        <v/>
      </c>
      <c r="AN175" s="2">
        <f>N(J175)+N(T175)+N(AD175)</f>
        <v/>
      </c>
      <c r="AO175" s="2">
        <f>N(K175)+N(U175)+N(AE175)</f>
        <v/>
      </c>
      <c r="AP175" s="2">
        <f>N(L175)+N(V175)+N(AF175)</f>
        <v/>
      </c>
      <c r="AQ175" s="2">
        <f>N(M175)+N(W175)+N(AG175)</f>
        <v/>
      </c>
      <c r="AR175" s="2">
        <f>N(N175)+N(X175)+N(AH175)</f>
        <v/>
      </c>
      <c r="AS175" s="2">
        <f>N(O175)+N(Y175)+N(AI175)</f>
        <v/>
      </c>
      <c r="AT175" s="2">
        <f>N(P175)+N(Z175)+N(AJ175)</f>
        <v/>
      </c>
      <c r="AU175" s="2">
        <f>N(Q175)+N(AA175)+N(AK175)</f>
        <v/>
      </c>
      <c r="AV175" s="2">
        <f>N(R175)+N(AB175)+N(AL175)</f>
        <v/>
      </c>
      <c r="AW175" s="2">
        <f>SUM(I175:R175)</f>
        <v/>
      </c>
      <c r="AX175" s="2">
        <f>SUM(S175:AB175)</f>
        <v/>
      </c>
      <c r="AY175" s="2">
        <f>SUM(AC175:AL175)</f>
        <v/>
      </c>
    </row>
    <row r="176">
      <c r="A176" s="2" t="inlineStr">
        <is>
          <t>tm_note_ink_strips_n|both|strips</t>
        </is>
      </c>
      <c r="B176" s="2" t="inlineStr">
        <is>
          <t>Note ink strips 'N'</t>
        </is>
      </c>
      <c r="C176" s="2" t="inlineStr">
        <is>
          <t>纸条墨水N滤纸条</t>
        </is>
      </c>
      <c r="D176" s="2" t="inlineStr">
        <is>
          <t>Teacher made</t>
        </is>
      </c>
      <c r="E176" s="2" t="inlineStr">
        <is>
          <t>Both plans</t>
        </is>
      </c>
      <c r="F176" s="2" t="inlineStr">
        <is>
          <t>Used up</t>
        </is>
      </c>
      <c r="G176" s="2" t="inlineStr">
        <is>
          <t>strips</t>
        </is>
      </c>
      <c r="H176" s="2">
        <f>IF(OR($E176="Both plans",'Read me'!$C$9="A and B",AND($E176="Plan A (freezer)",'Read me'!$C$9="A"),AND($E176="Plan B (no freezer)",'Read me'!$C$9="B")),1,0)</f>
        <v/>
      </c>
      <c r="I176" s="2" t="n"/>
      <c r="J176" s="2" t="n"/>
      <c r="K176" s="2" t="n"/>
      <c r="L176" s="2" t="n"/>
      <c r="M176" s="2" t="n"/>
      <c r="N176" s="2" t="n"/>
      <c r="O176" s="2" t="n"/>
      <c r="P176" s="2" t="n"/>
      <c r="Q176" s="2" t="n"/>
      <c r="R176" s="2" t="n"/>
      <c r="S176" s="2" t="n"/>
      <c r="T176" s="2" t="n"/>
      <c r="U176" s="2" t="n">
        <v>8</v>
      </c>
      <c r="V176" s="2" t="n"/>
      <c r="W176" s="2" t="n"/>
      <c r="X176" s="2" t="n"/>
      <c r="Y176" s="2" t="n">
        <v>2</v>
      </c>
      <c r="Z176" s="2" t="n">
        <v>14</v>
      </c>
      <c r="AA176" s="2" t="n"/>
      <c r="AB176" s="2" t="n"/>
      <c r="AC176" s="2" t="n"/>
      <c r="AD176" s="2" t="n"/>
      <c r="AE176" s="2" t="n"/>
      <c r="AF176" s="2" t="n"/>
      <c r="AG176" s="2" t="n"/>
      <c r="AH176" s="2" t="n"/>
      <c r="AI176" s="2" t="n"/>
      <c r="AJ176" s="2" t="n"/>
      <c r="AK176" s="2" t="n"/>
      <c r="AL176" s="2" t="n"/>
      <c r="AM176" s="2">
        <f>N(I176)+N(S176)+N(AC176)</f>
        <v/>
      </c>
      <c r="AN176" s="2">
        <f>N(J176)+N(T176)+N(AD176)</f>
        <v/>
      </c>
      <c r="AO176" s="2">
        <f>N(K176)+N(U176)+N(AE176)</f>
        <v/>
      </c>
      <c r="AP176" s="2">
        <f>N(L176)+N(V176)+N(AF176)</f>
        <v/>
      </c>
      <c r="AQ176" s="2">
        <f>N(M176)+N(W176)+N(AG176)</f>
        <v/>
      </c>
      <c r="AR176" s="2">
        <f>N(N176)+N(X176)+N(AH176)</f>
        <v/>
      </c>
      <c r="AS176" s="2">
        <f>N(O176)+N(Y176)+N(AI176)</f>
        <v/>
      </c>
      <c r="AT176" s="2">
        <f>N(P176)+N(Z176)+N(AJ176)</f>
        <v/>
      </c>
      <c r="AU176" s="2">
        <f>N(Q176)+N(AA176)+N(AK176)</f>
        <v/>
      </c>
      <c r="AV176" s="2">
        <f>N(R176)+N(AB176)+N(AL176)</f>
        <v/>
      </c>
      <c r="AW176" s="2">
        <f>SUM(I176:R176)</f>
        <v/>
      </c>
      <c r="AX176" s="2">
        <f>SUM(S176:AB176)</f>
        <v/>
      </c>
      <c r="AY176" s="2">
        <f>SUM(AC176:AL176)</f>
        <v/>
      </c>
    </row>
    <row r="177">
      <c r="A177" s="2" t="inlineStr">
        <is>
          <t>tm_prize_strip|both|strips</t>
        </is>
      </c>
      <c r="B177" s="2" t="inlineStr">
        <is>
          <t>PRIZE strip (teacher-made)</t>
        </is>
      </c>
      <c r="C177" s="2" t="inlineStr">
        <is>
          <t>奖励纸条（教师自制）</t>
        </is>
      </c>
      <c r="D177" s="2" t="inlineStr">
        <is>
          <t>Teacher made</t>
        </is>
      </c>
      <c r="E177" s="2" t="inlineStr">
        <is>
          <t>Both plans</t>
        </is>
      </c>
      <c r="F177" s="2" t="inlineStr">
        <is>
          <t>Used up</t>
        </is>
      </c>
      <c r="G177" s="2" t="inlineStr">
        <is>
          <t>strips</t>
        </is>
      </c>
      <c r="H177" s="2">
        <f>IF(OR($E177="Both plans",'Read me'!$C$9="A and B",AND($E177="Plan A (freezer)",'Read me'!$C$9="A"),AND($E177="Plan B (no freezer)",'Read me'!$C$9="B")),1,0)</f>
        <v/>
      </c>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v>2</v>
      </c>
      <c r="AF177" s="2" t="n"/>
      <c r="AG177" s="2" t="n"/>
      <c r="AH177" s="2" t="n"/>
      <c r="AI177" s="2" t="n"/>
      <c r="AJ177" s="2" t="n"/>
      <c r="AK177" s="2" t="n"/>
      <c r="AL177" s="2" t="n"/>
      <c r="AM177" s="2">
        <f>N(I177)+N(S177)+N(AC177)</f>
        <v/>
      </c>
      <c r="AN177" s="2">
        <f>N(J177)+N(T177)+N(AD177)</f>
        <v/>
      </c>
      <c r="AO177" s="2">
        <f>N(K177)+N(U177)+N(AE177)</f>
        <v/>
      </c>
      <c r="AP177" s="2">
        <f>N(L177)+N(V177)+N(AF177)</f>
        <v/>
      </c>
      <c r="AQ177" s="2">
        <f>N(M177)+N(W177)+N(AG177)</f>
        <v/>
      </c>
      <c r="AR177" s="2">
        <f>N(N177)+N(X177)+N(AH177)</f>
        <v/>
      </c>
      <c r="AS177" s="2">
        <f>N(O177)+N(Y177)+N(AI177)</f>
        <v/>
      </c>
      <c r="AT177" s="2">
        <f>N(P177)+N(Z177)+N(AJ177)</f>
        <v/>
      </c>
      <c r="AU177" s="2">
        <f>N(Q177)+N(AA177)+N(AK177)</f>
        <v/>
      </c>
      <c r="AV177" s="2">
        <f>N(R177)+N(AB177)+N(AL177)</f>
        <v/>
      </c>
      <c r="AW177" s="2">
        <f>SUM(I177:R177)</f>
        <v/>
      </c>
      <c r="AX177" s="2">
        <f>SUM(S177:AB177)</f>
        <v/>
      </c>
      <c r="AY177" s="2">
        <f>SUM(AC177:AL177)</f>
        <v/>
      </c>
    </row>
    <row r="178">
      <c r="A178" s="2" t="inlineStr">
        <is>
          <t>tm_wall_drop_marks|both|stations</t>
        </is>
      </c>
      <c r="B178" s="2" t="inlineStr">
        <is>
          <t>Wall drop marks (2.0 m and 1.8 m)</t>
        </is>
      </c>
      <c r="C178" s="2" t="inlineStr">
        <is>
          <t>墙面下落标记（2.0米和1.8米）</t>
        </is>
      </c>
      <c r="D178" s="2" t="inlineStr">
        <is>
          <t>Teacher made</t>
        </is>
      </c>
      <c r="E178" s="2" t="inlineStr">
        <is>
          <t>Both plans</t>
        </is>
      </c>
      <c r="F178" s="2" t="inlineStr">
        <is>
          <t>Reusable</t>
        </is>
      </c>
      <c r="G178" s="2" t="inlineStr">
        <is>
          <t>stations</t>
        </is>
      </c>
      <c r="H178" s="2">
        <f>IF(OR($E178="Both plans",'Read me'!$C$9="A and B",AND($E178="Plan A (freezer)",'Read me'!$C$9="A"),AND($E178="Plan B (no freezer)",'Read me'!$C$9="B")),1,0)</f>
        <v/>
      </c>
      <c r="I178" s="2" t="n"/>
      <c r="J178" s="2" t="n"/>
      <c r="K178" s="2" t="n">
        <v>6</v>
      </c>
      <c r="L178" s="2" t="n">
        <v>6</v>
      </c>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f>N(I178)+N(S178)+N(AC178)</f>
        <v/>
      </c>
      <c r="AN178" s="2">
        <f>N(J178)+N(T178)+N(AD178)</f>
        <v/>
      </c>
      <c r="AO178" s="2">
        <f>N(K178)+N(U178)+N(AE178)</f>
        <v/>
      </c>
      <c r="AP178" s="2">
        <f>N(L178)+N(V178)+N(AF178)</f>
        <v/>
      </c>
      <c r="AQ178" s="2">
        <f>N(M178)+N(W178)+N(AG178)</f>
        <v/>
      </c>
      <c r="AR178" s="2">
        <f>N(N178)+N(X178)+N(AH178)</f>
        <v/>
      </c>
      <c r="AS178" s="2">
        <f>N(O178)+N(Y178)+N(AI178)</f>
        <v/>
      </c>
      <c r="AT178" s="2">
        <f>N(P178)+N(Z178)+N(AJ178)</f>
        <v/>
      </c>
      <c r="AU178" s="2">
        <f>N(Q178)+N(AA178)+N(AK178)</f>
        <v/>
      </c>
      <c r="AV178" s="2">
        <f>N(R178)+N(AB178)+N(AL178)</f>
        <v/>
      </c>
      <c r="AW178" s="2">
        <f>SUM(I178:R178)</f>
        <v/>
      </c>
      <c r="AX178" s="2">
        <f>SUM(S178:AB178)</f>
        <v/>
      </c>
      <c r="AY178" s="2">
        <f>SUM(AC178:AL178)</f>
        <v/>
      </c>
    </row>
    <row r="179">
      <c r="A179" s="2" t="inlineStr">
        <is>
          <t>tm_evidence3_powder|both|bags</t>
        </is>
      </c>
      <c r="B179" s="2" t="inlineStr">
        <is>
          <t>Evidence 3: scene powder</t>
        </is>
      </c>
      <c r="C179" s="2" t="inlineStr">
        <is>
          <t>证据3：现场白色粉末</t>
        </is>
      </c>
      <c r="D179" s="2" t="inlineStr">
        <is>
          <t>Teacher made</t>
        </is>
      </c>
      <c r="E179" s="2" t="inlineStr">
        <is>
          <t>Both plans</t>
        </is>
      </c>
      <c r="F179" s="2" t="inlineStr">
        <is>
          <t>Used up</t>
        </is>
      </c>
      <c r="G179" s="2" t="inlineStr">
        <is>
          <t>bags</t>
        </is>
      </c>
      <c r="H179" s="2">
        <f>IF(OR($E179="Both plans",'Read me'!$C$9="A and B",AND($E179="Plan A (freezer)",'Read me'!$C$9="A"),AND($E179="Plan B (no freezer)",'Read me'!$C$9="B")),1,0)</f>
        <v/>
      </c>
      <c r="I179" s="2" t="n"/>
      <c r="J179" s="2" t="n"/>
      <c r="K179" s="2" t="n"/>
      <c r="L179" s="2" t="n"/>
      <c r="M179" s="2" t="n"/>
      <c r="N179" s="2" t="n"/>
      <c r="O179" s="2" t="n"/>
      <c r="P179" s="2" t="n"/>
      <c r="Q179" s="2" t="n"/>
      <c r="R179" s="2" t="n"/>
      <c r="S179" s="2" t="n"/>
      <c r="T179" s="2" t="n"/>
      <c r="U179" s="2" t="n"/>
      <c r="V179" s="2" t="n">
        <v>6</v>
      </c>
      <c r="W179" s="2" t="n"/>
      <c r="X179" s="2" t="n"/>
      <c r="Y179" s="2" t="n">
        <v>2</v>
      </c>
      <c r="Z179" s="2" t="n"/>
      <c r="AA179" s="2" t="n"/>
      <c r="AB179" s="2" t="n"/>
      <c r="AC179" s="2" t="n"/>
      <c r="AD179" s="2" t="n"/>
      <c r="AE179" s="2" t="n"/>
      <c r="AF179" s="2" t="n"/>
      <c r="AG179" s="2" t="n"/>
      <c r="AH179" s="2" t="n"/>
      <c r="AI179" s="2" t="n"/>
      <c r="AJ179" s="2" t="n"/>
      <c r="AK179" s="2" t="n"/>
      <c r="AL179" s="2" t="n"/>
      <c r="AM179" s="2">
        <f>N(I179)+N(S179)+N(AC179)</f>
        <v/>
      </c>
      <c r="AN179" s="2">
        <f>N(J179)+N(T179)+N(AD179)</f>
        <v/>
      </c>
      <c r="AO179" s="2">
        <f>N(K179)+N(U179)+N(AE179)</f>
        <v/>
      </c>
      <c r="AP179" s="2">
        <f>N(L179)+N(V179)+N(AF179)</f>
        <v/>
      </c>
      <c r="AQ179" s="2">
        <f>N(M179)+N(W179)+N(AG179)</f>
        <v/>
      </c>
      <c r="AR179" s="2">
        <f>N(N179)+N(X179)+N(AH179)</f>
        <v/>
      </c>
      <c r="AS179" s="2">
        <f>N(O179)+N(Y179)+N(AI179)</f>
        <v/>
      </c>
      <c r="AT179" s="2">
        <f>N(P179)+N(Z179)+N(AJ179)</f>
        <v/>
      </c>
      <c r="AU179" s="2">
        <f>N(Q179)+N(AA179)+N(AK179)</f>
        <v/>
      </c>
      <c r="AV179" s="2">
        <f>N(R179)+N(AB179)+N(AL179)</f>
        <v/>
      </c>
      <c r="AW179" s="2">
        <f>SUM(I179:R179)</f>
        <v/>
      </c>
      <c r="AX179" s="2">
        <f>SUM(S179:AB179)</f>
        <v/>
      </c>
      <c r="AY179" s="2">
        <f>SUM(AC179:AL179)</f>
        <v/>
      </c>
    </row>
    <row r="180">
      <c r="A180" s="2" t="inlineStr">
        <is>
          <t>tm_known_powder_sets|both|sets</t>
        </is>
      </c>
      <c r="B180" s="2" t="inlineStr">
        <is>
          <t>Known powder sets</t>
        </is>
      </c>
      <c r="C180" s="2" t="inlineStr">
        <is>
          <t>已知粉末套装</t>
        </is>
      </c>
      <c r="D180" s="2" t="inlineStr">
        <is>
          <t>Teacher made</t>
        </is>
      </c>
      <c r="E180" s="2" t="inlineStr">
        <is>
          <t>Both plans</t>
        </is>
      </c>
      <c r="F180" s="2" t="inlineStr">
        <is>
          <t>Used up</t>
        </is>
      </c>
      <c r="G180" s="2" t="inlineStr">
        <is>
          <t>sets</t>
        </is>
      </c>
      <c r="H180" s="2">
        <f>IF(OR($E180="Both plans",'Read me'!$C$9="A and B",AND($E180="Plan A (freezer)",'Read me'!$C$9="A"),AND($E180="Plan B (no freezer)",'Read me'!$C$9="B")),1,0)</f>
        <v/>
      </c>
      <c r="I180" s="2" t="n"/>
      <c r="J180" s="2" t="n"/>
      <c r="K180" s="2" t="n"/>
      <c r="L180" s="2" t="n"/>
      <c r="M180" s="2" t="n"/>
      <c r="N180" s="2" t="n"/>
      <c r="O180" s="2" t="n"/>
      <c r="P180" s="2" t="n"/>
      <c r="Q180" s="2" t="n"/>
      <c r="R180" s="2" t="n"/>
      <c r="S180" s="2" t="n"/>
      <c r="T180" s="2" t="n"/>
      <c r="U180" s="2" t="n"/>
      <c r="V180" s="2" t="n">
        <v>6</v>
      </c>
      <c r="W180" s="2" t="n"/>
      <c r="X180" s="2" t="n"/>
      <c r="Y180" s="2" t="n"/>
      <c r="Z180" s="2" t="n"/>
      <c r="AA180" s="2" t="n"/>
      <c r="AB180" s="2" t="n"/>
      <c r="AC180" s="2" t="n"/>
      <c r="AD180" s="2" t="n"/>
      <c r="AE180" s="2" t="n"/>
      <c r="AF180" s="2" t="n"/>
      <c r="AG180" s="2" t="n"/>
      <c r="AH180" s="2" t="n"/>
      <c r="AI180" s="2" t="n"/>
      <c r="AJ180" s="2" t="n"/>
      <c r="AK180" s="2" t="n"/>
      <c r="AL180" s="2" t="n"/>
      <c r="AM180" s="2">
        <f>N(I180)+N(S180)+N(AC180)</f>
        <v/>
      </c>
      <c r="AN180" s="2">
        <f>N(J180)+N(T180)+N(AD180)</f>
        <v/>
      </c>
      <c r="AO180" s="2">
        <f>N(K180)+N(U180)+N(AE180)</f>
        <v/>
      </c>
      <c r="AP180" s="2">
        <f>N(L180)+N(V180)+N(AF180)</f>
        <v/>
      </c>
      <c r="AQ180" s="2">
        <f>N(M180)+N(W180)+N(AG180)</f>
        <v/>
      </c>
      <c r="AR180" s="2">
        <f>N(N180)+N(X180)+N(AH180)</f>
        <v/>
      </c>
      <c r="AS180" s="2">
        <f>N(O180)+N(Y180)+N(AI180)</f>
        <v/>
      </c>
      <c r="AT180" s="2">
        <f>N(P180)+N(Z180)+N(AJ180)</f>
        <v/>
      </c>
      <c r="AU180" s="2">
        <f>N(Q180)+N(AA180)+N(AK180)</f>
        <v/>
      </c>
      <c r="AV180" s="2">
        <f>N(R180)+N(AB180)+N(AL180)</f>
        <v/>
      </c>
      <c r="AW180" s="2">
        <f>SUM(I180:R180)</f>
        <v/>
      </c>
      <c r="AX180" s="2">
        <f>SUM(S180:AB180)</f>
        <v/>
      </c>
      <c r="AY180" s="2">
        <f>SUM(AC180:AL180)</f>
        <v/>
      </c>
    </row>
    <row r="181">
      <c r="A181" s="2" t="inlineStr">
        <is>
          <t>tm_baking_soda_solution|both|ml</t>
        </is>
      </c>
      <c r="B181" s="2" t="inlineStr">
        <is>
          <t>Baking soda solution</t>
        </is>
      </c>
      <c r="C181" s="2" t="inlineStr">
        <is>
          <t>小苏打溶液</t>
        </is>
      </c>
      <c r="D181" s="2" t="inlineStr">
        <is>
          <t>Teacher made</t>
        </is>
      </c>
      <c r="E181" s="2" t="inlineStr">
        <is>
          <t>Both plans</t>
        </is>
      </c>
      <c r="F181" s="2" t="inlineStr">
        <is>
          <t>Used up</t>
        </is>
      </c>
      <c r="G181" s="2" t="inlineStr">
        <is>
          <t>ml</t>
        </is>
      </c>
      <c r="H181" s="2">
        <f>IF(OR($E181="Both plans",'Read me'!$C$9="A and B",AND($E181="Plan A (freezer)",'Read me'!$C$9="A"),AND($E181="Plan B (no freezer)",'Read me'!$C$9="B")),1,0)</f>
        <v/>
      </c>
      <c r="I181" s="2" t="n"/>
      <c r="J181" s="2" t="n"/>
      <c r="K181" s="2" t="n"/>
      <c r="L181" s="2" t="n"/>
      <c r="M181" s="2" t="n"/>
      <c r="N181" s="2" t="n"/>
      <c r="O181" s="2" t="n"/>
      <c r="P181" s="2" t="n"/>
      <c r="Q181" s="2" t="n"/>
      <c r="R181" s="2" t="n"/>
      <c r="S181" s="2" t="n"/>
      <c r="T181" s="2" t="n"/>
      <c r="U181" s="2" t="n"/>
      <c r="V181" s="2" t="n"/>
      <c r="W181" s="2" t="n">
        <v>100</v>
      </c>
      <c r="X181" s="2" t="n"/>
      <c r="Y181" s="2" t="n"/>
      <c r="Z181" s="2" t="n"/>
      <c r="AA181" s="2" t="n"/>
      <c r="AB181" s="2" t="n"/>
      <c r="AC181" s="2" t="n"/>
      <c r="AD181" s="2" t="n"/>
      <c r="AE181" s="2" t="n"/>
      <c r="AF181" s="2" t="n"/>
      <c r="AG181" s="2" t="n"/>
      <c r="AH181" s="2" t="n"/>
      <c r="AI181" s="2" t="n"/>
      <c r="AJ181" s="2" t="n"/>
      <c r="AK181" s="2" t="n"/>
      <c r="AL181" s="2" t="n"/>
      <c r="AM181" s="2">
        <f>N(I181)+N(S181)+N(AC181)</f>
        <v/>
      </c>
      <c r="AN181" s="2">
        <f>N(J181)+N(T181)+N(AD181)</f>
        <v/>
      </c>
      <c r="AO181" s="2">
        <f>N(K181)+N(U181)+N(AE181)</f>
        <v/>
      </c>
      <c r="AP181" s="2">
        <f>N(L181)+N(V181)+N(AF181)</f>
        <v/>
      </c>
      <c r="AQ181" s="2">
        <f>N(M181)+N(W181)+N(AG181)</f>
        <v/>
      </c>
      <c r="AR181" s="2">
        <f>N(N181)+N(X181)+N(AH181)</f>
        <v/>
      </c>
      <c r="AS181" s="2">
        <f>N(O181)+N(Y181)+N(AI181)</f>
        <v/>
      </c>
      <c r="AT181" s="2">
        <f>N(P181)+N(Z181)+N(AJ181)</f>
        <v/>
      </c>
      <c r="AU181" s="2">
        <f>N(Q181)+N(AA181)+N(AK181)</f>
        <v/>
      </c>
      <c r="AV181" s="2">
        <f>N(R181)+N(AB181)+N(AL181)</f>
        <v/>
      </c>
      <c r="AW181" s="2">
        <f>SUM(I181:R181)</f>
        <v/>
      </c>
      <c r="AX181" s="2">
        <f>SUM(S181:AB181)</f>
        <v/>
      </c>
      <c r="AY181" s="2">
        <f>SUM(AC181:AL181)</f>
        <v/>
      </c>
    </row>
    <row r="182">
      <c r="A182" s="2" t="inlineStr">
        <is>
          <t>tm_evidence4_liquid|both|ml</t>
        </is>
      </c>
      <c r="B182" s="2" t="inlineStr">
        <is>
          <t>Evidence 4: scene liquid</t>
        </is>
      </c>
      <c r="C182" s="2" t="inlineStr">
        <is>
          <t>证据4：现场液体</t>
        </is>
      </c>
      <c r="D182" s="2" t="inlineStr">
        <is>
          <t>Teacher made</t>
        </is>
      </c>
      <c r="E182" s="2" t="inlineStr">
        <is>
          <t>Both plans</t>
        </is>
      </c>
      <c r="F182" s="2" t="inlineStr">
        <is>
          <t>Used up</t>
        </is>
      </c>
      <c r="G182" s="2" t="inlineStr">
        <is>
          <t>ml</t>
        </is>
      </c>
      <c r="H182" s="2">
        <f>IF(OR($E182="Both plans",'Read me'!$C$9="A and B",AND($E182="Plan A (freezer)",'Read me'!$C$9="A"),AND($E182="Plan B (no freezer)",'Read me'!$C$9="B")),1,0)</f>
        <v/>
      </c>
      <c r="I182" s="2" t="n"/>
      <c r="J182" s="2" t="n"/>
      <c r="K182" s="2" t="n"/>
      <c r="L182" s="2" t="n"/>
      <c r="M182" s="2" t="n"/>
      <c r="N182" s="2" t="n"/>
      <c r="O182" s="2" t="n"/>
      <c r="P182" s="2" t="n"/>
      <c r="Q182" s="2" t="n"/>
      <c r="R182" s="2" t="n"/>
      <c r="S182" s="2" t="n"/>
      <c r="T182" s="2" t="n"/>
      <c r="U182" s="2" t="n"/>
      <c r="V182" s="2" t="n"/>
      <c r="W182" s="2" t="n">
        <v>60</v>
      </c>
      <c r="X182" s="2" t="n"/>
      <c r="Y182" s="2" t="n"/>
      <c r="Z182" s="2" t="n"/>
      <c r="AA182" s="2" t="n"/>
      <c r="AB182" s="2" t="n"/>
      <c r="AC182" s="2" t="n"/>
      <c r="AD182" s="2" t="n"/>
      <c r="AE182" s="2" t="n"/>
      <c r="AF182" s="2" t="n"/>
      <c r="AG182" s="2" t="n"/>
      <c r="AH182" s="2" t="n"/>
      <c r="AI182" s="2" t="n"/>
      <c r="AJ182" s="2" t="n"/>
      <c r="AK182" s="2" t="n"/>
      <c r="AL182" s="2" t="n"/>
      <c r="AM182" s="2">
        <f>N(I182)+N(S182)+N(AC182)</f>
        <v/>
      </c>
      <c r="AN182" s="2">
        <f>N(J182)+N(T182)+N(AD182)</f>
        <v/>
      </c>
      <c r="AO182" s="2">
        <f>N(K182)+N(U182)+N(AE182)</f>
        <v/>
      </c>
      <c r="AP182" s="2">
        <f>N(L182)+N(V182)+N(AF182)</f>
        <v/>
      </c>
      <c r="AQ182" s="2">
        <f>N(M182)+N(W182)+N(AG182)</f>
        <v/>
      </c>
      <c r="AR182" s="2">
        <f>N(N182)+N(X182)+N(AH182)</f>
        <v/>
      </c>
      <c r="AS182" s="2">
        <f>N(O182)+N(Y182)+N(AI182)</f>
        <v/>
      </c>
      <c r="AT182" s="2">
        <f>N(P182)+N(Z182)+N(AJ182)</f>
        <v/>
      </c>
      <c r="AU182" s="2">
        <f>N(Q182)+N(AA182)+N(AK182)</f>
        <v/>
      </c>
      <c r="AV182" s="2">
        <f>N(R182)+N(AB182)+N(AL182)</f>
        <v/>
      </c>
      <c r="AW182" s="2">
        <f>SUM(I182:R182)</f>
        <v/>
      </c>
      <c r="AX182" s="2">
        <f>SUM(S182:AB182)</f>
        <v/>
      </c>
      <c r="AY182" s="2">
        <f>SUM(AC182:AL182)</f>
        <v/>
      </c>
    </row>
    <row r="183">
      <c r="A183" s="2" t="inlineStr">
        <is>
          <t>tm_foil_troughs|both|troughs</t>
        </is>
      </c>
      <c r="B183" s="2" t="inlineStr">
        <is>
          <t>Foil troughs</t>
        </is>
      </c>
      <c r="C183" s="2" t="inlineStr">
        <is>
          <t>铝箔槽</t>
        </is>
      </c>
      <c r="D183" s="2" t="inlineStr">
        <is>
          <t>Teacher made</t>
        </is>
      </c>
      <c r="E183" s="2" t="inlineStr">
        <is>
          <t>Both plans</t>
        </is>
      </c>
      <c r="F183" s="2" t="inlineStr">
        <is>
          <t>Used up</t>
        </is>
      </c>
      <c r="G183" s="2" t="inlineStr">
        <is>
          <t>troughs</t>
        </is>
      </c>
      <c r="H183" s="2">
        <f>IF(OR($E183="Both plans",'Read me'!$C$9="A and B",AND($E183="Plan A (freezer)",'Read me'!$C$9="A"),AND($E183="Plan B (no freezer)",'Read me'!$C$9="B")),1,0)</f>
        <v/>
      </c>
      <c r="I183" s="2" t="n"/>
      <c r="J183" s="2" t="n"/>
      <c r="K183" s="2" t="n"/>
      <c r="L183" s="2" t="n"/>
      <c r="M183" s="2" t="n">
        <v>5</v>
      </c>
      <c r="N183" s="2" t="n"/>
      <c r="O183" s="2" t="n">
        <v>60</v>
      </c>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f>N(I183)+N(S183)+N(AC183)</f>
        <v/>
      </c>
      <c r="AN183" s="2">
        <f>N(J183)+N(T183)+N(AD183)</f>
        <v/>
      </c>
      <c r="AO183" s="2">
        <f>N(K183)+N(U183)+N(AE183)</f>
        <v/>
      </c>
      <c r="AP183" s="2">
        <f>N(L183)+N(V183)+N(AF183)</f>
        <v/>
      </c>
      <c r="AQ183" s="2">
        <f>N(M183)+N(W183)+N(AG183)</f>
        <v/>
      </c>
      <c r="AR183" s="2">
        <f>N(N183)+N(X183)+N(AH183)</f>
        <v/>
      </c>
      <c r="AS183" s="2">
        <f>N(O183)+N(Y183)+N(AI183)</f>
        <v/>
      </c>
      <c r="AT183" s="2">
        <f>N(P183)+N(Z183)+N(AJ183)</f>
        <v/>
      </c>
      <c r="AU183" s="2">
        <f>N(Q183)+N(AA183)+N(AK183)</f>
        <v/>
      </c>
      <c r="AV183" s="2">
        <f>N(R183)+N(AB183)+N(AL183)</f>
        <v/>
      </c>
      <c r="AW183" s="2">
        <f>SUM(I183:R183)</f>
        <v/>
      </c>
      <c r="AX183" s="2">
        <f>SUM(S183:AB183)</f>
        <v/>
      </c>
      <c r="AY183" s="2">
        <f>SUM(AC183:AL183)</f>
        <v/>
      </c>
    </row>
    <row r="184">
      <c r="A184" s="2" t="inlineStr">
        <is>
          <t>tm_hanger_strings|both|strings</t>
        </is>
      </c>
      <c r="B184" s="2" t="inlineStr">
        <is>
          <t>Hanger strings, pre-tied</t>
        </is>
      </c>
      <c r="C184" s="2" t="inlineStr">
        <is>
          <t>预先系好的挂绳（绳圈）</t>
        </is>
      </c>
      <c r="D184" s="2" t="inlineStr">
        <is>
          <t>Teacher made</t>
        </is>
      </c>
      <c r="E184" s="2" t="inlineStr">
        <is>
          <t>Both plans</t>
        </is>
      </c>
      <c r="F184" s="2" t="inlineStr">
        <is>
          <t>Used up</t>
        </is>
      </c>
      <c r="G184" s="2" t="inlineStr">
        <is>
          <t>strings</t>
        </is>
      </c>
      <c r="H184" s="2">
        <f>IF(OR($E184="Both plans",'Read me'!$C$9="A and B",AND($E184="Plan A (freezer)",'Read me'!$C$9="A"),AND($E184="Plan B (no freezer)",'Read me'!$C$9="B")),1,0)</f>
        <v/>
      </c>
      <c r="I184" s="2" t="n"/>
      <c r="J184" s="2" t="n"/>
      <c r="K184" s="2" t="n"/>
      <c r="L184" s="2" t="n"/>
      <c r="M184" s="2" t="n">
        <v>1</v>
      </c>
      <c r="N184" s="2" t="n"/>
      <c r="O184" s="2" t="n"/>
      <c r="P184" s="2" t="n">
        <v>13</v>
      </c>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f>N(I184)+N(S184)+N(AC184)</f>
        <v/>
      </c>
      <c r="AN184" s="2">
        <f>N(J184)+N(T184)+N(AD184)</f>
        <v/>
      </c>
      <c r="AO184" s="2">
        <f>N(K184)+N(U184)+N(AE184)</f>
        <v/>
      </c>
      <c r="AP184" s="2">
        <f>N(L184)+N(V184)+N(AF184)</f>
        <v/>
      </c>
      <c r="AQ184" s="2">
        <f>N(M184)+N(W184)+N(AG184)</f>
        <v/>
      </c>
      <c r="AR184" s="2">
        <f>N(N184)+N(X184)+N(AH184)</f>
        <v/>
      </c>
      <c r="AS184" s="2">
        <f>N(O184)+N(Y184)+N(AI184)</f>
        <v/>
      </c>
      <c r="AT184" s="2">
        <f>N(P184)+N(Z184)+N(AJ184)</f>
        <v/>
      </c>
      <c r="AU184" s="2">
        <f>N(Q184)+N(AA184)+N(AK184)</f>
        <v/>
      </c>
      <c r="AV184" s="2">
        <f>N(R184)+N(AB184)+N(AL184)</f>
        <v/>
      </c>
      <c r="AW184" s="2">
        <f>SUM(I184:R184)</f>
        <v/>
      </c>
      <c r="AX184" s="2">
        <f>SUM(S184:AB184)</f>
        <v/>
      </c>
      <c r="AY184" s="2">
        <f>SUM(AC184:AL184)</f>
        <v/>
      </c>
    </row>
    <row r="185">
      <c r="A185" s="2" t="inlineStr">
        <is>
          <t>tm_plain_trial_strips|both|strips</t>
        </is>
      </c>
      <c r="B185" s="2" t="inlineStr">
        <is>
          <t>Plain trial strips</t>
        </is>
      </c>
      <c r="C185" s="2" t="inlineStr">
        <is>
          <t>普通试验样品条</t>
        </is>
      </c>
      <c r="D185" s="2" t="inlineStr">
        <is>
          <t>Teacher made</t>
        </is>
      </c>
      <c r="E185" s="2" t="inlineStr">
        <is>
          <t>Both plans</t>
        </is>
      </c>
      <c r="F185" s="2" t="inlineStr">
        <is>
          <t>Used up</t>
        </is>
      </c>
      <c r="G185" s="2" t="inlineStr">
        <is>
          <t>strips</t>
        </is>
      </c>
      <c r="H185" s="2">
        <f>IF(OR($E185="Both plans",'Read me'!$C$9="A and B",AND($E185="Plan A (freezer)",'Read me'!$C$9="A"),AND($E185="Plan B (no freezer)",'Read me'!$C$9="B")),1,0)</f>
        <v/>
      </c>
      <c r="I185" s="2" t="n"/>
      <c r="J185" s="2" t="n"/>
      <c r="K185" s="2" t="n"/>
      <c r="L185" s="2" t="n"/>
      <c r="M185" s="2" t="n">
        <v>5</v>
      </c>
      <c r="N185" s="2" t="n"/>
      <c r="O185" s="2" t="n"/>
      <c r="P185" s="2" t="n">
        <v>2</v>
      </c>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f>N(I185)+N(S185)+N(AC185)</f>
        <v/>
      </c>
      <c r="AN185" s="2">
        <f>N(J185)+N(T185)+N(AD185)</f>
        <v/>
      </c>
      <c r="AO185" s="2">
        <f>N(K185)+N(U185)+N(AE185)</f>
        <v/>
      </c>
      <c r="AP185" s="2">
        <f>N(L185)+N(V185)+N(AF185)</f>
        <v/>
      </c>
      <c r="AQ185" s="2">
        <f>N(M185)+N(W185)+N(AG185)</f>
        <v/>
      </c>
      <c r="AR185" s="2">
        <f>N(N185)+N(X185)+N(AH185)</f>
        <v/>
      </c>
      <c r="AS185" s="2">
        <f>N(O185)+N(Y185)+N(AI185)</f>
        <v/>
      </c>
      <c r="AT185" s="2">
        <f>N(P185)+N(Z185)+N(AJ185)</f>
        <v/>
      </c>
      <c r="AU185" s="2">
        <f>N(Q185)+N(AA185)+N(AK185)</f>
        <v/>
      </c>
      <c r="AV185" s="2">
        <f>N(R185)+N(AB185)+N(AL185)</f>
        <v/>
      </c>
      <c r="AW185" s="2">
        <f>SUM(I185:R185)</f>
        <v/>
      </c>
      <c r="AX185" s="2">
        <f>SUM(S185:AB185)</f>
        <v/>
      </c>
      <c r="AY185" s="2">
        <f>SUM(AC185:AL185)</f>
        <v/>
      </c>
    </row>
    <row r="186">
      <c r="A186" s="2" t="inlineStr">
        <is>
          <t>tm_pour_cups_25ml|both|cups</t>
        </is>
      </c>
      <c r="B186" s="2" t="inlineStr">
        <is>
          <t>Pour cups marked at 25 ml</t>
        </is>
      </c>
      <c r="C186" s="2" t="inlineStr">
        <is>
          <t>标有25毫升刻线的倒水杯</t>
        </is>
      </c>
      <c r="D186" s="2" t="inlineStr">
        <is>
          <t>Teacher made</t>
        </is>
      </c>
      <c r="E186" s="2" t="inlineStr">
        <is>
          <t>Both plans</t>
        </is>
      </c>
      <c r="F186" s="2" t="inlineStr">
        <is>
          <t>Reusable</t>
        </is>
      </c>
      <c r="G186" s="2" t="inlineStr">
        <is>
          <t>cups</t>
        </is>
      </c>
      <c r="H186" s="2">
        <f>IF(OR($E186="Both plans",'Read me'!$C$9="A and B",AND($E186="Plan A (freezer)",'Read me'!$C$9="A"),AND($E186="Plan B (no freezer)",'Read me'!$C$9="B")),1,0)</f>
        <v/>
      </c>
      <c r="I186" s="2" t="n"/>
      <c r="J186" s="2" t="n"/>
      <c r="K186" s="2" t="n"/>
      <c r="L186" s="2" t="n"/>
      <c r="M186" s="2" t="n">
        <v>1</v>
      </c>
      <c r="N186" s="2" t="n"/>
      <c r="O186" s="2" t="n"/>
      <c r="P186" s="2" t="n">
        <v>12</v>
      </c>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f>N(I186)+N(S186)+N(AC186)</f>
        <v/>
      </c>
      <c r="AN186" s="2">
        <f>N(J186)+N(T186)+N(AD186)</f>
        <v/>
      </c>
      <c r="AO186" s="2">
        <f>N(K186)+N(U186)+N(AE186)</f>
        <v/>
      </c>
      <c r="AP186" s="2">
        <f>N(L186)+N(V186)+N(AF186)</f>
        <v/>
      </c>
      <c r="AQ186" s="2">
        <f>N(M186)+N(W186)+N(AG186)</f>
        <v/>
      </c>
      <c r="AR186" s="2">
        <f>N(N186)+N(X186)+N(AH186)</f>
        <v/>
      </c>
      <c r="AS186" s="2">
        <f>N(O186)+N(Y186)+N(AI186)</f>
        <v/>
      </c>
      <c r="AT186" s="2">
        <f>N(P186)+N(Z186)+N(AJ186)</f>
        <v/>
      </c>
      <c r="AU186" s="2">
        <f>N(Q186)+N(AA186)+N(AK186)</f>
        <v/>
      </c>
      <c r="AV186" s="2">
        <f>N(R186)+N(AB186)+N(AL186)</f>
        <v/>
      </c>
      <c r="AW186" s="2">
        <f>SUM(I186:R186)</f>
        <v/>
      </c>
      <c r="AX186" s="2">
        <f>SUM(S186:AB186)</f>
        <v/>
      </c>
      <c r="AY186" s="2">
        <f>SUM(AC186:AL186)</f>
        <v/>
      </c>
    </row>
    <row r="187">
      <c r="A187" s="2" t="inlineStr">
        <is>
          <t>tm_red_cabbage_indicator|both|ml</t>
        </is>
      </c>
      <c r="B187" s="2" t="inlineStr">
        <is>
          <t>Red cabbage indicator</t>
        </is>
      </c>
      <c r="C187" s="2" t="inlineStr">
        <is>
          <t>紫甘蓝指示剂</t>
        </is>
      </c>
      <c r="D187" s="2" t="inlineStr">
        <is>
          <t>Teacher made</t>
        </is>
      </c>
      <c r="E187" s="2" t="inlineStr">
        <is>
          <t>Both plans</t>
        </is>
      </c>
      <c r="F187" s="2" t="inlineStr">
        <is>
          <t>Used up</t>
        </is>
      </c>
      <c r="G187" s="2" t="inlineStr">
        <is>
          <t>ml</t>
        </is>
      </c>
      <c r="H187" s="2">
        <f>IF(OR($E187="Both plans",'Read me'!$C$9="A and B",AND($E187="Plan A (freezer)",'Read me'!$C$9="A"),AND($E187="Plan B (no freezer)",'Read me'!$C$9="B")),1,0)</f>
        <v/>
      </c>
      <c r="I187" s="2" t="n"/>
      <c r="J187" s="2" t="n"/>
      <c r="K187" s="2" t="n"/>
      <c r="L187" s="2" t="n"/>
      <c r="M187" s="2" t="n"/>
      <c r="N187" s="2" t="n"/>
      <c r="O187" s="2" t="n"/>
      <c r="P187" s="2" t="n"/>
      <c r="Q187" s="2" t="n"/>
      <c r="R187" s="2" t="n"/>
      <c r="S187" s="2" t="n"/>
      <c r="T187" s="2" t="n"/>
      <c r="U187" s="2" t="n"/>
      <c r="V187" s="2" t="n"/>
      <c r="W187" s="2" t="n">
        <v>500</v>
      </c>
      <c r="X187" s="2" t="n"/>
      <c r="Y187" s="2" t="n"/>
      <c r="Z187" s="2" t="n"/>
      <c r="AA187" s="2" t="n"/>
      <c r="AB187" s="2" t="n"/>
      <c r="AC187" s="2" t="n"/>
      <c r="AD187" s="2" t="n"/>
      <c r="AE187" s="2" t="n"/>
      <c r="AF187" s="2" t="n"/>
      <c r="AG187" s="2" t="n"/>
      <c r="AH187" s="2" t="n"/>
      <c r="AI187" s="2" t="n"/>
      <c r="AJ187" s="2" t="n"/>
      <c r="AK187" s="2" t="n"/>
      <c r="AL187" s="2" t="n"/>
      <c r="AM187" s="2">
        <f>N(I187)+N(S187)+N(AC187)</f>
        <v/>
      </c>
      <c r="AN187" s="2">
        <f>N(J187)+N(T187)+N(AD187)</f>
        <v/>
      </c>
      <c r="AO187" s="2">
        <f>N(K187)+N(U187)+N(AE187)</f>
        <v/>
      </c>
      <c r="AP187" s="2">
        <f>N(L187)+N(V187)+N(AF187)</f>
        <v/>
      </c>
      <c r="AQ187" s="2">
        <f>N(M187)+N(W187)+N(AG187)</f>
        <v/>
      </c>
      <c r="AR187" s="2">
        <f>N(N187)+N(X187)+N(AH187)</f>
        <v/>
      </c>
      <c r="AS187" s="2">
        <f>N(O187)+N(Y187)+N(AI187)</f>
        <v/>
      </c>
      <c r="AT187" s="2">
        <f>N(P187)+N(Z187)+N(AJ187)</f>
        <v/>
      </c>
      <c r="AU187" s="2">
        <f>N(Q187)+N(AA187)+N(AK187)</f>
        <v/>
      </c>
      <c r="AV187" s="2">
        <f>N(R187)+N(AB187)+N(AL187)</f>
        <v/>
      </c>
      <c r="AW187" s="2">
        <f>SUM(I187:R187)</f>
        <v/>
      </c>
      <c r="AX187" s="2">
        <f>SUM(S187:AB187)</f>
        <v/>
      </c>
      <c r="AY187" s="2">
        <f>SUM(AC187:AL187)</f>
        <v/>
      </c>
    </row>
    <row r="188">
      <c r="A188" s="2" t="inlineStr">
        <is>
          <t>tm_salt_dough_balls|B|balls</t>
        </is>
      </c>
      <c r="B188" s="2" t="inlineStr">
        <is>
          <t>Salt dough balls, 18 g, bagged</t>
        </is>
      </c>
      <c r="C188" s="2" t="inlineStr">
        <is>
          <t>盐面团球（18克，袋装）</t>
        </is>
      </c>
      <c r="D188" s="2" t="inlineStr">
        <is>
          <t>Teacher made</t>
        </is>
      </c>
      <c r="E188" s="2" t="inlineStr">
        <is>
          <t>Plan B (no freezer)</t>
        </is>
      </c>
      <c r="F188" s="2" t="inlineStr">
        <is>
          <t>Used up</t>
        </is>
      </c>
      <c r="G188" s="2" t="inlineStr">
        <is>
          <t>balls</t>
        </is>
      </c>
      <c r="H188" s="2">
        <f>IF(OR($E188="Both plans",'Read me'!$C$9="A and B",AND($E188="Plan A (freezer)",'Read me'!$C$9="A"),AND($E188="Plan B (no freezer)",'Read me'!$C$9="B")),1,0)</f>
        <v/>
      </c>
      <c r="I188" s="2" t="n"/>
      <c r="J188" s="2" t="n"/>
      <c r="K188" s="2" t="n"/>
      <c r="L188" s="2" t="n"/>
      <c r="M188" s="2" t="n">
        <v>5</v>
      </c>
      <c r="N188" s="2" t="n"/>
      <c r="O188" s="2" t="n">
        <v>54</v>
      </c>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f>N(I188)+N(S188)+N(AC188)</f>
        <v/>
      </c>
      <c r="AN188" s="2">
        <f>N(J188)+N(T188)+N(AD188)</f>
        <v/>
      </c>
      <c r="AO188" s="2">
        <f>N(K188)+N(U188)+N(AE188)</f>
        <v/>
      </c>
      <c r="AP188" s="2">
        <f>N(L188)+N(V188)+N(AF188)</f>
        <v/>
      </c>
      <c r="AQ188" s="2">
        <f>N(M188)+N(W188)+N(AG188)</f>
        <v/>
      </c>
      <c r="AR188" s="2">
        <f>N(N188)+N(X188)+N(AH188)</f>
        <v/>
      </c>
      <c r="AS188" s="2">
        <f>N(O188)+N(Y188)+N(AI188)</f>
        <v/>
      </c>
      <c r="AT188" s="2">
        <f>N(P188)+N(Z188)+N(AJ188)</f>
        <v/>
      </c>
      <c r="AU188" s="2">
        <f>N(Q188)+N(AA188)+N(AK188)</f>
        <v/>
      </c>
      <c r="AV188" s="2">
        <f>N(R188)+N(AB188)+N(AL188)</f>
        <v/>
      </c>
      <c r="AW188" s="2">
        <f>SUM(I188:R188)</f>
        <v/>
      </c>
      <c r="AX188" s="2">
        <f>SUM(S188:AB188)</f>
        <v/>
      </c>
      <c r="AY188" s="2">
        <f>SUM(AC188:AL188)</f>
        <v/>
      </c>
    </row>
    <row r="189">
      <c r="A189" s="2" t="inlineStr">
        <is>
          <t>tm_soap_solution|both|ml</t>
        </is>
      </c>
      <c r="B189" s="2" t="inlineStr">
        <is>
          <t>Soap solution</t>
        </is>
      </c>
      <c r="C189" s="2" t="inlineStr">
        <is>
          <t>肥皂水</t>
        </is>
      </c>
      <c r="D189" s="2" t="inlineStr">
        <is>
          <t>Teacher made</t>
        </is>
      </c>
      <c r="E189" s="2" t="inlineStr">
        <is>
          <t>Both plans</t>
        </is>
      </c>
      <c r="F189" s="2" t="inlineStr">
        <is>
          <t>Used up</t>
        </is>
      </c>
      <c r="G189" s="2" t="inlineStr">
        <is>
          <t>ml</t>
        </is>
      </c>
      <c r="H189" s="2">
        <f>IF(OR($E189="Both plans",'Read me'!$C$9="A and B",AND($E189="Plan A (freezer)",'Read me'!$C$9="A"),AND($E189="Plan B (no freezer)",'Read me'!$C$9="B")),1,0)</f>
        <v/>
      </c>
      <c r="I189" s="2" t="n"/>
      <c r="J189" s="2" t="n"/>
      <c r="K189" s="2" t="n"/>
      <c r="L189" s="2" t="n"/>
      <c r="M189" s="2" t="n"/>
      <c r="N189" s="2" t="n"/>
      <c r="O189" s="2" t="n"/>
      <c r="P189" s="2" t="n"/>
      <c r="Q189" s="2" t="n"/>
      <c r="R189" s="2" t="n"/>
      <c r="S189" s="2" t="n"/>
      <c r="T189" s="2" t="n"/>
      <c r="U189" s="2" t="n"/>
      <c r="V189" s="2" t="n"/>
      <c r="W189" s="2" t="n">
        <v>200</v>
      </c>
      <c r="X189" s="2" t="n"/>
      <c r="Y189" s="2" t="n"/>
      <c r="Z189" s="2" t="n"/>
      <c r="AA189" s="2" t="n"/>
      <c r="AB189" s="2" t="n"/>
      <c r="AC189" s="2" t="n"/>
      <c r="AD189" s="2" t="n"/>
      <c r="AE189" s="2" t="n"/>
      <c r="AF189" s="2" t="n"/>
      <c r="AG189" s="2" t="n"/>
      <c r="AH189" s="2" t="n"/>
      <c r="AI189" s="2" t="n"/>
      <c r="AJ189" s="2" t="n"/>
      <c r="AK189" s="2" t="n"/>
      <c r="AL189" s="2" t="n"/>
      <c r="AM189" s="2">
        <f>N(I189)+N(S189)+N(AC189)</f>
        <v/>
      </c>
      <c r="AN189" s="2">
        <f>N(J189)+N(T189)+N(AD189)</f>
        <v/>
      </c>
      <c r="AO189" s="2">
        <f>N(K189)+N(U189)+N(AE189)</f>
        <v/>
      </c>
      <c r="AP189" s="2">
        <f>N(L189)+N(V189)+N(AF189)</f>
        <v/>
      </c>
      <c r="AQ189" s="2">
        <f>N(M189)+N(W189)+N(AG189)</f>
        <v/>
      </c>
      <c r="AR189" s="2">
        <f>N(N189)+N(X189)+N(AH189)</f>
        <v/>
      </c>
      <c r="AS189" s="2">
        <f>N(O189)+N(Y189)+N(AI189)</f>
        <v/>
      </c>
      <c r="AT189" s="2">
        <f>N(P189)+N(Z189)+N(AJ189)</f>
        <v/>
      </c>
      <c r="AU189" s="2">
        <f>N(Q189)+N(AA189)+N(AK189)</f>
        <v/>
      </c>
      <c r="AV189" s="2">
        <f>N(R189)+N(AB189)+N(AL189)</f>
        <v/>
      </c>
      <c r="AW189" s="2">
        <f>SUM(I189:R189)</f>
        <v/>
      </c>
      <c r="AX189" s="2">
        <f>SUM(S189:AB189)</f>
        <v/>
      </c>
      <c r="AY189" s="2">
        <f>SUM(AC189:AL189)</f>
        <v/>
      </c>
    </row>
    <row r="190">
      <c r="A190" s="2" t="inlineStr">
        <is>
          <t>tm_bagged_ice_cubes|A|bagged cubes</t>
        </is>
      </c>
      <c r="B190" s="2" t="inlineStr">
        <is>
          <t>Bagged ice cubes</t>
        </is>
      </c>
      <c r="C190" s="2" t="inlineStr">
        <is>
          <t>袋装冰块</t>
        </is>
      </c>
      <c r="D190" s="2" t="inlineStr">
        <is>
          <t>Teacher made</t>
        </is>
      </c>
      <c r="E190" s="2" t="inlineStr">
        <is>
          <t>Plan A (freezer)</t>
        </is>
      </c>
      <c r="F190" s="2" t="inlineStr">
        <is>
          <t>Used up</t>
        </is>
      </c>
      <c r="G190" s="2" t="inlineStr">
        <is>
          <t>bagged cubes</t>
        </is>
      </c>
      <c r="H190" s="2">
        <f>IF(OR($E190="Both plans",'Read me'!$C$9="A and B",AND($E190="Plan A (freezer)",'Read me'!$C$9="A"),AND($E190="Plan B (no freezer)",'Read me'!$C$9="B")),1,0)</f>
        <v/>
      </c>
      <c r="I190" s="2" t="n"/>
      <c r="J190" s="2" t="n"/>
      <c r="K190" s="2" t="n"/>
      <c r="L190" s="2" t="n"/>
      <c r="M190" s="2" t="n"/>
      <c r="N190" s="2" t="n">
        <v>28</v>
      </c>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f>N(I190)+N(S190)+N(AC190)</f>
        <v/>
      </c>
      <c r="AN190" s="2">
        <f>N(J190)+N(T190)+N(AD190)</f>
        <v/>
      </c>
      <c r="AO190" s="2">
        <f>N(K190)+N(U190)+N(AE190)</f>
        <v/>
      </c>
      <c r="AP190" s="2">
        <f>N(L190)+N(V190)+N(AF190)</f>
        <v/>
      </c>
      <c r="AQ190" s="2">
        <f>N(M190)+N(W190)+N(AG190)</f>
        <v/>
      </c>
      <c r="AR190" s="2">
        <f>N(N190)+N(X190)+N(AH190)</f>
        <v/>
      </c>
      <c r="AS190" s="2">
        <f>N(O190)+N(Y190)+N(AI190)</f>
        <v/>
      </c>
      <c r="AT190" s="2">
        <f>N(P190)+N(Z190)+N(AJ190)</f>
        <v/>
      </c>
      <c r="AU190" s="2">
        <f>N(Q190)+N(AA190)+N(AK190)</f>
        <v/>
      </c>
      <c r="AV190" s="2">
        <f>N(R190)+N(AB190)+N(AL190)</f>
        <v/>
      </c>
      <c r="AW190" s="2">
        <f>SUM(I190:R190)</f>
        <v/>
      </c>
      <c r="AX190" s="2">
        <f>SUM(S190:AB190)</f>
        <v/>
      </c>
      <c r="AY190" s="2">
        <f>SUM(AC190:AL190)</f>
        <v/>
      </c>
    </row>
    <row r="191">
      <c r="A191" s="2" t="inlineStr">
        <is>
          <t>tm_cups_150ml_line|B|cups</t>
        </is>
      </c>
      <c r="B191" s="2" t="inlineStr">
        <is>
          <t>Cups marked with a 150 ml line</t>
        </is>
      </c>
      <c r="C191" s="2" t="inlineStr">
        <is>
          <t>标有150毫升刻线的杯子</t>
        </is>
      </c>
      <c r="D191" s="2" t="inlineStr">
        <is>
          <t>Teacher made</t>
        </is>
      </c>
      <c r="E191" s="2" t="inlineStr">
        <is>
          <t>Plan B (no freezer)</t>
        </is>
      </c>
      <c r="F191" s="2" t="inlineStr">
        <is>
          <t>Reusable</t>
        </is>
      </c>
      <c r="G191" s="2" t="inlineStr">
        <is>
          <t>cups</t>
        </is>
      </c>
      <c r="H191" s="2">
        <f>IF(OR($E191="Both plans",'Read me'!$C$9="A and B",AND($E191="Plan A (freezer)",'Read me'!$C$9="A"),AND($E191="Plan B (no freezer)",'Read me'!$C$9="B")),1,0)</f>
        <v/>
      </c>
      <c r="I191" s="2" t="n"/>
      <c r="J191" s="2" t="n"/>
      <c r="K191" s="2" t="n"/>
      <c r="L191" s="2" t="n"/>
      <c r="M191" s="2" t="n"/>
      <c r="N191" s="2" t="n">
        <v>24</v>
      </c>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f>N(I191)+N(S191)+N(AC191)</f>
        <v/>
      </c>
      <c r="AN191" s="2">
        <f>N(J191)+N(T191)+N(AD191)</f>
        <v/>
      </c>
      <c r="AO191" s="2">
        <f>N(K191)+N(U191)+N(AE191)</f>
        <v/>
      </c>
      <c r="AP191" s="2">
        <f>N(L191)+N(V191)+N(AF191)</f>
        <v/>
      </c>
      <c r="AQ191" s="2">
        <f>N(M191)+N(W191)+N(AG191)</f>
        <v/>
      </c>
      <c r="AR191" s="2">
        <f>N(N191)+N(X191)+N(AH191)</f>
        <v/>
      </c>
      <c r="AS191" s="2">
        <f>N(O191)+N(Y191)+N(AI191)</f>
        <v/>
      </c>
      <c r="AT191" s="2">
        <f>N(P191)+N(Z191)+N(AJ191)</f>
        <v/>
      </c>
      <c r="AU191" s="2">
        <f>N(Q191)+N(AA191)+N(AK191)</f>
        <v/>
      </c>
      <c r="AV191" s="2">
        <f>N(R191)+N(AB191)+N(AL191)</f>
        <v/>
      </c>
      <c r="AW191" s="2">
        <f>SUM(I191:R191)</f>
        <v/>
      </c>
      <c r="AX191" s="2">
        <f>SUM(S191:AB191)</f>
        <v/>
      </c>
      <c r="AY191" s="2">
        <f>SUM(AC191:AL191)</f>
        <v/>
      </c>
    </row>
    <row r="192">
      <c r="A192" s="2" t="inlineStr">
        <is>
          <t>tm_freezing_mixture|A|cups</t>
        </is>
      </c>
      <c r="B192" s="2" t="inlineStr">
        <is>
          <t>Freezing mixture (ice and salt)</t>
        </is>
      </c>
      <c r="C192" s="2" t="inlineStr">
        <is>
          <t>冰盐冷冻混合物（教师配制）</t>
        </is>
      </c>
      <c r="D192" s="2" t="inlineStr">
        <is>
          <t>Teacher made</t>
        </is>
      </c>
      <c r="E192" s="2" t="inlineStr">
        <is>
          <t>Plan A (freezer)</t>
        </is>
      </c>
      <c r="F192" s="2" t="inlineStr">
        <is>
          <t>Used up</t>
        </is>
      </c>
      <c r="G192" s="2" t="inlineStr">
        <is>
          <t>cups</t>
        </is>
      </c>
      <c r="H192" s="2">
        <f>IF(OR($E192="Both plans",'Read me'!$C$9="A and B",AND($E192="Plan A (freezer)",'Read me'!$C$9="A"),AND($E192="Plan B (no freezer)",'Read me'!$C$9="B")),1,0)</f>
        <v/>
      </c>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v>6</v>
      </c>
      <c r="AI192" s="2" t="n"/>
      <c r="AJ192" s="2" t="n">
        <v>1</v>
      </c>
      <c r="AK192" s="2" t="n"/>
      <c r="AL192" s="2" t="n"/>
      <c r="AM192" s="2">
        <f>N(I192)+N(S192)+N(AC192)</f>
        <v/>
      </c>
      <c r="AN192" s="2">
        <f>N(J192)+N(T192)+N(AD192)</f>
        <v/>
      </c>
      <c r="AO192" s="2">
        <f>N(K192)+N(U192)+N(AE192)</f>
        <v/>
      </c>
      <c r="AP192" s="2">
        <f>N(L192)+N(V192)+N(AF192)</f>
        <v/>
      </c>
      <c r="AQ192" s="2">
        <f>N(M192)+N(W192)+N(AG192)</f>
        <v/>
      </c>
      <c r="AR192" s="2">
        <f>N(N192)+N(X192)+N(AH192)</f>
        <v/>
      </c>
      <c r="AS192" s="2">
        <f>N(O192)+N(Y192)+N(AI192)</f>
        <v/>
      </c>
      <c r="AT192" s="2">
        <f>N(P192)+N(Z192)+N(AJ192)</f>
        <v/>
      </c>
      <c r="AU192" s="2">
        <f>N(Q192)+N(AA192)+N(AK192)</f>
        <v/>
      </c>
      <c r="AV192" s="2">
        <f>N(R192)+N(AB192)+N(AL192)</f>
        <v/>
      </c>
      <c r="AW192" s="2">
        <f>SUM(I192:R192)</f>
        <v/>
      </c>
      <c r="AX192" s="2">
        <f>SUM(S192:AB192)</f>
        <v/>
      </c>
      <c r="AY192" s="2">
        <f>SUM(AC192:AL192)</f>
        <v/>
      </c>
    </row>
    <row r="193">
      <c r="A193" s="2" t="inlineStr">
        <is>
          <t>tm_height_stations|both|stations</t>
        </is>
      </c>
      <c r="B193" s="2" t="inlineStr">
        <is>
          <t>Height measuring stations</t>
        </is>
      </c>
      <c r="C193" s="2" t="inlineStr">
        <is>
          <t>身高测量站</t>
        </is>
      </c>
      <c r="D193" s="2" t="inlineStr">
        <is>
          <t>Teacher made</t>
        </is>
      </c>
      <c r="E193" s="2" t="inlineStr">
        <is>
          <t>Both plans</t>
        </is>
      </c>
      <c r="F193" s="2" t="inlineStr">
        <is>
          <t>Reusable</t>
        </is>
      </c>
      <c r="G193" s="2" t="inlineStr">
        <is>
          <t>stations</t>
        </is>
      </c>
      <c r="H193" s="2">
        <f>IF(OR($E193="Both plans",'Read me'!$C$9="A and B",AND($E193="Plan A (freezer)",'Read me'!$C$9="A"),AND($E193="Plan B (no freezer)",'Read me'!$C$9="B")),1,0)</f>
        <v/>
      </c>
      <c r="I193" s="2" t="n"/>
      <c r="J193" s="2" t="n"/>
      <c r="K193" s="2" t="n"/>
      <c r="L193" s="2" t="n"/>
      <c r="M193" s="2" t="n"/>
      <c r="N193" s="2" t="n"/>
      <c r="O193" s="2" t="n"/>
      <c r="P193" s="2" t="n"/>
      <c r="Q193" s="2" t="n"/>
      <c r="R193" s="2" t="n"/>
      <c r="S193" s="2" t="n"/>
      <c r="T193" s="2" t="n"/>
      <c r="U193" s="2" t="n"/>
      <c r="V193" s="2" t="n"/>
      <c r="W193" s="2" t="n"/>
      <c r="X193" s="2" t="n">
        <v>3</v>
      </c>
      <c r="Y193" s="2" t="n"/>
      <c r="Z193" s="2" t="n"/>
      <c r="AA193" s="2" t="n"/>
      <c r="AB193" s="2" t="n"/>
      <c r="AC193" s="2" t="n"/>
      <c r="AD193" s="2" t="n"/>
      <c r="AE193" s="2" t="n"/>
      <c r="AF193" s="2" t="n"/>
      <c r="AG193" s="2" t="n"/>
      <c r="AH193" s="2" t="n"/>
      <c r="AI193" s="2" t="n"/>
      <c r="AJ193" s="2" t="n"/>
      <c r="AK193" s="2" t="n"/>
      <c r="AL193" s="2" t="n"/>
      <c r="AM193" s="2">
        <f>N(I193)+N(S193)+N(AC193)</f>
        <v/>
      </c>
      <c r="AN193" s="2">
        <f>N(J193)+N(T193)+N(AD193)</f>
        <v/>
      </c>
      <c r="AO193" s="2">
        <f>N(K193)+N(U193)+N(AE193)</f>
        <v/>
      </c>
      <c r="AP193" s="2">
        <f>N(L193)+N(V193)+N(AF193)</f>
        <v/>
      </c>
      <c r="AQ193" s="2">
        <f>N(M193)+N(W193)+N(AG193)</f>
        <v/>
      </c>
      <c r="AR193" s="2">
        <f>N(N193)+N(X193)+N(AH193)</f>
        <v/>
      </c>
      <c r="AS193" s="2">
        <f>N(O193)+N(Y193)+N(AI193)</f>
        <v/>
      </c>
      <c r="AT193" s="2">
        <f>N(P193)+N(Z193)+N(AJ193)</f>
        <v/>
      </c>
      <c r="AU193" s="2">
        <f>N(Q193)+N(AA193)+N(AK193)</f>
        <v/>
      </c>
      <c r="AV193" s="2">
        <f>N(R193)+N(AB193)+N(AL193)</f>
        <v/>
      </c>
      <c r="AW193" s="2">
        <f>SUM(I193:R193)</f>
        <v/>
      </c>
      <c r="AX193" s="2">
        <f>SUM(S193:AB193)</f>
        <v/>
      </c>
      <c r="AY193" s="2">
        <f>SUM(AC193:AL193)</f>
        <v/>
      </c>
    </row>
    <row r="194">
      <c r="A194" s="2" t="inlineStr">
        <is>
          <t>tm_insulation_sets|both|sets</t>
        </is>
      </c>
      <c r="B194" s="2" t="inlineStr">
        <is>
          <t>Pre-cut insulation material sets</t>
        </is>
      </c>
      <c r="C194" s="2" t="inlineStr">
        <is>
          <t>预裁隔热材料套装</t>
        </is>
      </c>
      <c r="D194" s="2" t="inlineStr">
        <is>
          <t>Teacher made</t>
        </is>
      </c>
      <c r="E194" s="2" t="inlineStr">
        <is>
          <t>Both plans</t>
        </is>
      </c>
      <c r="F194" s="2" t="inlineStr">
        <is>
          <t>Used up</t>
        </is>
      </c>
      <c r="G194" s="2" t="inlineStr">
        <is>
          <t>sets</t>
        </is>
      </c>
      <c r="H194" s="2">
        <f>IF(OR($E194="Both plans",'Read me'!$C$9="A and B",AND($E194="Plan A (freezer)",'Read me'!$C$9="A"),AND($E194="Plan B (no freezer)",'Read me'!$C$9="B")),1,0)</f>
        <v/>
      </c>
      <c r="I194" s="2" t="n"/>
      <c r="J194" s="2" t="n"/>
      <c r="K194" s="2" t="n"/>
      <c r="L194" s="2" t="n"/>
      <c r="M194" s="2" t="n"/>
      <c r="N194" s="2" t="n">
        <v>6</v>
      </c>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f>N(I194)+N(S194)+N(AC194)</f>
        <v/>
      </c>
      <c r="AN194" s="2">
        <f>N(J194)+N(T194)+N(AD194)</f>
        <v/>
      </c>
      <c r="AO194" s="2">
        <f>N(K194)+N(U194)+N(AE194)</f>
        <v/>
      </c>
      <c r="AP194" s="2">
        <f>N(L194)+N(V194)+N(AF194)</f>
        <v/>
      </c>
      <c r="AQ194" s="2">
        <f>N(M194)+N(W194)+N(AG194)</f>
        <v/>
      </c>
      <c r="AR194" s="2">
        <f>N(N194)+N(X194)+N(AH194)</f>
        <v/>
      </c>
      <c r="AS194" s="2">
        <f>N(O194)+N(Y194)+N(AI194)</f>
        <v/>
      </c>
      <c r="AT194" s="2">
        <f>N(P194)+N(Z194)+N(AJ194)</f>
        <v/>
      </c>
      <c r="AU194" s="2">
        <f>N(Q194)+N(AA194)+N(AK194)</f>
        <v/>
      </c>
      <c r="AV194" s="2">
        <f>N(R194)+N(AB194)+N(AL194)</f>
        <v/>
      </c>
      <c r="AW194" s="2">
        <f>SUM(I194:R194)</f>
        <v/>
      </c>
      <c r="AX194" s="2">
        <f>SUM(S194:AB194)</f>
        <v/>
      </c>
      <c r="AY194" s="2">
        <f>SUM(AC194:AL194)</f>
        <v/>
      </c>
    </row>
    <row r="195">
      <c r="A195" s="2" t="inlineStr">
        <is>
          <t>tm_warm_water|B|litres</t>
        </is>
      </c>
      <c r="B195" s="2" t="inlineStr">
        <is>
          <t>Warm water, about 50 to 60 °C (teacher-prepared)</t>
        </is>
      </c>
      <c r="C195" s="2" t="inlineStr">
        <is>
          <t>温水（约50至60°C，教师配制）</t>
        </is>
      </c>
      <c r="D195" s="2" t="inlineStr">
        <is>
          <t>Teacher made</t>
        </is>
      </c>
      <c r="E195" s="2" t="inlineStr">
        <is>
          <t>Plan B (no freezer)</t>
        </is>
      </c>
      <c r="F195" s="2" t="inlineStr">
        <is>
          <t>Used up</t>
        </is>
      </c>
      <c r="G195" s="2" t="inlineStr">
        <is>
          <t>litres</t>
        </is>
      </c>
      <c r="H195" s="2">
        <f>IF(OR($E195="Both plans",'Read me'!$C$9="A and B",AND($E195="Plan A (freezer)",'Read me'!$C$9="A"),AND($E195="Plan B (no freezer)",'Read me'!$C$9="B")),1,0)</f>
        <v/>
      </c>
      <c r="I195" s="2" t="n"/>
      <c r="J195" s="2" t="n"/>
      <c r="K195" s="2" t="n"/>
      <c r="L195" s="2" t="n"/>
      <c r="M195" s="2" t="n"/>
      <c r="N195" s="2" t="n">
        <v>3.6</v>
      </c>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f>N(I195)+N(S195)+N(AC195)</f>
        <v/>
      </c>
      <c r="AN195" s="2">
        <f>N(J195)+N(T195)+N(AD195)</f>
        <v/>
      </c>
      <c r="AO195" s="2">
        <f>N(K195)+N(U195)+N(AE195)</f>
        <v/>
      </c>
      <c r="AP195" s="2">
        <f>N(L195)+N(V195)+N(AF195)</f>
        <v/>
      </c>
      <c r="AQ195" s="2">
        <f>N(M195)+N(W195)+N(AG195)</f>
        <v/>
      </c>
      <c r="AR195" s="2">
        <f>N(N195)+N(X195)+N(AH195)</f>
        <v/>
      </c>
      <c r="AS195" s="2">
        <f>N(O195)+N(Y195)+N(AI195)</f>
        <v/>
      </c>
      <c r="AT195" s="2">
        <f>N(P195)+N(Z195)+N(AJ195)</f>
        <v/>
      </c>
      <c r="AU195" s="2">
        <f>N(Q195)+N(AA195)+N(AK195)</f>
        <v/>
      </c>
      <c r="AV195" s="2">
        <f>N(R195)+N(AB195)+N(AL195)</f>
        <v/>
      </c>
      <c r="AW195" s="2">
        <f>SUM(I195:R195)</f>
        <v/>
      </c>
      <c r="AX195" s="2">
        <f>SUM(S195:AB195)</f>
        <v/>
      </c>
      <c r="AY195" s="2">
        <f>SUM(AC195:AL195)</f>
        <v/>
      </c>
    </row>
    <row r="196">
      <c r="A196" s="2" t="inlineStr">
        <is>
          <t>tm_warm_water|both|jug or flask</t>
        </is>
      </c>
      <c r="B196" s="2" t="inlineStr">
        <is>
          <t>Warm water, about 50 to 60 °C (teacher-prepared)</t>
        </is>
      </c>
      <c r="C196" s="2" t="inlineStr">
        <is>
          <t>温水（约50至60°C，教师配制）</t>
        </is>
      </c>
      <c r="D196" s="2" t="inlineStr">
        <is>
          <t>Teacher made</t>
        </is>
      </c>
      <c r="E196" s="2" t="inlineStr">
        <is>
          <t>Both plans</t>
        </is>
      </c>
      <c r="F196" s="2" t="inlineStr">
        <is>
          <t>Used up</t>
        </is>
      </c>
      <c r="G196" s="2" t="inlineStr">
        <is>
          <t>jug or flask</t>
        </is>
      </c>
      <c r="H196" s="2">
        <f>IF(OR($E196="Both plans",'Read me'!$C$9="A and B",AND($E196="Plan A (freezer)",'Read me'!$C$9="A"),AND($E196="Plan B (no freezer)",'Read me'!$C$9="B")),1,0)</f>
        <v/>
      </c>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v>1</v>
      </c>
      <c r="AI196" s="2" t="n"/>
      <c r="AJ196" s="2" t="n"/>
      <c r="AK196" s="2" t="n"/>
      <c r="AL196" s="2" t="n"/>
      <c r="AM196" s="2">
        <f>N(I196)+N(S196)+N(AC196)</f>
        <v/>
      </c>
      <c r="AN196" s="2">
        <f>N(J196)+N(T196)+N(AD196)</f>
        <v/>
      </c>
      <c r="AO196" s="2">
        <f>N(K196)+N(U196)+N(AE196)</f>
        <v/>
      </c>
      <c r="AP196" s="2">
        <f>N(L196)+N(V196)+N(AF196)</f>
        <v/>
      </c>
      <c r="AQ196" s="2">
        <f>N(M196)+N(W196)+N(AG196)</f>
        <v/>
      </c>
      <c r="AR196" s="2">
        <f>N(N196)+N(X196)+N(AH196)</f>
        <v/>
      </c>
      <c r="AS196" s="2">
        <f>N(O196)+N(Y196)+N(AI196)</f>
        <v/>
      </c>
      <c r="AT196" s="2">
        <f>N(P196)+N(Z196)+N(AJ196)</f>
        <v/>
      </c>
      <c r="AU196" s="2">
        <f>N(Q196)+N(AA196)+N(AK196)</f>
        <v/>
      </c>
      <c r="AV196" s="2">
        <f>N(R196)+N(AB196)+N(AL196)</f>
        <v/>
      </c>
      <c r="AW196" s="2">
        <f>SUM(I196:R196)</f>
        <v/>
      </c>
      <c r="AX196" s="2">
        <f>SUM(S196:AB196)</f>
        <v/>
      </c>
      <c r="AY196" s="2">
        <f>SUM(AC196:AL196)</f>
        <v/>
      </c>
    </row>
    <row r="197">
      <c r="A197" s="2" t="inlineStr">
        <is>
          <t>tm_water_35c|B|jugs</t>
        </is>
      </c>
      <c r="B197" s="2" t="inlineStr">
        <is>
          <t>Water at about 35 °C (teacher-prepared)</t>
        </is>
      </c>
      <c r="C197" s="2" t="inlineStr">
        <is>
          <t>约35°C温水（教师配制）</t>
        </is>
      </c>
      <c r="D197" s="2" t="inlineStr">
        <is>
          <t>Teacher made</t>
        </is>
      </c>
      <c r="E197" s="2" t="inlineStr">
        <is>
          <t>Plan B (no freezer)</t>
        </is>
      </c>
      <c r="F197" s="2" t="inlineStr">
        <is>
          <t>Used up</t>
        </is>
      </c>
      <c r="G197" s="2" t="inlineStr">
        <is>
          <t>jugs</t>
        </is>
      </c>
      <c r="H197" s="2">
        <f>IF(OR($E197="Both plans",'Read me'!$C$9="A and B",AND($E197="Plan A (freezer)",'Read me'!$C$9="A"),AND($E197="Plan B (no freezer)",'Read me'!$C$9="B")),1,0)</f>
        <v/>
      </c>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v>1</v>
      </c>
      <c r="AI197" s="2" t="n"/>
      <c r="AJ197" s="2" t="n"/>
      <c r="AK197" s="2" t="n"/>
      <c r="AL197" s="2" t="n"/>
      <c r="AM197" s="2">
        <f>N(I197)+N(S197)+N(AC197)</f>
        <v/>
      </c>
      <c r="AN197" s="2">
        <f>N(J197)+N(T197)+N(AD197)</f>
        <v/>
      </c>
      <c r="AO197" s="2">
        <f>N(K197)+N(U197)+N(AE197)</f>
        <v/>
      </c>
      <c r="AP197" s="2">
        <f>N(L197)+N(V197)+N(AF197)</f>
        <v/>
      </c>
      <c r="AQ197" s="2">
        <f>N(M197)+N(W197)+N(AG197)</f>
        <v/>
      </c>
      <c r="AR197" s="2">
        <f>N(N197)+N(X197)+N(AH197)</f>
        <v/>
      </c>
      <c r="AS197" s="2">
        <f>N(O197)+N(Y197)+N(AI197)</f>
        <v/>
      </c>
      <c r="AT197" s="2">
        <f>N(P197)+N(Z197)+N(AJ197)</f>
        <v/>
      </c>
      <c r="AU197" s="2">
        <f>N(Q197)+N(AA197)+N(AK197)</f>
        <v/>
      </c>
      <c r="AV197" s="2">
        <f>N(R197)+N(AB197)+N(AL197)</f>
        <v/>
      </c>
      <c r="AW197" s="2">
        <f>SUM(I197:R197)</f>
        <v/>
      </c>
      <c r="AX197" s="2">
        <f>SUM(S197:AB197)</f>
        <v/>
      </c>
      <c r="AY197" s="2">
        <f>SUM(AC197:AL197)</f>
        <v/>
      </c>
    </row>
    <row r="198">
      <c r="A198" s="2" t="inlineStr">
        <is>
          <t>tm_evidence6_soil|both|sealed bags</t>
        </is>
      </c>
      <c r="B198" s="2" t="inlineStr">
        <is>
          <t>Evidence 6: scene soil</t>
        </is>
      </c>
      <c r="C198" s="2" t="inlineStr">
        <is>
          <t>证据6：现场土壤</t>
        </is>
      </c>
      <c r="D198" s="2" t="inlineStr">
        <is>
          <t>Teacher made</t>
        </is>
      </c>
      <c r="E198" s="2" t="inlineStr">
        <is>
          <t>Both plans</t>
        </is>
      </c>
      <c r="F198" s="2" t="inlineStr">
        <is>
          <t>Used up</t>
        </is>
      </c>
      <c r="G198" s="2" t="inlineStr">
        <is>
          <t>sealed bags</t>
        </is>
      </c>
      <c r="H198" s="2">
        <f>IF(OR($E198="Both plans",'Read me'!$C$9="A and B",AND($E198="Plan A (freezer)",'Read me'!$C$9="A"),AND($E198="Plan B (no freezer)",'Read me'!$C$9="B")),1,0)</f>
        <v/>
      </c>
      <c r="I198" s="2" t="n"/>
      <c r="J198" s="2" t="n"/>
      <c r="K198" s="2" t="n"/>
      <c r="L198" s="2" t="n"/>
      <c r="M198" s="2" t="n"/>
      <c r="N198" s="2" t="n"/>
      <c r="O198" s="2" t="n"/>
      <c r="P198" s="2" t="n"/>
      <c r="Q198" s="2" t="n"/>
      <c r="R198" s="2" t="n"/>
      <c r="S198" s="2" t="n"/>
      <c r="T198" s="2" t="n"/>
      <c r="U198" s="2" t="n"/>
      <c r="V198" s="2" t="n"/>
      <c r="W198" s="2" t="n"/>
      <c r="X198" s="2" t="n"/>
      <c r="Y198" s="2" t="n">
        <v>2</v>
      </c>
      <c r="Z198" s="2" t="n"/>
      <c r="AA198" s="2" t="n"/>
      <c r="AB198" s="2" t="n"/>
      <c r="AC198" s="2" t="n"/>
      <c r="AD198" s="2" t="n"/>
      <c r="AE198" s="2" t="n"/>
      <c r="AF198" s="2" t="n"/>
      <c r="AG198" s="2" t="n"/>
      <c r="AH198" s="2" t="n"/>
      <c r="AI198" s="2" t="n"/>
      <c r="AJ198" s="2" t="n"/>
      <c r="AK198" s="2" t="n"/>
      <c r="AL198" s="2" t="n"/>
      <c r="AM198" s="2">
        <f>N(I198)+N(S198)+N(AC198)</f>
        <v/>
      </c>
      <c r="AN198" s="2">
        <f>N(J198)+N(T198)+N(AD198)</f>
        <v/>
      </c>
      <c r="AO198" s="2">
        <f>N(K198)+N(U198)+N(AE198)</f>
        <v/>
      </c>
      <c r="AP198" s="2">
        <f>N(L198)+N(V198)+N(AF198)</f>
        <v/>
      </c>
      <c r="AQ198" s="2">
        <f>N(M198)+N(W198)+N(AG198)</f>
        <v/>
      </c>
      <c r="AR198" s="2">
        <f>N(N198)+N(X198)+N(AH198)</f>
        <v/>
      </c>
      <c r="AS198" s="2">
        <f>N(O198)+N(Y198)+N(AI198)</f>
        <v/>
      </c>
      <c r="AT198" s="2">
        <f>N(P198)+N(Z198)+N(AJ198)</f>
        <v/>
      </c>
      <c r="AU198" s="2">
        <f>N(Q198)+N(AA198)+N(AK198)</f>
        <v/>
      </c>
      <c r="AV198" s="2">
        <f>N(R198)+N(AB198)+N(AL198)</f>
        <v/>
      </c>
      <c r="AW198" s="2">
        <f>SUM(I198:R198)</f>
        <v/>
      </c>
      <c r="AX198" s="2">
        <f>SUM(S198:AB198)</f>
        <v/>
      </c>
      <c r="AY198" s="2">
        <f>SUM(AC198:AL198)</f>
        <v/>
      </c>
    </row>
    <row r="199">
      <c r="A199" s="2" t="inlineStr">
        <is>
          <t>tm_evidence7_paper_towel|both|sealed bags</t>
        </is>
      </c>
      <c r="B199" s="2" t="inlineStr">
        <is>
          <t>Evidence 7: scene paper towel</t>
        </is>
      </c>
      <c r="C199" s="2" t="inlineStr">
        <is>
          <t>证据7：现场纸巾</t>
        </is>
      </c>
      <c r="D199" s="2" t="inlineStr">
        <is>
          <t>Teacher made</t>
        </is>
      </c>
      <c r="E199" s="2" t="inlineStr">
        <is>
          <t>Both plans</t>
        </is>
      </c>
      <c r="F199" s="2" t="inlineStr">
        <is>
          <t>Used up</t>
        </is>
      </c>
      <c r="G199" s="2" t="inlineStr">
        <is>
          <t>sealed bags</t>
        </is>
      </c>
      <c r="H199" s="2">
        <f>IF(OR($E199="Both plans",'Read me'!$C$9="A and B",AND($E199="Plan A (freezer)",'Read me'!$C$9="A"),AND($E199="Plan B (no freezer)",'Read me'!$C$9="B")),1,0)</f>
        <v/>
      </c>
      <c r="I199" s="2" t="n"/>
      <c r="J199" s="2" t="n"/>
      <c r="K199" s="2" t="n"/>
      <c r="L199" s="2" t="n"/>
      <c r="M199" s="2" t="n"/>
      <c r="N199" s="2" t="n"/>
      <c r="O199" s="2" t="n"/>
      <c r="P199" s="2" t="n"/>
      <c r="Q199" s="2" t="n"/>
      <c r="R199" s="2" t="n"/>
      <c r="S199" s="2" t="n"/>
      <c r="T199" s="2" t="n"/>
      <c r="U199" s="2" t="n"/>
      <c r="V199" s="2" t="n"/>
      <c r="W199" s="2" t="n"/>
      <c r="X199" s="2" t="n"/>
      <c r="Y199" s="2" t="n">
        <v>2</v>
      </c>
      <c r="Z199" s="2" t="n"/>
      <c r="AA199" s="2" t="n"/>
      <c r="AB199" s="2" t="n"/>
      <c r="AC199" s="2" t="n"/>
      <c r="AD199" s="2" t="n"/>
      <c r="AE199" s="2" t="n"/>
      <c r="AF199" s="2" t="n"/>
      <c r="AG199" s="2" t="n"/>
      <c r="AH199" s="2" t="n"/>
      <c r="AI199" s="2" t="n"/>
      <c r="AJ199" s="2" t="n"/>
      <c r="AK199" s="2" t="n"/>
      <c r="AL199" s="2" t="n"/>
      <c r="AM199" s="2">
        <f>N(I199)+N(S199)+N(AC199)</f>
        <v/>
      </c>
      <c r="AN199" s="2">
        <f>N(J199)+N(T199)+N(AD199)</f>
        <v/>
      </c>
      <c r="AO199" s="2">
        <f>N(K199)+N(U199)+N(AE199)</f>
        <v/>
      </c>
      <c r="AP199" s="2">
        <f>N(L199)+N(V199)+N(AF199)</f>
        <v/>
      </c>
      <c r="AQ199" s="2">
        <f>N(M199)+N(W199)+N(AG199)</f>
        <v/>
      </c>
      <c r="AR199" s="2">
        <f>N(N199)+N(X199)+N(AH199)</f>
        <v/>
      </c>
      <c r="AS199" s="2">
        <f>N(O199)+N(Y199)+N(AI199)</f>
        <v/>
      </c>
      <c r="AT199" s="2">
        <f>N(P199)+N(Z199)+N(AJ199)</f>
        <v/>
      </c>
      <c r="AU199" s="2">
        <f>N(Q199)+N(AA199)+N(AK199)</f>
        <v/>
      </c>
      <c r="AV199" s="2">
        <f>N(R199)+N(AB199)+N(AL199)</f>
        <v/>
      </c>
      <c r="AW199" s="2">
        <f>SUM(I199:R199)</f>
        <v/>
      </c>
      <c r="AX199" s="2">
        <f>SUM(S199:AB199)</f>
        <v/>
      </c>
      <c r="AY199" s="2">
        <f>SUM(AC199:AL199)</f>
        <v/>
      </c>
    </row>
    <row r="200">
      <c r="A200" s="2" t="inlineStr">
        <is>
          <t>tm_fibre_packets|both|portions</t>
        </is>
      </c>
      <c r="B200" s="2" t="inlineStr">
        <is>
          <t>Pre-portioned fibre packets</t>
        </is>
      </c>
      <c r="C200" s="2" t="inlineStr">
        <is>
          <t>预分装纤维包</t>
        </is>
      </c>
      <c r="D200" s="2" t="inlineStr">
        <is>
          <t>Teacher made</t>
        </is>
      </c>
      <c r="E200" s="2" t="inlineStr">
        <is>
          <t>Both plans</t>
        </is>
      </c>
      <c r="F200" s="2" t="inlineStr">
        <is>
          <t>Used up</t>
        </is>
      </c>
      <c r="G200" s="2" t="inlineStr">
        <is>
          <t>portions</t>
        </is>
      </c>
      <c r="H200" s="2">
        <f>IF(OR($E200="Both plans",'Read me'!$C$9="A and B",AND($E200="Plan A (freezer)",'Read me'!$C$9="A"),AND($E200="Plan B (no freezer)",'Read me'!$C$9="B")),1,0)</f>
        <v/>
      </c>
      <c r="I200" s="2" t="n"/>
      <c r="J200" s="2" t="n"/>
      <c r="K200" s="2" t="n"/>
      <c r="L200" s="2" t="n"/>
      <c r="M200" s="2" t="n"/>
      <c r="N200" s="2" t="n"/>
      <c r="O200" s="2" t="n">
        <v>36</v>
      </c>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f>N(I200)+N(S200)+N(AC200)</f>
        <v/>
      </c>
      <c r="AN200" s="2">
        <f>N(J200)+N(T200)+N(AD200)</f>
        <v/>
      </c>
      <c r="AO200" s="2">
        <f>N(K200)+N(U200)+N(AE200)</f>
        <v/>
      </c>
      <c r="AP200" s="2">
        <f>N(L200)+N(V200)+N(AF200)</f>
        <v/>
      </c>
      <c r="AQ200" s="2">
        <f>N(M200)+N(W200)+N(AG200)</f>
        <v/>
      </c>
      <c r="AR200" s="2">
        <f>N(N200)+N(X200)+N(AH200)</f>
        <v/>
      </c>
      <c r="AS200" s="2">
        <f>N(O200)+N(Y200)+N(AI200)</f>
        <v/>
      </c>
      <c r="AT200" s="2">
        <f>N(P200)+N(Z200)+N(AJ200)</f>
        <v/>
      </c>
      <c r="AU200" s="2">
        <f>N(Q200)+N(AA200)+N(AK200)</f>
        <v/>
      </c>
      <c r="AV200" s="2">
        <f>N(R200)+N(AB200)+N(AL200)</f>
        <v/>
      </c>
      <c r="AW200" s="2">
        <f>SUM(I200:R200)</f>
        <v/>
      </c>
      <c r="AX200" s="2">
        <f>SUM(S200:AB200)</f>
        <v/>
      </c>
      <c r="AY200" s="2">
        <f>SUM(AC200:AL200)</f>
        <v/>
      </c>
    </row>
    <row r="201">
      <c r="A201" s="2" t="inlineStr">
        <is>
          <t>tm_coloured_water|both|ml</t>
        </is>
      </c>
      <c r="B201" s="2" t="inlineStr">
        <is>
          <t>Coloured water (Paper option)</t>
        </is>
      </c>
      <c r="C201" s="2" t="inlineStr">
        <is>
          <t>有色水（纸巾检测用）</t>
        </is>
      </c>
      <c r="D201" s="2" t="inlineStr">
        <is>
          <t>Teacher made</t>
        </is>
      </c>
      <c r="E201" s="2" t="inlineStr">
        <is>
          <t>Both plans</t>
        </is>
      </c>
      <c r="F201" s="2" t="inlineStr">
        <is>
          <t>Used up</t>
        </is>
      </c>
      <c r="G201" s="2" t="inlineStr">
        <is>
          <t>ml</t>
        </is>
      </c>
      <c r="H201" s="2">
        <f>IF(OR($E201="Both plans",'Read me'!$C$9="A and B",AND($E201="Plan A (freezer)",'Read me'!$C$9="A"),AND($E201="Plan B (no freezer)",'Read me'!$C$9="B")),1,0)</f>
        <v/>
      </c>
      <c r="I201" s="2" t="n"/>
      <c r="J201" s="2" t="n"/>
      <c r="K201" s="2" t="n"/>
      <c r="L201" s="2" t="n"/>
      <c r="M201" s="2" t="n"/>
      <c r="N201" s="2" t="n"/>
      <c r="O201" s="2" t="n"/>
      <c r="P201" s="2" t="n"/>
      <c r="Q201" s="2" t="n"/>
      <c r="R201" s="2" t="n"/>
      <c r="S201" s="2" t="n"/>
      <c r="T201" s="2" t="n"/>
      <c r="U201" s="2" t="n"/>
      <c r="V201" s="2" t="n"/>
      <c r="W201" s="2" t="n"/>
      <c r="X201" s="2" t="n"/>
      <c r="Y201" s="2" t="n"/>
      <c r="Z201" s="2" t="n">
        <v>600</v>
      </c>
      <c r="AA201" s="2" t="n"/>
      <c r="AB201" s="2" t="n"/>
      <c r="AC201" s="2" t="n"/>
      <c r="AD201" s="2" t="n"/>
      <c r="AE201" s="2" t="n"/>
      <c r="AF201" s="2" t="n"/>
      <c r="AG201" s="2" t="n"/>
      <c r="AH201" s="2" t="n"/>
      <c r="AI201" s="2" t="n"/>
      <c r="AJ201" s="2" t="n"/>
      <c r="AK201" s="2" t="n"/>
      <c r="AL201" s="2" t="n"/>
      <c r="AM201" s="2">
        <f>N(I201)+N(S201)+N(AC201)</f>
        <v/>
      </c>
      <c r="AN201" s="2">
        <f>N(J201)+N(T201)+N(AD201)</f>
        <v/>
      </c>
      <c r="AO201" s="2">
        <f>N(K201)+N(U201)+N(AE201)</f>
        <v/>
      </c>
      <c r="AP201" s="2">
        <f>N(L201)+N(V201)+N(AF201)</f>
        <v/>
      </c>
      <c r="AQ201" s="2">
        <f>N(M201)+N(W201)+N(AG201)</f>
        <v/>
      </c>
      <c r="AR201" s="2">
        <f>N(N201)+N(X201)+N(AH201)</f>
        <v/>
      </c>
      <c r="AS201" s="2">
        <f>N(O201)+N(Y201)+N(AI201)</f>
        <v/>
      </c>
      <c r="AT201" s="2">
        <f>N(P201)+N(Z201)+N(AJ201)</f>
        <v/>
      </c>
      <c r="AU201" s="2">
        <f>N(Q201)+N(AA201)+N(AK201)</f>
        <v/>
      </c>
      <c r="AV201" s="2">
        <f>N(R201)+N(AB201)+N(AL201)</f>
        <v/>
      </c>
      <c r="AW201" s="2">
        <f>SUM(I201:R201)</f>
        <v/>
      </c>
      <c r="AX201" s="2">
        <f>SUM(S201:AB201)</f>
        <v/>
      </c>
      <c r="AY201" s="2">
        <f>SUM(AC201:AL201)</f>
        <v/>
      </c>
    </row>
    <row r="202">
      <c r="A202" s="2" t="inlineStr">
        <is>
          <t>tm_evidence3_powder|both|pots</t>
        </is>
      </c>
      <c r="B202" s="2" t="inlineStr">
        <is>
          <t>Evidence 3: scene powder</t>
        </is>
      </c>
      <c r="C202" s="2" t="inlineStr">
        <is>
          <t>证据3：现场白色粉末</t>
        </is>
      </c>
      <c r="D202" s="2" t="inlineStr">
        <is>
          <t>Teacher made</t>
        </is>
      </c>
      <c r="E202" s="2" t="inlineStr">
        <is>
          <t>Both plans</t>
        </is>
      </c>
      <c r="F202" s="2" t="inlineStr">
        <is>
          <t>Used up</t>
        </is>
      </c>
      <c r="G202" s="2" t="inlineStr">
        <is>
          <t>pots</t>
        </is>
      </c>
      <c r="H202" s="2">
        <f>IF(OR($E202="Both plans",'Read me'!$C$9="A and B",AND($E202="Plan A (freezer)",'Read me'!$C$9="A"),AND($E202="Plan B (no freezer)",'Read me'!$C$9="B")),1,0)</f>
        <v/>
      </c>
      <c r="I202" s="2" t="n"/>
      <c r="J202" s="2" t="n"/>
      <c r="K202" s="2" t="n"/>
      <c r="L202" s="2" t="n"/>
      <c r="M202" s="2" t="n"/>
      <c r="N202" s="2" t="n"/>
      <c r="O202" s="2" t="n"/>
      <c r="P202" s="2" t="n"/>
      <c r="Q202" s="2" t="n"/>
      <c r="R202" s="2" t="n"/>
      <c r="S202" s="2" t="n"/>
      <c r="T202" s="2" t="n"/>
      <c r="U202" s="2" t="n"/>
      <c r="V202" s="2" t="n"/>
      <c r="W202" s="2" t="n"/>
      <c r="X202" s="2" t="n"/>
      <c r="Y202" s="2" t="n"/>
      <c r="Z202" s="2" t="n">
        <v>2</v>
      </c>
      <c r="AA202" s="2" t="n"/>
      <c r="AB202" s="2" t="n"/>
      <c r="AC202" s="2" t="n"/>
      <c r="AD202" s="2" t="n"/>
      <c r="AE202" s="2" t="n"/>
      <c r="AF202" s="2" t="n"/>
      <c r="AG202" s="2" t="n"/>
      <c r="AH202" s="2" t="n"/>
      <c r="AI202" s="2" t="n"/>
      <c r="AJ202" s="2" t="n"/>
      <c r="AK202" s="2" t="n"/>
      <c r="AL202" s="2" t="n"/>
      <c r="AM202" s="2">
        <f>N(I202)+N(S202)+N(AC202)</f>
        <v/>
      </c>
      <c r="AN202" s="2">
        <f>N(J202)+N(T202)+N(AD202)</f>
        <v/>
      </c>
      <c r="AO202" s="2">
        <f>N(K202)+N(U202)+N(AE202)</f>
        <v/>
      </c>
      <c r="AP202" s="2">
        <f>N(L202)+N(V202)+N(AF202)</f>
        <v/>
      </c>
      <c r="AQ202" s="2">
        <f>N(M202)+N(W202)+N(AG202)</f>
        <v/>
      </c>
      <c r="AR202" s="2">
        <f>N(N202)+N(X202)+N(AH202)</f>
        <v/>
      </c>
      <c r="AS202" s="2">
        <f>N(O202)+N(Y202)+N(AI202)</f>
        <v/>
      </c>
      <c r="AT202" s="2">
        <f>N(P202)+N(Z202)+N(AJ202)</f>
        <v/>
      </c>
      <c r="AU202" s="2">
        <f>N(Q202)+N(AA202)+N(AK202)</f>
        <v/>
      </c>
      <c r="AV202" s="2">
        <f>N(R202)+N(AB202)+N(AL202)</f>
        <v/>
      </c>
      <c r="AW202" s="2">
        <f>SUM(I202:R202)</f>
        <v/>
      </c>
      <c r="AX202" s="2">
        <f>SUM(S202:AB202)</f>
        <v/>
      </c>
      <c r="AY202" s="2">
        <f>SUM(AC202:AL202)</f>
        <v/>
      </c>
    </row>
    <row r="203">
      <c r="A203" s="2" t="inlineStr">
        <is>
          <t>tm_evidence6_soil|both|pots</t>
        </is>
      </c>
      <c r="B203" s="2" t="inlineStr">
        <is>
          <t>Evidence 6: scene soil</t>
        </is>
      </c>
      <c r="C203" s="2" t="inlineStr">
        <is>
          <t>证据6：现场土壤</t>
        </is>
      </c>
      <c r="D203" s="2" t="inlineStr">
        <is>
          <t>Teacher made</t>
        </is>
      </c>
      <c r="E203" s="2" t="inlineStr">
        <is>
          <t>Both plans</t>
        </is>
      </c>
      <c r="F203" s="2" t="inlineStr">
        <is>
          <t>Used up</t>
        </is>
      </c>
      <c r="G203" s="2" t="inlineStr">
        <is>
          <t>pots</t>
        </is>
      </c>
      <c r="H203" s="2">
        <f>IF(OR($E203="Both plans",'Read me'!$C$9="A and B",AND($E203="Plan A (freezer)",'Read me'!$C$9="A"),AND($E203="Plan B (no freezer)",'Read me'!$C$9="B")),1,0)</f>
        <v/>
      </c>
      <c r="I203" s="2" t="n"/>
      <c r="J203" s="2" t="n"/>
      <c r="K203" s="2" t="n"/>
      <c r="L203" s="2" t="n"/>
      <c r="M203" s="2" t="n"/>
      <c r="N203" s="2" t="n"/>
      <c r="O203" s="2" t="n"/>
      <c r="P203" s="2" t="n"/>
      <c r="Q203" s="2" t="n"/>
      <c r="R203" s="2" t="n"/>
      <c r="S203" s="2" t="n"/>
      <c r="T203" s="2" t="n"/>
      <c r="U203" s="2" t="n"/>
      <c r="V203" s="2" t="n"/>
      <c r="W203" s="2" t="n"/>
      <c r="X203" s="2" t="n"/>
      <c r="Y203" s="2" t="n"/>
      <c r="Z203" s="2" t="n">
        <v>2</v>
      </c>
      <c r="AA203" s="2" t="n"/>
      <c r="AB203" s="2" t="n"/>
      <c r="AC203" s="2" t="n"/>
      <c r="AD203" s="2" t="n"/>
      <c r="AE203" s="2" t="n"/>
      <c r="AF203" s="2" t="n"/>
      <c r="AG203" s="2" t="n"/>
      <c r="AH203" s="2" t="n"/>
      <c r="AI203" s="2" t="n"/>
      <c r="AJ203" s="2" t="n"/>
      <c r="AK203" s="2" t="n"/>
      <c r="AL203" s="2" t="n"/>
      <c r="AM203" s="2">
        <f>N(I203)+N(S203)+N(AC203)</f>
        <v/>
      </c>
      <c r="AN203" s="2">
        <f>N(J203)+N(T203)+N(AD203)</f>
        <v/>
      </c>
      <c r="AO203" s="2">
        <f>N(K203)+N(U203)+N(AE203)</f>
        <v/>
      </c>
      <c r="AP203" s="2">
        <f>N(L203)+N(V203)+N(AF203)</f>
        <v/>
      </c>
      <c r="AQ203" s="2">
        <f>N(M203)+N(W203)+N(AG203)</f>
        <v/>
      </c>
      <c r="AR203" s="2">
        <f>N(N203)+N(X203)+N(AH203)</f>
        <v/>
      </c>
      <c r="AS203" s="2">
        <f>N(O203)+N(Y203)+N(AI203)</f>
        <v/>
      </c>
      <c r="AT203" s="2">
        <f>N(P203)+N(Z203)+N(AJ203)</f>
        <v/>
      </c>
      <c r="AU203" s="2">
        <f>N(Q203)+N(AA203)+N(AK203)</f>
        <v/>
      </c>
      <c r="AV203" s="2">
        <f>N(R203)+N(AB203)+N(AL203)</f>
        <v/>
      </c>
      <c r="AW203" s="2">
        <f>SUM(I203:R203)</f>
        <v/>
      </c>
      <c r="AX203" s="2">
        <f>SUM(S203:AB203)</f>
        <v/>
      </c>
      <c r="AY203" s="2">
        <f>SUM(AC203:AL203)</f>
        <v/>
      </c>
    </row>
    <row r="204">
      <c r="A204" s="2" t="inlineStr">
        <is>
          <t>tm_evidence7_paper_towel|both|sheets</t>
        </is>
      </c>
      <c r="B204" s="2" t="inlineStr">
        <is>
          <t>Evidence 7: scene paper towel</t>
        </is>
      </c>
      <c r="C204" s="2" t="inlineStr">
        <is>
          <t>证据7：现场纸巾</t>
        </is>
      </c>
      <c r="D204" s="2" t="inlineStr">
        <is>
          <t>Teacher made</t>
        </is>
      </c>
      <c r="E204" s="2" t="inlineStr">
        <is>
          <t>Both plans</t>
        </is>
      </c>
      <c r="F204" s="2" t="inlineStr">
        <is>
          <t>Used up</t>
        </is>
      </c>
      <c r="G204" s="2" t="inlineStr">
        <is>
          <t>sheets</t>
        </is>
      </c>
      <c r="H204" s="2">
        <f>IF(OR($E204="Both plans",'Read me'!$C$9="A and B",AND($E204="Plan A (freezer)",'Read me'!$C$9="A"),AND($E204="Plan B (no freezer)",'Read me'!$C$9="B")),1,0)</f>
        <v/>
      </c>
      <c r="I204" s="2" t="n"/>
      <c r="J204" s="2" t="n"/>
      <c r="K204" s="2" t="n"/>
      <c r="L204" s="2" t="n"/>
      <c r="M204" s="2" t="n"/>
      <c r="N204" s="2" t="n"/>
      <c r="O204" s="2" t="n"/>
      <c r="P204" s="2" t="n"/>
      <c r="Q204" s="2" t="n"/>
      <c r="R204" s="2" t="n"/>
      <c r="S204" s="2" t="n"/>
      <c r="T204" s="2" t="n"/>
      <c r="U204" s="2" t="n"/>
      <c r="V204" s="2" t="n"/>
      <c r="W204" s="2" t="n"/>
      <c r="X204" s="2" t="n"/>
      <c r="Y204" s="2" t="n"/>
      <c r="Z204" s="2" t="n">
        <v>2</v>
      </c>
      <c r="AA204" s="2" t="n"/>
      <c r="AB204" s="2" t="n"/>
      <c r="AC204" s="2" t="n"/>
      <c r="AD204" s="2" t="n"/>
      <c r="AE204" s="2" t="n"/>
      <c r="AF204" s="2" t="n"/>
      <c r="AG204" s="2" t="n"/>
      <c r="AH204" s="2" t="n"/>
      <c r="AI204" s="2" t="n"/>
      <c r="AJ204" s="2" t="n"/>
      <c r="AK204" s="2" t="n"/>
      <c r="AL204" s="2" t="n"/>
      <c r="AM204" s="2">
        <f>N(I204)+N(S204)+N(AC204)</f>
        <v/>
      </c>
      <c r="AN204" s="2">
        <f>N(J204)+N(T204)+N(AD204)</f>
        <v/>
      </c>
      <c r="AO204" s="2">
        <f>N(K204)+N(U204)+N(AE204)</f>
        <v/>
      </c>
      <c r="AP204" s="2">
        <f>N(L204)+N(V204)+N(AF204)</f>
        <v/>
      </c>
      <c r="AQ204" s="2">
        <f>N(M204)+N(W204)+N(AG204)</f>
        <v/>
      </c>
      <c r="AR204" s="2">
        <f>N(N204)+N(X204)+N(AH204)</f>
        <v/>
      </c>
      <c r="AS204" s="2">
        <f>N(O204)+N(Y204)+N(AI204)</f>
        <v/>
      </c>
      <c r="AT204" s="2">
        <f>N(P204)+N(Z204)+N(AJ204)</f>
        <v/>
      </c>
      <c r="AU204" s="2">
        <f>N(Q204)+N(AA204)+N(AK204)</f>
        <v/>
      </c>
      <c r="AV204" s="2">
        <f>N(R204)+N(AB204)+N(AL204)</f>
        <v/>
      </c>
      <c r="AW204" s="2">
        <f>SUM(I204:R204)</f>
        <v/>
      </c>
      <c r="AX204" s="2">
        <f>SUM(S204:AB204)</f>
        <v/>
      </c>
      <c r="AY204" s="2">
        <f>SUM(AC204:AL204)</f>
        <v/>
      </c>
    </row>
    <row r="205">
      <c r="A205" s="2" t="inlineStr">
        <is>
          <t>tm_paper_reference_sets|both|sets</t>
        </is>
      </c>
      <c r="B205" s="2" t="inlineStr">
        <is>
          <t>Paper reference sample sets (P1 to P4)</t>
        </is>
      </c>
      <c r="C205" s="2" t="inlineStr">
        <is>
          <t>纸巾参照样本套装（P1至P4）</t>
        </is>
      </c>
      <c r="D205" s="2" t="inlineStr">
        <is>
          <t>Teacher made</t>
        </is>
      </c>
      <c r="E205" s="2" t="inlineStr">
        <is>
          <t>Both plans</t>
        </is>
      </c>
      <c r="F205" s="2" t="inlineStr">
        <is>
          <t>Used up</t>
        </is>
      </c>
      <c r="G205" s="2" t="inlineStr">
        <is>
          <t>sets</t>
        </is>
      </c>
      <c r="H205" s="2">
        <f>IF(OR($E205="Both plans",'Read me'!$C$9="A and B",AND($E205="Plan A (freezer)",'Read me'!$C$9="A"),AND($E205="Plan B (no freezer)",'Read me'!$C$9="B")),1,0)</f>
        <v/>
      </c>
      <c r="I205" s="2" t="n"/>
      <c r="J205" s="2" t="n"/>
      <c r="K205" s="2" t="n"/>
      <c r="L205" s="2" t="n"/>
      <c r="M205" s="2" t="n"/>
      <c r="N205" s="2" t="n"/>
      <c r="O205" s="2" t="n"/>
      <c r="P205" s="2" t="n"/>
      <c r="Q205" s="2" t="n"/>
      <c r="R205" s="2" t="n"/>
      <c r="S205" s="2" t="n"/>
      <c r="T205" s="2" t="n"/>
      <c r="U205" s="2" t="n"/>
      <c r="V205" s="2" t="n"/>
      <c r="W205" s="2" t="n"/>
      <c r="X205" s="2" t="n"/>
      <c r="Y205" s="2" t="n"/>
      <c r="Z205" s="2" t="n">
        <v>2</v>
      </c>
      <c r="AA205" s="2" t="n"/>
      <c r="AB205" s="2" t="n"/>
      <c r="AC205" s="2" t="n"/>
      <c r="AD205" s="2" t="n"/>
      <c r="AE205" s="2" t="n"/>
      <c r="AF205" s="2" t="n"/>
      <c r="AG205" s="2" t="n"/>
      <c r="AH205" s="2" t="n"/>
      <c r="AI205" s="2" t="n"/>
      <c r="AJ205" s="2" t="n"/>
      <c r="AK205" s="2" t="n"/>
      <c r="AL205" s="2" t="n"/>
      <c r="AM205" s="2">
        <f>N(I205)+N(S205)+N(AC205)</f>
        <v/>
      </c>
      <c r="AN205" s="2">
        <f>N(J205)+N(T205)+N(AD205)</f>
        <v/>
      </c>
      <c r="AO205" s="2">
        <f>N(K205)+N(U205)+N(AE205)</f>
        <v/>
      </c>
      <c r="AP205" s="2">
        <f>N(L205)+N(V205)+N(AF205)</f>
        <v/>
      </c>
      <c r="AQ205" s="2">
        <f>N(M205)+N(W205)+N(AG205)</f>
        <v/>
      </c>
      <c r="AR205" s="2">
        <f>N(N205)+N(X205)+N(AH205)</f>
        <v/>
      </c>
      <c r="AS205" s="2">
        <f>N(O205)+N(Y205)+N(AI205)</f>
        <v/>
      </c>
      <c r="AT205" s="2">
        <f>N(P205)+N(Z205)+N(AJ205)</f>
        <v/>
      </c>
      <c r="AU205" s="2">
        <f>N(Q205)+N(AA205)+N(AK205)</f>
        <v/>
      </c>
      <c r="AV205" s="2">
        <f>N(R205)+N(AB205)+N(AL205)</f>
        <v/>
      </c>
      <c r="AW205" s="2">
        <f>SUM(I205:R205)</f>
        <v/>
      </c>
      <c r="AX205" s="2">
        <f>SUM(S205:AB205)</f>
        <v/>
      </c>
      <c r="AY205" s="2">
        <f>SUM(AC205:AL205)</f>
        <v/>
      </c>
    </row>
    <row r="206">
      <c r="A206" s="2" t="inlineStr">
        <is>
          <t>tm_powder2_mixtures|both|sets of 3 pots</t>
        </is>
      </c>
      <c r="B206" s="2" t="inlineStr">
        <is>
          <t>Powder 2 mixtures K1, K2 and X</t>
        </is>
      </c>
      <c r="C206" s="2" t="inlineStr">
        <is>
          <t>粉末2混合物（已知混合物K1、K2和神秘混合物X）</t>
        </is>
      </c>
      <c r="D206" s="2" t="inlineStr">
        <is>
          <t>Teacher made</t>
        </is>
      </c>
      <c r="E206" s="2" t="inlineStr">
        <is>
          <t>Both plans</t>
        </is>
      </c>
      <c r="F206" s="2" t="inlineStr">
        <is>
          <t>Used up</t>
        </is>
      </c>
      <c r="G206" s="2" t="inlineStr">
        <is>
          <t>sets of 3 pots</t>
        </is>
      </c>
      <c r="H206" s="2">
        <f>IF(OR($E206="Both plans",'Read me'!$C$9="A and B",AND($E206="Plan A (freezer)",'Read me'!$C$9="A"),AND($E206="Plan B (no freezer)",'Read me'!$C$9="B")),1,0)</f>
        <v/>
      </c>
      <c r="I206" s="2" t="n"/>
      <c r="J206" s="2" t="n"/>
      <c r="K206" s="2" t="n"/>
      <c r="L206" s="2" t="n"/>
      <c r="M206" s="2" t="n"/>
      <c r="N206" s="2" t="n"/>
      <c r="O206" s="2" t="n"/>
      <c r="P206" s="2" t="n"/>
      <c r="Q206" s="2" t="n"/>
      <c r="R206" s="2" t="n"/>
      <c r="S206" s="2" t="n"/>
      <c r="T206" s="2" t="n"/>
      <c r="U206" s="2" t="n"/>
      <c r="V206" s="2" t="n"/>
      <c r="W206" s="2" t="n"/>
      <c r="X206" s="2" t="n"/>
      <c r="Y206" s="2" t="n"/>
      <c r="Z206" s="2" t="n">
        <v>2</v>
      </c>
      <c r="AA206" s="2" t="n"/>
      <c r="AB206" s="2" t="n"/>
      <c r="AC206" s="2" t="n"/>
      <c r="AD206" s="2" t="n"/>
      <c r="AE206" s="2" t="n"/>
      <c r="AF206" s="2" t="n"/>
      <c r="AG206" s="2" t="n"/>
      <c r="AH206" s="2" t="n"/>
      <c r="AI206" s="2" t="n"/>
      <c r="AJ206" s="2" t="n"/>
      <c r="AK206" s="2" t="n"/>
      <c r="AL206" s="2" t="n"/>
      <c r="AM206" s="2">
        <f>N(I206)+N(S206)+N(AC206)</f>
        <v/>
      </c>
      <c r="AN206" s="2">
        <f>N(J206)+N(T206)+N(AD206)</f>
        <v/>
      </c>
      <c r="AO206" s="2">
        <f>N(K206)+N(U206)+N(AE206)</f>
        <v/>
      </c>
      <c r="AP206" s="2">
        <f>N(L206)+N(V206)+N(AF206)</f>
        <v/>
      </c>
      <c r="AQ206" s="2">
        <f>N(M206)+N(W206)+N(AG206)</f>
        <v/>
      </c>
      <c r="AR206" s="2">
        <f>N(N206)+N(X206)+N(AH206)</f>
        <v/>
      </c>
      <c r="AS206" s="2">
        <f>N(O206)+N(Y206)+N(AI206)</f>
        <v/>
      </c>
      <c r="AT206" s="2">
        <f>N(P206)+N(Z206)+N(AJ206)</f>
        <v/>
      </c>
      <c r="AU206" s="2">
        <f>N(Q206)+N(AA206)+N(AK206)</f>
        <v/>
      </c>
      <c r="AV206" s="2">
        <f>N(R206)+N(AB206)+N(AL206)</f>
        <v/>
      </c>
      <c r="AW206" s="2">
        <f>SUM(I206:R206)</f>
        <v/>
      </c>
      <c r="AX206" s="2">
        <f>SUM(S206:AB206)</f>
        <v/>
      </c>
      <c r="AY206" s="2">
        <f>SUM(AC206:AL206)</f>
        <v/>
      </c>
    </row>
    <row r="207">
      <c r="A207" s="2" t="inlineStr">
        <is>
          <t>tm_warm_water|both|flasks</t>
        </is>
      </c>
      <c r="B207" s="2" t="inlineStr">
        <is>
          <t>Warm water, about 50 to 60 °C (teacher-prepared)</t>
        </is>
      </c>
      <c r="C207" s="2" t="inlineStr">
        <is>
          <t>温水（约50至60°C，教师配制）</t>
        </is>
      </c>
      <c r="D207" s="2" t="inlineStr">
        <is>
          <t>Teacher made</t>
        </is>
      </c>
      <c r="E207" s="2" t="inlineStr">
        <is>
          <t>Both plans</t>
        </is>
      </c>
      <c r="F207" s="2" t="inlineStr">
        <is>
          <t>Used up</t>
        </is>
      </c>
      <c r="G207" s="2" t="inlineStr">
        <is>
          <t>flasks</t>
        </is>
      </c>
      <c r="H207" s="2">
        <f>IF(OR($E207="Both plans",'Read me'!$C$9="A and B",AND($E207="Plan A (freezer)",'Read me'!$C$9="A"),AND($E207="Plan B (no freezer)",'Read me'!$C$9="B")),1,0)</f>
        <v/>
      </c>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v>2</v>
      </c>
      <c r="AK207" s="2" t="n"/>
      <c r="AL207" s="2" t="n"/>
      <c r="AM207" s="2">
        <f>N(I207)+N(S207)+N(AC207)</f>
        <v/>
      </c>
      <c r="AN207" s="2">
        <f>N(J207)+N(T207)+N(AD207)</f>
        <v/>
      </c>
      <c r="AO207" s="2">
        <f>N(K207)+N(U207)+N(AE207)</f>
        <v/>
      </c>
      <c r="AP207" s="2">
        <f>N(L207)+N(V207)+N(AF207)</f>
        <v/>
      </c>
      <c r="AQ207" s="2">
        <f>N(M207)+N(W207)+N(AG207)</f>
        <v/>
      </c>
      <c r="AR207" s="2">
        <f>N(N207)+N(X207)+N(AH207)</f>
        <v/>
      </c>
      <c r="AS207" s="2">
        <f>N(O207)+N(Y207)+N(AI207)</f>
        <v/>
      </c>
      <c r="AT207" s="2">
        <f>N(P207)+N(Z207)+N(AJ207)</f>
        <v/>
      </c>
      <c r="AU207" s="2">
        <f>N(Q207)+N(AA207)+N(AK207)</f>
        <v/>
      </c>
      <c r="AV207" s="2">
        <f>N(R207)+N(AB207)+N(AL207)</f>
        <v/>
      </c>
      <c r="AW207" s="2">
        <f>SUM(I207:R207)</f>
        <v/>
      </c>
      <c r="AX207" s="2">
        <f>SUM(S207:AB207)</f>
        <v/>
      </c>
      <c r="AY207" s="2">
        <f>SUM(AC207:AL207)</f>
        <v/>
      </c>
    </row>
    <row r="208">
      <c r="A208" s="2" t="inlineStr">
        <is>
          <t>tm_frozen_notebook|both|prop</t>
        </is>
      </c>
      <c r="B208" s="2" t="inlineStr">
        <is>
          <t>Frozen notebook prop (optional)</t>
        </is>
      </c>
      <c r="C208" s="2" t="inlineStr">
        <is>
          <t>冷冻笔记本道具（可选）</t>
        </is>
      </c>
      <c r="D208" s="2" t="inlineStr">
        <is>
          <t>Teacher made</t>
        </is>
      </c>
      <c r="E208" s="2" t="inlineStr">
        <is>
          <t>Both plans</t>
        </is>
      </c>
      <c r="F208" s="2" t="inlineStr">
        <is>
          <t>Reusable</t>
        </is>
      </c>
      <c r="G208" s="2" t="inlineStr">
        <is>
          <t>prop</t>
        </is>
      </c>
      <c r="H208" s="2">
        <f>IF(OR($E208="Both plans",'Read me'!$C$9="A and B",AND($E208="Plan A (freezer)",'Read me'!$C$9="A"),AND($E208="Plan B (no freezer)",'Read me'!$C$9="B")),1,0)</f>
        <v/>
      </c>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v>1</v>
      </c>
      <c r="AC208" s="2" t="n"/>
      <c r="AD208" s="2" t="n"/>
      <c r="AE208" s="2" t="n"/>
      <c r="AF208" s="2" t="n"/>
      <c r="AG208" s="2" t="n"/>
      <c r="AH208" s="2" t="n"/>
      <c r="AI208" s="2" t="n"/>
      <c r="AJ208" s="2" t="n"/>
      <c r="AK208" s="2" t="n"/>
      <c r="AL208" s="2" t="n"/>
      <c r="AM208" s="2">
        <f>N(I208)+N(S208)+N(AC208)</f>
        <v/>
      </c>
      <c r="AN208" s="2">
        <f>N(J208)+N(T208)+N(AD208)</f>
        <v/>
      </c>
      <c r="AO208" s="2">
        <f>N(K208)+N(U208)+N(AE208)</f>
        <v/>
      </c>
      <c r="AP208" s="2">
        <f>N(L208)+N(V208)+N(AF208)</f>
        <v/>
      </c>
      <c r="AQ208" s="2">
        <f>N(M208)+N(W208)+N(AG208)</f>
        <v/>
      </c>
      <c r="AR208" s="2">
        <f>N(N208)+N(X208)+N(AH208)</f>
        <v/>
      </c>
      <c r="AS208" s="2">
        <f>N(O208)+N(Y208)+N(AI208)</f>
        <v/>
      </c>
      <c r="AT208" s="2">
        <f>N(P208)+N(Z208)+N(AJ208)</f>
        <v/>
      </c>
      <c r="AU208" s="2">
        <f>N(Q208)+N(AA208)+N(AK208)</f>
        <v/>
      </c>
      <c r="AV208" s="2">
        <f>N(R208)+N(AB208)+N(AL208)</f>
        <v/>
      </c>
      <c r="AW208" s="2">
        <f>SUM(I208:R208)</f>
        <v/>
      </c>
      <c r="AX208" s="2">
        <f>SUM(S208:AB208)</f>
        <v/>
      </c>
      <c r="AY208" s="2">
        <f>SUM(AC208:AL208)</f>
        <v/>
      </c>
    </row>
    <row r="209">
      <c r="A209" s="2" t="inlineStr">
        <is>
          <t>booklet_dictionary_y7|both|booklets</t>
        </is>
      </c>
      <c r="B209" s="2" t="inlineStr">
        <is>
          <t>My Science Dictionary (Year 7), A5 booklet</t>
        </is>
      </c>
      <c r="C209" s="2" t="inlineStr">
        <is>
          <t>我的科学词典（七年级，A5小册子）</t>
        </is>
      </c>
      <c r="D209" s="2" t="inlineStr">
        <is>
          <t>Print job (reprographics)</t>
        </is>
      </c>
      <c r="E209" s="2" t="inlineStr">
        <is>
          <t>Both plans</t>
        </is>
      </c>
      <c r="F209" s="2" t="inlineStr">
        <is>
          <t>Reusable</t>
        </is>
      </c>
      <c r="G209" s="2" t="inlineStr">
        <is>
          <t>booklets</t>
        </is>
      </c>
      <c r="H209" s="2">
        <f>IF(OR($E209="Both plans",'Read me'!$C$9="A and B",AND($E209="Plan A (freezer)",'Read me'!$C$9="A"),AND($E209="Plan B (no freezer)",'Read me'!$C$9="B")),1,0)</f>
        <v/>
      </c>
      <c r="I209" s="2" t="n">
        <v>28</v>
      </c>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f>N(I209)+N(S209)+N(AC209)</f>
        <v/>
      </c>
      <c r="AN209" s="2">
        <f>N(J209)+N(T209)+N(AD209)</f>
        <v/>
      </c>
      <c r="AO209" s="2">
        <f>N(K209)+N(U209)+N(AE209)</f>
        <v/>
      </c>
      <c r="AP209" s="2">
        <f>N(L209)+N(V209)+N(AF209)</f>
        <v/>
      </c>
      <c r="AQ209" s="2">
        <f>N(M209)+N(W209)+N(AG209)</f>
        <v/>
      </c>
      <c r="AR209" s="2">
        <f>N(N209)+N(X209)+N(AH209)</f>
        <v/>
      </c>
      <c r="AS209" s="2">
        <f>N(O209)+N(Y209)+N(AI209)</f>
        <v/>
      </c>
      <c r="AT209" s="2">
        <f>N(P209)+N(Z209)+N(AJ209)</f>
        <v/>
      </c>
      <c r="AU209" s="2">
        <f>N(Q209)+N(AA209)+N(AK209)</f>
        <v/>
      </c>
      <c r="AV209" s="2">
        <f>N(R209)+N(AB209)+N(AL209)</f>
        <v/>
      </c>
      <c r="AW209" s="2">
        <f>SUM(I209:R209)</f>
        <v/>
      </c>
      <c r="AX209" s="2">
        <f>SUM(S209:AB209)</f>
        <v/>
      </c>
      <c r="AY209" s="2">
        <f>SUM(AC209:AL209)</f>
        <v/>
      </c>
    </row>
    <row r="210">
      <c r="A210" s="2" t="inlineStr">
        <is>
          <t>booklet_logbook_y7|both|booklets</t>
        </is>
      </c>
      <c r="B210" s="2" t="inlineStr">
        <is>
          <t>Scientist's Logbook, A5 booklet (Year 7)</t>
        </is>
      </c>
      <c r="C210" s="2" t="inlineStr">
        <is>
          <t>科学日志（A5小册子，七年级）</t>
        </is>
      </c>
      <c r="D210" s="2" t="inlineStr">
        <is>
          <t>Print job (reprographics)</t>
        </is>
      </c>
      <c r="E210" s="2" t="inlineStr">
        <is>
          <t>Both plans</t>
        </is>
      </c>
      <c r="F210" s="2" t="inlineStr">
        <is>
          <t>Reusable</t>
        </is>
      </c>
      <c r="G210" s="2" t="inlineStr">
        <is>
          <t>booklets</t>
        </is>
      </c>
      <c r="H210" s="2">
        <f>IF(OR($E210="Both plans",'Read me'!$C$9="A and B",AND($E210="Plan A (freezer)",'Read me'!$C$9="A"),AND($E210="Plan B (no freezer)",'Read me'!$C$9="B")),1,0)</f>
        <v/>
      </c>
      <c r="I210" s="2" t="n">
        <v>24</v>
      </c>
      <c r="J210" s="2" t="n">
        <v>24</v>
      </c>
      <c r="K210" s="2" t="n"/>
      <c r="L210" s="2" t="n">
        <v>24</v>
      </c>
      <c r="M210" s="2" t="n">
        <v>24</v>
      </c>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f>N(I210)+N(S210)+N(AC210)</f>
        <v/>
      </c>
      <c r="AN210" s="2">
        <f>N(J210)+N(T210)+N(AD210)</f>
        <v/>
      </c>
      <c r="AO210" s="2">
        <f>N(K210)+N(U210)+N(AE210)</f>
        <v/>
      </c>
      <c r="AP210" s="2">
        <f>N(L210)+N(V210)+N(AF210)</f>
        <v/>
      </c>
      <c r="AQ210" s="2">
        <f>N(M210)+N(W210)+N(AG210)</f>
        <v/>
      </c>
      <c r="AR210" s="2">
        <f>N(N210)+N(X210)+N(AH210)</f>
        <v/>
      </c>
      <c r="AS210" s="2">
        <f>N(O210)+N(Y210)+N(AI210)</f>
        <v/>
      </c>
      <c r="AT210" s="2">
        <f>N(P210)+N(Z210)+N(AJ210)</f>
        <v/>
      </c>
      <c r="AU210" s="2">
        <f>N(Q210)+N(AA210)+N(AK210)</f>
        <v/>
      </c>
      <c r="AV210" s="2">
        <f>N(R210)+N(AB210)+N(AL210)</f>
        <v/>
      </c>
      <c r="AW210" s="2">
        <f>SUM(I210:R210)</f>
        <v/>
      </c>
      <c r="AX210" s="2">
        <f>SUM(S210:AB210)</f>
        <v/>
      </c>
      <c r="AY210" s="2">
        <f>SUM(AC210:AL210)</f>
        <v/>
      </c>
    </row>
  </sheetData>
  <autoFilter ref="A1:AY210"/>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2026-10-15T04:48:59Z</dcterms:created>
  <dcterms:modified xsi:type="dcterms:W3CDTF">2026-10-15T04:49:00Z</dcterms:modified>
</cp:coreProperties>
</file>