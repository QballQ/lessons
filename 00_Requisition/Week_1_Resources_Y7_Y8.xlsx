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Year 7 Week 1" sheetId="2" state="visible" r:id="rId4"/>
    <sheet name="Year 8 Week 1" sheetId="3" state="visible" r:id="rId5"/>
  </sheets>
  <definedNames>
    <definedName function="false" hidden="false" localSheetId="1" name="_xlnm.Print_Titles" vbProcedure="false">'Year 7 Week 1'!$5:$5</definedName>
    <definedName function="false" hidden="false" localSheetId="2" name="_xlnm.Print_Titles" vbProcedure="false">'Year 8 Week 1'!$5:$5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<sst xmlns="http://schemas.openxmlformats.org/spreadsheetml/2006/main" count="510" uniqueCount="253">
  <si>
    <t xml:space="preserve">Week 1 resources: Year 7 and Year 8</t>
  </si>
  <si>
    <t xml:space="preserve">Everything needed to teach Week 1, one list per year, so it can be checked item by item. Year 9 is left out.</t>
  </si>
  <si>
    <t xml:space="preserve">It is not split by where things come from (order, prep room, canteen). Each list is grouped by kind: printing, card and stationery, equipment, and (Year 8) the optional scene table and things to make beforehand.</t>
  </si>
  <si>
    <t xml:space="preserve">Quantities are for one class of up to 24 students in 6 groups. Type the number of classes in the yellow cell at the top of each list. The "Got it" column is for your ticks.</t>
  </si>
  <si>
    <t xml:space="preserve">Checked against the lesson files (lesson plan, kit card and printables), the skills check and survey files, the language support pack, the Year 8 Case Bible and the designed printables, and compared with the full requisition workbook. Pink cells are the ones to look at.</t>
  </si>
  <si>
    <t xml:space="preserve">Things to decide or fix</t>
  </si>
  <si>
    <t xml:space="preserve">1. Year 8 requisition is missing the My Science Dictionary (28 booklets) and the Scientist's Logbook (24). Year 7 has both. Added to the Year 8 list.</t>
  </si>
  <si>
    <t xml:space="preserve">2. Skills check papers: the files say "two sides of A4", but the designed papers are 5 pages. Print the designed version: 3 sheets each, 72 sheets per class.</t>
  </si>
  <si>
    <t xml:space="preserve">3. Ordinary paper printing (worksheets, skills checks, surveys, case file pages, role cards and so on) is not on the requisition. It is listed here with sheet counts for reprographics.</t>
  </si>
  <si>
    <t xml:space="preserve">4. Year 7 footprint puzzle: Card 3 has the teacher note on its back, so print it double-sided. The requisition says single-sided.</t>
  </si>
  <si>
    <t xml:space="preserve">5. Year 7 kit card says role cards "1 set of 5". The language support pack uses 6-card sets (with Language buddy), which is what is listed.</t>
  </si>
  <si>
    <t xml:space="preserve">6. Sentence frame posters and cards: the Teacher Guide says to print them before Week 1, but they are not on the requisition or in the Week 1 lesson files.</t>
  </si>
  <si>
    <t xml:space="preserve">7. Year 8 pen pre-test: buy the pens before Week 1 and do the 20-minute pre-test in the Week 1 week (two weeks before Week 3). The note prop is written with pen B after the pre-test.</t>
  </si>
  <si>
    <t xml:space="preserve">8. If Year 7 and Year 8 are taught in the same room, one set of the three A3 language posters is enough.</t>
  </si>
  <si>
    <t xml:space="preserve">9. Not listed because they are normal classroom kit: projector and screen, the slides, a clock or timer.</t>
  </si>
  <si>
    <t xml:space="preserve">Year 7 Ice Engineers, Week 1: resources needed</t>
  </si>
  <si>
    <t xml:space="preserve">Quantities are for one class of up to 24 students in 6 groups. Type the number of classes in the yellow cell; totals update.</t>
  </si>
  <si>
    <t xml:space="preserve">Number of classes</t>
  </si>
  <si>
    <t xml:space="preserve">Items "per student", "per group" or "per class" are multiplied by this; "per room" and "once" are not.</t>
  </si>
  <si>
    <t xml:space="preserve">Item</t>
  </si>
  <si>
    <t xml:space="preserve">Quantity (one class)</t>
  </si>
  <si>
    <t xml:space="preserve">Unit or how to print</t>
  </si>
  <si>
    <t xml:space="preserve">Per</t>
  </si>
  <si>
    <t xml:space="preserve">Total for your classes</t>
  </si>
  <si>
    <t xml:space="preserve">Paper or card</t>
  </si>
  <si>
    <t xml:space="preserve">Sheets per copy</t>
  </si>
  <si>
    <t xml:space="preserve">Sheets in total</t>
  </si>
  <si>
    <t xml:space="preserve">What it is for</t>
  </si>
  <si>
    <t xml:space="preserve">Optional?</t>
  </si>
  <si>
    <t xml:space="preserve">On the requisition?</t>
  </si>
  <si>
    <t xml:space="preserve">Check</t>
  </si>
  <si>
    <t xml:space="preserve">Got it</t>
  </si>
  <si>
    <t xml:space="preserve">Printing (paper copies)</t>
  </si>
  <si>
    <t xml:space="preserve">Skills check paper, Year 7</t>
  </si>
  <si>
    <t xml:space="preserve">copies; 5 A4 pages, double-sided</t>
  </si>
  <si>
    <t xml:space="preserve">per student</t>
  </si>
  <si>
    <t xml:space="preserve">A4 paper</t>
  </si>
  <si>
    <t xml:space="preserve">Week 1 baseline, 15 minutes, done alone; marked, filed and kept until Week 10.</t>
  </si>
  <si>
    <t xml:space="preserve">No: paper printing</t>
  </si>
  <si>
    <t xml:space="preserve">The skills check file says "two sides of A4", but the designed paper is 5 pages. Print the designed version: 3 sheets each.</t>
  </si>
  <si>
    <t xml:space="preserve">Interest survey</t>
  </si>
  <si>
    <t xml:space="preserve">half-A4 copies; 2 per A4 sheet, cut in half</t>
  </si>
  <si>
    <t xml:space="preserve">Week 1 baseline survey, 3 minutes, straight after the skills check.</t>
  </si>
  <si>
    <t xml:space="preserve">Worksheet: What do scientists do?</t>
  </si>
  <si>
    <t xml:space="preserve">copies; 4 A4 pages, double-sided</t>
  </si>
  <si>
    <t xml:space="preserve">Observation or inference sort, footprint table, Stretch, Challenge and the exit ticket strip.</t>
  </si>
  <si>
    <t xml:space="preserve">The exit ticket strip is cut off the foot of page 4. Printed double-sided, the cut also goes through the bottom of page 3 (My thinking box). Check before printing.</t>
  </si>
  <si>
    <t xml:space="preserve">Skills check mark scheme (teacher copy)</t>
  </si>
  <si>
    <t xml:space="preserve">copy; 2 A4 pages</t>
  </si>
  <si>
    <t xml:space="preserve">per class</t>
  </si>
  <si>
    <t xml:space="preserve">Marking the skills checks out of 20 during Week 1.</t>
  </si>
  <si>
    <t xml:space="preserve">Kit card (teacher copy)</t>
  </si>
  <si>
    <t xml:space="preserve">copy; A5</t>
  </si>
  <si>
    <t xml:space="preserve">A5 paper</t>
  </si>
  <si>
    <t xml:space="preserve">Kit list, prep, hazards and clean-up for the lesson.</t>
  </si>
  <si>
    <t xml:space="preserve">It still says role cards "1 set of 5". Use the 6-card sets below.</t>
  </si>
  <si>
    <t xml:space="preserve">Group role cards with duties</t>
  </si>
  <si>
    <t xml:space="preserve">sets; 6 cards per A4 sheet, cut and laminated</t>
  </si>
  <si>
    <t xml:space="preserve">per group</t>
  </si>
  <si>
    <t xml:space="preserve">One set per table: Lead Scientist, Measurer, Recorder, Safety Officer, Reporter, Language buddy. Kept all term.</t>
  </si>
  <si>
    <t xml:space="preserve">Laminating pouches are on the requisition (6 A4).</t>
  </si>
  <si>
    <t xml:space="preserve">Classroom language cards</t>
  </si>
  <si>
    <t xml:space="preserve">cards; A5, two-sided, laminated</t>
  </si>
  <si>
    <t xml:space="preserve">1 per student plus 6 spares; help phrases at every desk, kept all term.</t>
  </si>
  <si>
    <t xml:space="preserve">Laminating pouches are on the requisition (30 A5).</t>
  </si>
  <si>
    <t xml:space="preserve">Language support posters (Instruction words key, Classroom language side B, Think in any language)</t>
  </si>
  <si>
    <t xml:space="preserve">posters; A3, 1 of each</t>
  </si>
  <si>
    <t xml:space="preserve">per room</t>
  </si>
  <si>
    <t xml:space="preserve">A3 paper</t>
  </si>
  <si>
    <t xml:space="preserve">Wall posters, up all term.</t>
  </si>
  <si>
    <t xml:space="preserve">Yes</t>
  </si>
  <si>
    <t xml:space="preserve">If Year 7 and Year 8 share a room, one set is enough.</t>
  </si>
  <si>
    <t xml:space="preserve">Sentence frame poster, Ice Engineers</t>
  </si>
  <si>
    <t xml:space="preserve">poster; A4</t>
  </si>
  <si>
    <t xml:space="preserve">Wall bank of the Year 7 sentence frames with Chinese.</t>
  </si>
  <si>
    <t xml:space="preserve">Teacher Guide</t>
  </si>
  <si>
    <t xml:space="preserve">No: add</t>
  </si>
  <si>
    <t xml:space="preserve">The Teacher Guide asks for it before Week 1; the Week 1 lesson file does not mention it.</t>
  </si>
  <si>
    <t xml:space="preserve">Sentence frame cards, Ice Engineers</t>
  </si>
  <si>
    <t xml:space="preserve">sets of 16 cards; 4 A6 cards per A4 sheet, cut</t>
  </si>
  <si>
    <t xml:space="preserve">One set per table for rehearsing answers in English. Kept all term.</t>
  </si>
  <si>
    <t xml:space="preserve">As above. Paper or card is not stated.</t>
  </si>
  <si>
    <t xml:space="preserve">My Science Dictionary, Year 7 (A5 booklet)</t>
  </si>
  <si>
    <t xml:space="preserve">booklets; 24 pages, folded and stapled</t>
  </si>
  <si>
    <t xml:space="preserve">A4 90 gsm (booklet)</t>
  </si>
  <si>
    <t xml:space="preserve">1 per student plus 4 spares; handed out with the logbook, used every lesson.</t>
  </si>
  <si>
    <t xml:space="preserve">Print job for reprographics. 28 pages (7 sheets) if the entries need more room.</t>
  </si>
  <si>
    <t xml:space="preserve">Scientist's Logbook, Year 7 (A5 booklet)</t>
  </si>
  <si>
    <t xml:space="preserve">booklets; page count not given</t>
  </si>
  <si>
    <t xml:space="preserve">Booklet (reprographics)</t>
  </si>
  <si>
    <t xml:space="preserve">First page started at the end of the lesson; kept in the class box.</t>
  </si>
  <si>
    <t xml:space="preserve">Page count and spares are not given anywhere.</t>
  </si>
  <si>
    <t xml:space="preserve">Card, laminating and stationery</t>
  </si>
  <si>
    <t xml:space="preserve">Footprint puzzle cards (Stage 1, 2, 3) on card</t>
  </si>
  <si>
    <t xml:space="preserve">sets of 3 A4 landscape cards</t>
  </si>
  <si>
    <t xml:space="preserve">A4 card</t>
  </si>
  <si>
    <t xml:space="preserve">Reveal cards for the 10-minute footprint puzzle, one stage at a time. Reused.</t>
  </si>
  <si>
    <t xml:space="preserve">Yes, see note</t>
  </si>
  <si>
    <t xml:space="preserve">Card 3 needs the teacher note printed on its back, so it is double-sided; the requisition says single-sided. Card or laminated paper is allowed.</t>
  </si>
  <si>
    <t xml:space="preserve">Laminating pouches, A4 (role cards)</t>
  </si>
  <si>
    <t xml:space="preserve">pouches</t>
  </si>
  <si>
    <t xml:space="preserve">Laminate the 6 role card sheets, then cut.</t>
  </si>
  <si>
    <t xml:space="preserve">Laminating pouches, A5 (classroom language cards)</t>
  </si>
  <si>
    <t xml:space="preserve">Laminate the 30 classroom language cards.</t>
  </si>
  <si>
    <t xml:space="preserve">Laminating pouches, A4 (puzzle cards on paper instead of card)</t>
  </si>
  <si>
    <t xml:space="preserve">Only if the puzzle cards are printed on paper and laminated instead of card.</t>
  </si>
  <si>
    <t xml:space="preserve">Optional</t>
  </si>
  <si>
    <t xml:space="preserve">Mentioned only inside the card note on the requisition.</t>
  </si>
  <si>
    <t xml:space="preserve">Envelopes, C4 (to hold A4)</t>
  </si>
  <si>
    <t xml:space="preserve">envelopes</t>
  </si>
  <si>
    <t xml:space="preserve">3 per group, labelled Stage 1, 2, 3; Stage 2 and 3 envelopes stay on the teacher desk.</t>
  </si>
  <si>
    <t xml:space="preserve">Name cards</t>
  </si>
  <si>
    <t xml:space="preserve">cards</t>
  </si>
  <si>
    <t xml:space="preserve">1 per student, set out by the group seating plan.</t>
  </si>
  <si>
    <t xml:space="preserve">No template or size is given.</t>
  </si>
  <si>
    <t xml:space="preserve">Pencils</t>
  </si>
  <si>
    <t xml:space="preserve">pencils, plus a few spares</t>
  </si>
  <si>
    <t xml:space="preserve">Skills check, survey, worksheet and logbook.</t>
  </si>
  <si>
    <t xml:space="preserve">Spares for the teacher desk are not counted.</t>
  </si>
  <si>
    <t xml:space="preserve">Class box (plastic, with lid)</t>
  </si>
  <si>
    <t xml:space="preserve">box</t>
  </si>
  <si>
    <t xml:space="preserve">Logbooks are collected into it at the end of the lesson.</t>
  </si>
  <si>
    <t xml:space="preserve">Class assessment folder</t>
  </si>
  <si>
    <t xml:space="preserve">folder</t>
  </si>
  <si>
    <t xml:space="preserve">Marked skills checks are filed here until Week 10.</t>
  </si>
  <si>
    <t xml:space="preserve">No: may already exist</t>
  </si>
  <si>
    <t xml:space="preserve">Equipment and tools</t>
  </si>
  <si>
    <t xml:space="preserve">Laminator</t>
  </si>
  <si>
    <t xml:space="preserve">machine (access)</t>
  </si>
  <si>
    <t xml:space="preserve">per once</t>
  </si>
  <si>
    <t xml:space="preserve">Role cards and classroom language cards.</t>
  </si>
  <si>
    <t xml:space="preserve">No: tool</t>
  </si>
  <si>
    <t xml:space="preserve">Guillotine or scissors</t>
  </si>
  <si>
    <t xml:space="preserve">guillotine or pair</t>
  </si>
  <si>
    <t xml:space="preserve">Cutting the surveys in half, the role cards and the frame cards.</t>
  </si>
  <si>
    <t xml:space="preserve">Rulers</t>
  </si>
  <si>
    <t xml:space="preserve">rulers, 1 per group</t>
  </si>
  <si>
    <t xml:space="preserve">Card 1 asks students to "count and measure"; every card has a 10 cm scale bar.</t>
  </si>
  <si>
    <t xml:space="preserve">Not on the kit card. Students can estimate against the scale bar, so decide whether to put one on each table.</t>
  </si>
  <si>
    <t xml:space="preserve">Paper and card for printing (sheets in total)</t>
  </si>
  <si>
    <t xml:space="preserve">sheets</t>
  </si>
  <si>
    <t xml:space="preserve">Booklets of unknown length (logbooks) are not counted.</t>
  </si>
  <si>
    <t xml:space="preserve">Year 8 Science Detectives, Week 1: resources needed</t>
  </si>
  <si>
    <t xml:space="preserve">Skills check paper, Year 8</t>
  </si>
  <si>
    <t xml:space="preserve">Worksheet: Think like a detective</t>
  </si>
  <si>
    <t xml:space="preserve">copies; 3 A4 pages (pages 1 and 2 back to back, page 3 on its own)</t>
  </si>
  <si>
    <t xml:space="preserve">Scene map task: Core, Stretch, Challenge, word bank and exit ticket strip. Goes into the case file.</t>
  </si>
  <si>
    <t xml:space="preserve">The exit ticket strip is cut off and collected. Check it does not cut into anything on the back.</t>
  </si>
  <si>
    <t xml:space="preserve">Case briefing and sign-in sheet</t>
  </si>
  <si>
    <t xml:space="preserve">copies; 2 A4 pages, double-sided</t>
  </si>
  <si>
    <t xml:space="preserve">What happened, the note, the five evidence items and the Lab 3 sign-in sheet. Second item in the case file.</t>
  </si>
  <si>
    <t xml:space="preserve">The lesson file describes one page; the design has two.</t>
  </si>
  <si>
    <t xml:space="preserve">Scene map</t>
  </si>
  <si>
    <t xml:space="preserve">copies; A4 landscape</t>
  </si>
  <si>
    <t xml:space="preserve">Plan of Lab 3 on a lettered grid for the Do task. Third item in the case file.</t>
  </si>
  <si>
    <t xml:space="preserve">Scene map, A3 wall copy</t>
  </si>
  <si>
    <t xml:space="preserve">copy; A3</t>
  </si>
  <si>
    <t xml:space="preserve">Wall copy; Band 1 students point to a square on it for the exit ticket.</t>
  </si>
  <si>
    <t xml:space="preserve">Suspect profile cards</t>
  </si>
  <si>
    <t xml:space="preserve">sheets; 4 A6 cards per A4 sheet</t>
  </si>
  <si>
    <t xml:space="preserve">The four suspects, in the case file; used again in the Week 2 Do Now.</t>
  </si>
  <si>
    <t xml:space="preserve">Marking the skills checks during Week 1.</t>
  </si>
  <si>
    <t xml:space="preserve">Teacher Pre-test Record sheet</t>
  </si>
  <si>
    <t xml:space="preserve">copy (Week 3 file, Section 6)</t>
  </si>
  <si>
    <t xml:space="preserve">Recording the pen A to D results during the pen pre-test.</t>
  </si>
  <si>
    <t xml:space="preserve">One set per table. Kept all term.</t>
  </si>
  <si>
    <t xml:space="preserve">Laminating pouches are on the requisition (6 A4). The Year 8 kit card does not mention role cards.</t>
  </si>
  <si>
    <t xml:space="preserve">Sentence frame poster, Science Detectives</t>
  </si>
  <si>
    <t xml:space="preserve">Wall bank of the Year 8 sentence frames with Chinese.</t>
  </si>
  <si>
    <t xml:space="preserve">Sentence frame cards, Science Detectives</t>
  </si>
  <si>
    <t xml:space="preserve">sets of 15 cards; 4 A6 cards per A4 sheet, cut</t>
  </si>
  <si>
    <t xml:space="preserve">My Science Dictionary, Year 8 (A5 booklet)</t>
  </si>
  <si>
    <t xml:space="preserve">booklets; 28 pages, folded and stapled</t>
  </si>
  <si>
    <t xml:space="preserve">1 per student plus 4 spares; handed out inside each case file.</t>
  </si>
  <si>
    <t xml:space="preserve">Missing from the Year 8 requisition (Year 7 has it). The written spec says 32 pages (8 sheets); the designed booklet is 28 pages.</t>
  </si>
  <si>
    <t xml:space="preserve">Scientist's Logbook, Year 8 (A5 booklet)</t>
  </si>
  <si>
    <t xml:space="preserve">A line under "What I found" at the end of the lesson; kept in the class box.</t>
  </si>
  <si>
    <t xml:space="preserve">Missing from the Year 8 requisition (Year 7 has it). Page count and spares are not given.</t>
  </si>
  <si>
    <t xml:space="preserve">Case file covers on card</t>
  </si>
  <si>
    <t xml:space="preserve">A4 portrait, single-sided</t>
  </si>
  <si>
    <t xml:space="preserve">Front of each student's case file: detective name, class, group and role.</t>
  </si>
  <si>
    <t xml:space="preserve">Part of the 49 sheets of white card on the requisition.</t>
  </si>
  <si>
    <t xml:space="preserve">Evidence logs on card</t>
  </si>
  <si>
    <t xml:space="preserve">A4 landscape, single-sided</t>
  </si>
  <si>
    <t xml:space="preserve">Evidence table and suspect tracker, kept in the case file all ten weeks.</t>
  </si>
  <si>
    <t xml:space="preserve">Part of the 49 sheets of white card.</t>
  </si>
  <si>
    <t xml:space="preserve">White card for the note prop</t>
  </si>
  <si>
    <t xml:space="preserve">A4 sheet, plain</t>
  </si>
  <si>
    <t xml:space="preserve">The handwritten note (see Make beforehand).</t>
  </si>
  <si>
    <t xml:space="preserve">A4 folders for case files</t>
  </si>
  <si>
    <t xml:space="preserve">folders</t>
  </si>
  <si>
    <t xml:space="preserve">Holds the cover, briefing, scene map, suspect cards, evidence log, worksheet and dictionary all ten weeks.</t>
  </si>
  <si>
    <t xml:space="preserve">Groups of 4 set out with name cards.</t>
  </si>
  <si>
    <t xml:space="preserve">The kit card gives no number; 1 per student assumed.</t>
  </si>
  <si>
    <t xml:space="preserve">pencils</t>
  </si>
  <si>
    <t xml:space="preserve">Skills check, survey, worksheet and exit ticket.</t>
  </si>
  <si>
    <t xml:space="preserve">Masking tape</t>
  </si>
  <si>
    <t xml:space="preserve">roll</t>
  </si>
  <si>
    <t xml:space="preserve">Cover the brand name on each pen and write the letters A to D on the tape.</t>
  </si>
  <si>
    <t xml:space="preserve">Case files and logbooks stay in it between lessons.</t>
  </si>
  <si>
    <t xml:space="preserve">Equipment and materials</t>
  </si>
  <si>
    <t xml:space="preserve">Black washable felt-tip pens, 4 different brands, 2 of each</t>
  </si>
  <si>
    <t xml:space="preserve">pens</t>
  </si>
  <si>
    <t xml:space="preserve">Pen pre-test (pens A to D, one spare of each); pen B writes the note. Used again in Week 3.</t>
  </si>
  <si>
    <t xml:space="preserve">Buy before Week 1.</t>
  </si>
  <si>
    <t xml:space="preserve">White coffee filters</t>
  </si>
  <si>
    <t xml:space="preserve">strips, 2 cm by 10 cm</t>
  </si>
  <si>
    <t xml:space="preserve">Chromatography strips for the pen pre-test, one per pen.</t>
  </si>
  <si>
    <t xml:space="preserve">Buy a pack: more strips are needed if a pen has to be swapped and tested again.</t>
  </si>
  <si>
    <t xml:space="preserve">Small clear cups</t>
  </si>
  <si>
    <t xml:space="preserve">cups</t>
  </si>
  <si>
    <t xml:space="preserve">Pen pre-test: water 1 cm deep, one cup per strip.</t>
  </si>
  <si>
    <t xml:space="preserve">Ruler (30 cm) and a pencil, for the teacher</t>
  </si>
  <si>
    <t xml:space="preserve">of each</t>
  </si>
  <si>
    <t xml:space="preserve">Marking the strips and checking the 24 cm footprint print.</t>
  </si>
  <si>
    <t xml:space="preserve">Cutting the filter strips, surveys, role cards, frame cards and exit ticket strips.</t>
  </si>
  <si>
    <t xml:space="preserve">Optional scene table (5 minutes to set up)</t>
  </si>
  <si>
    <t xml:space="preserve">Drinking glass, clear</t>
  </si>
  <si>
    <t xml:space="preserve">glass</t>
  </si>
  <si>
    <t xml:space="preserve">Copy of evidence 2.</t>
  </si>
  <si>
    <t xml:space="preserve">Baking soda</t>
  </si>
  <si>
    <t xml:space="preserve">teaspoon, plus a pinch</t>
  </si>
  <si>
    <t xml:space="preserve">Copy of the white powder (evidence 3), and part of the scene liquid.</t>
  </si>
  <si>
    <t xml:space="preserve">Dark tray</t>
  </si>
  <si>
    <t xml:space="preserve">tray</t>
  </si>
  <si>
    <t xml:space="preserve">Holds the teaspoon of baking soda.</t>
  </si>
  <si>
    <t xml:space="preserve">The requisition lists a flat kit tray; the Case Bible asks for a dark one.</t>
  </si>
  <si>
    <t xml:space="preserve">Saucer</t>
  </si>
  <si>
    <t xml:space="preserve">saucer</t>
  </si>
  <si>
    <t xml:space="preserve">Holds the scene liquid (evidence 4).</t>
  </si>
  <si>
    <t xml:space="preserve">Plain bar soap</t>
  </si>
  <si>
    <t xml:space="preserve">teaspoon, grated</t>
  </si>
  <si>
    <t xml:space="preserve">Soap solution for the scene liquid (not washing-up liquid).</t>
  </si>
  <si>
    <t xml:space="preserve">Grater, teaspoon, heatproof jug (200 ml) and stirrer</t>
  </si>
  <si>
    <t xml:space="preserve">set</t>
  </si>
  <si>
    <t xml:space="preserve">Making the soap and baking soda solutions.</t>
  </si>
  <si>
    <t xml:space="preserve">Footprint print, true size (24 cm)</t>
  </si>
  <si>
    <t xml:space="preserve">print</t>
  </si>
  <si>
    <t xml:space="preserve">Paper footprint for the scene table; check it prints at 24 cm.</t>
  </si>
  <si>
    <t xml:space="preserve">Scene table sign: EVIDENCE: DO NOT TOUCH</t>
  </si>
  <si>
    <t xml:space="preserve">sign; A5</t>
  </si>
  <si>
    <t xml:space="preserve">Look-only sign.</t>
  </si>
  <si>
    <t xml:space="preserve">Make beforehand</t>
  </si>
  <si>
    <t xml:space="preserve">Pen pre-test strips (answer key)</t>
  </si>
  <si>
    <t xml:space="preserve">strips, one per pen</t>
  </si>
  <si>
    <t xml:space="preserve">About 20 minutes. Picks pen B for the note and gives the Week 3 answer key.</t>
  </si>
  <si>
    <t xml:space="preserve">Due two weeks before Week 3, so in the Week 1 week. Record the results on the Pre-test Record sheet.</t>
  </si>
  <si>
    <t xml:space="preserve">The note prop</t>
  </si>
  <si>
    <t xml:space="preserve">note</t>
  </si>
  <si>
    <t xml:space="preserve">Written with pen B on white card after the pre-test; on the scene table and held up again in Week 3.</t>
  </si>
  <si>
    <t xml:space="preserve">Slide 5 already shows a drawn note, so a photo is only needed if you want to replace it.</t>
  </si>
  <si>
    <t xml:space="preserve">Scene liquid (soap solution and baking soda solution mixed)</t>
  </si>
  <si>
    <t xml:space="preserve">Copy of the puddle (evidence 4) for the scene table.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</si>
</sst>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35F"/>
      <name val="Arial"/>
      <family val="0"/>
      <charset val="1"/>
    </font>
    <font>
      <sz val="10"/>
      <color rgb="FF00235F"/>
      <name val="Arial"/>
      <family val="0"/>
      <charset val="1"/>
    </font>
    <font>
      <b val="true"/>
      <sz val="12"/>
      <color rgb="FF00235F"/>
      <name val="Arial"/>
      <family val="0"/>
      <charset val="1"/>
    </font>
    <font>
      <b val="true"/>
      <sz val="10"/>
      <color rgb="FF00235F"/>
      <name val="Arial"/>
      <family val="0"/>
      <charset val="1"/>
    </font>
    <font>
      <sz val="9"/>
      <color rgb="FF0023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8"/>
        <bgColor rgb="FFFDE6E8"/>
      </patternFill>
    </fill>
    <fill>
      <patternFill patternType="solid">
        <fgColor rgb="FFE0EFF8"/>
        <bgColor rgb="FFCCFFFF"/>
      </patternFill>
    </fill>
    <fill>
      <patternFill patternType="solid">
        <fgColor rgb="FF00235F"/>
        <bgColor rgb="FF000080"/>
      </patternFill>
    </fill>
    <fill>
      <patternFill patternType="solid">
        <fgColor rgb="FFFDE6E8"/>
        <bgColor rgb="FFE0EF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D3"/>
      </left>
      <right style="thin">
        <color rgb="FFB7C2D3"/>
      </right>
      <top style="thin">
        <color rgb="FFB7C2D3"/>
      </top>
      <bottom style="thin">
        <color rgb="FFB7C2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2D3"/>
      <rgbColor rgb="FF808080"/>
      <rgbColor rgb="FF9999FF"/>
      <rgbColor rgb="FF993366"/>
      <rgbColor rgb="FFFDE6E8"/>
      <rgbColor rgb="FFE0EF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3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44"/>
    <col collapsed="false" customWidth="true" hidden="false" outlineLevel="0" max="13" min="13" style="0" width="7"/>
  </cols>
  <sheetData>
    <row r="1" customFormat="false" ht="17.35" hidden="false" customHeight="false" outlineLevel="0" collapsed="false">
      <c r="A1" s="5" t="s">
        <v>15</v>
      </c>
    </row>
    <row r="2" customFormat="false" ht="15" hidden="false" customHeight="false" outlineLevel="0" collapsed="false">
      <c r="A2" s="6" t="s">
        <v>16</v>
      </c>
    </row>
    <row r="3" customFormat="false" ht="15" hidden="false" customHeight="false" outlineLevel="0" collapsed="false">
      <c r="A3" s="7" t="s">
        <v>17</v>
      </c>
      <c r="B3" s="8" t="n">
        <v>1</v>
      </c>
      <c r="C3" s="9" t="s">
        <v>18</v>
      </c>
    </row>
    <row r="5" customFormat="false" ht="23.85" hidden="false" customHeight="fals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  <c r="K5" s="10" t="s">
        <v>29</v>
      </c>
      <c r="L5" s="10" t="s">
        <v>30</v>
      </c>
      <c r="M5" s="10" t="s">
        <v>31</v>
      </c>
    </row>
    <row r="6" customFormat="false" ht="15" hidden="false" customHeight="false" outlineLevel="0" collapsed="false">
      <c r="A6" s="11" t="s">
        <v>32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customFormat="false" ht="23.85" hidden="false" customHeight="false" outlineLevel="0" collapsed="false">
      <c r="A7" s="12" t="s">
        <v>33</v>
      </c>
      <c r="B7" s="13" t="n">
        <v>24</v>
      </c>
      <c r="C7" s="12" t="s">
        <v>34</v>
      </c>
      <c r="D7" s="13" t="s">
        <v>35</v>
      </c>
      <c r="E7" s="13" t="n">
        <f aca="false">IF(OR(D7="per student",D7="per group",D7="per class"),B7*$B$3,B7)</f>
        <v>24</v>
      </c>
      <c r="F7" s="12" t="s">
        <v>36</v>
      </c>
      <c r="G7" s="13" t="n">
        <v>3</v>
      </c>
      <c r="H7" s="13" t="n">
        <f aca="false">ROUNDUP(E7*G7,0)</f>
        <v>72</v>
      </c>
      <c r="I7" s="12" t="s">
        <v>37</v>
      </c>
      <c r="J7" s="12"/>
      <c r="K7" s="12" t="s">
        <v>38</v>
      </c>
      <c r="L7" s="14" t="s">
        <v>39</v>
      </c>
      <c r="M7" s="13"/>
    </row>
    <row r="8" customFormat="false" ht="23.85" hidden="false" customHeight="false" outlineLevel="0" collapsed="false">
      <c r="A8" s="12" t="s">
        <v>40</v>
      </c>
      <c r="B8" s="13" t="n">
        <v>24</v>
      </c>
      <c r="C8" s="12" t="s">
        <v>41</v>
      </c>
      <c r="D8" s="13" t="s">
        <v>35</v>
      </c>
      <c r="E8" s="13" t="n">
        <f aca="false">IF(OR(D8="per student",D8="per group",D8="per class"),B8*$B$3,B8)</f>
        <v>24</v>
      </c>
      <c r="F8" s="12" t="s">
        <v>36</v>
      </c>
      <c r="G8" s="13" t="n">
        <v>0.5</v>
      </c>
      <c r="H8" s="13" t="n">
        <f aca="false">ROUNDUP(E8*G8,0)</f>
        <v>12</v>
      </c>
      <c r="I8" s="12" t="s">
        <v>42</v>
      </c>
      <c r="J8" s="12"/>
      <c r="K8" s="12" t="s">
        <v>38</v>
      </c>
      <c r="L8" s="12"/>
      <c r="M8" s="13"/>
    </row>
    <row r="9" customFormat="false" ht="35.05" hidden="false" customHeight="false" outlineLevel="0" collapsed="false">
      <c r="A9" s="12" t="s">
        <v>43</v>
      </c>
      <c r="B9" s="13" t="n">
        <v>24</v>
      </c>
      <c r="C9" s="12" t="s">
        <v>44</v>
      </c>
      <c r="D9" s="13" t="s">
        <v>35</v>
      </c>
      <c r="E9" s="13" t="n">
        <f aca="false">IF(OR(D9="per student",D9="per group",D9="per class"),B9*$B$3,B9)</f>
        <v>24</v>
      </c>
      <c r="F9" s="12" t="s">
        <v>36</v>
      </c>
      <c r="G9" s="13" t="n">
        <v>2</v>
      </c>
      <c r="H9" s="13" t="n">
        <f aca="false">ROUNDUP(E9*G9,0)</f>
        <v>48</v>
      </c>
      <c r="I9" s="12" t="s">
        <v>45</v>
      </c>
      <c r="J9" s="12"/>
      <c r="K9" s="12" t="s">
        <v>38</v>
      </c>
      <c r="L9" s="14" t="s">
        <v>46</v>
      </c>
      <c r="M9" s="13"/>
    </row>
    <row r="10" customFormat="false" ht="15" hidden="false" customHeight="false" outlineLevel="0" collapsed="false">
      <c r="A10" s="12" t="s">
        <v>47</v>
      </c>
      <c r="B10" s="13" t="n">
        <v>1</v>
      </c>
      <c r="C10" s="12" t="s">
        <v>48</v>
      </c>
      <c r="D10" s="13" t="s">
        <v>49</v>
      </c>
      <c r="E10" s="13" t="n">
        <f aca="false">IF(OR(D10="per student",D10="per group",D10="per class"),B10*$B$3,B10)</f>
        <v>1</v>
      </c>
      <c r="F10" s="12" t="s">
        <v>36</v>
      </c>
      <c r="G10" s="13" t="n">
        <v>2</v>
      </c>
      <c r="H10" s="13" t="n">
        <f aca="false">ROUNDUP(E10*G10,0)</f>
        <v>2</v>
      </c>
      <c r="I10" s="12" t="s">
        <v>50</v>
      </c>
      <c r="J10" s="12"/>
      <c r="K10" s="12" t="s">
        <v>38</v>
      </c>
      <c r="L10" s="12"/>
      <c r="M10" s="13"/>
    </row>
    <row r="11" customFormat="false" ht="15" hidden="false" customHeight="false" outlineLevel="0" collapsed="false">
      <c r="A11" s="12" t="s">
        <v>51</v>
      </c>
      <c r="B11" s="13" t="n">
        <v>1</v>
      </c>
      <c r="C11" s="12" t="s">
        <v>52</v>
      </c>
      <c r="D11" s="13" t="s">
        <v>49</v>
      </c>
      <c r="E11" s="13" t="n">
        <f aca="false">IF(OR(D11="per student",D11="per group",D11="per class"),B11*$B$3,B11)</f>
        <v>1</v>
      </c>
      <c r="F11" s="12" t="s">
        <v>53</v>
      </c>
      <c r="G11" s="13" t="n">
        <v>1</v>
      </c>
      <c r="H11" s="13" t="n">
        <f aca="false">ROUNDUP(E11*G11,0)</f>
        <v>1</v>
      </c>
      <c r="I11" s="12" t="s">
        <v>54</v>
      </c>
      <c r="J11" s="12"/>
      <c r="K11" s="12" t="s">
        <v>38</v>
      </c>
      <c r="L11" s="14" t="s">
        <v>55</v>
      </c>
      <c r="M11" s="13"/>
    </row>
    <row r="12" customFormat="false" ht="23.85" hidden="false" customHeight="false" outlineLevel="0" collapsed="false">
      <c r="A12" s="12" t="s">
        <v>56</v>
      </c>
      <c r="B12" s="13" t="n">
        <v>6</v>
      </c>
      <c r="C12" s="12" t="s">
        <v>57</v>
      </c>
      <c r="D12" s="13" t="s">
        <v>58</v>
      </c>
      <c r="E12" s="13" t="n">
        <f aca="false">IF(OR(D12="per student",D12="per group",D12="per class"),B12*$B$3,B12)</f>
        <v>6</v>
      </c>
      <c r="F12" s="12" t="s">
        <v>36</v>
      </c>
      <c r="G12" s="13" t="n">
        <v>1</v>
      </c>
      <c r="H12" s="13" t="n">
        <f aca="false">ROUNDUP(E12*G12,0)</f>
        <v>6</v>
      </c>
      <c r="I12" s="12" t="s">
        <v>59</v>
      </c>
      <c r="J12" s="12"/>
      <c r="K12" s="12" t="s">
        <v>38</v>
      </c>
      <c r="L12" s="14" t="s">
        <v>60</v>
      </c>
      <c r="M12" s="13"/>
    </row>
    <row r="13" customFormat="false" ht="23.85" hidden="false" customHeight="false" outlineLevel="0" collapsed="false">
      <c r="A13" s="12" t="s">
        <v>61</v>
      </c>
      <c r="B13" s="13" t="n">
        <v>30</v>
      </c>
      <c r="C13" s="12" t="s">
        <v>62</v>
      </c>
      <c r="D13" s="13" t="s">
        <v>49</v>
      </c>
      <c r="E13" s="13" t="n">
        <f aca="false">IF(OR(D13="per student",D13="per group",D13="per class"),B13*$B$3,B13)</f>
        <v>30</v>
      </c>
      <c r="F13" s="12" t="s">
        <v>53</v>
      </c>
      <c r="G13" s="13" t="n">
        <v>1</v>
      </c>
      <c r="H13" s="13" t="n">
        <f aca="false">ROUNDUP(E13*G13,0)</f>
        <v>30</v>
      </c>
      <c r="I13" s="12" t="s">
        <v>63</v>
      </c>
      <c r="J13" s="12"/>
      <c r="K13" s="12" t="s">
        <v>38</v>
      </c>
      <c r="L13" s="14" t="s">
        <v>64</v>
      </c>
      <c r="M13" s="13"/>
    </row>
    <row r="14" customFormat="false" ht="23.85" hidden="false" customHeight="false" outlineLevel="0" collapsed="false">
      <c r="A14" s="12" t="s">
        <v>65</v>
      </c>
      <c r="B14" s="13" t="n">
        <v>3</v>
      </c>
      <c r="C14" s="12" t="s">
        <v>66</v>
      </c>
      <c r="D14" s="13" t="s">
        <v>67</v>
      </c>
      <c r="E14" s="13" t="n">
        <f aca="false">IF(OR(D14="per student",D14="per group",D14="per class"),B14*$B$3,B14)</f>
        <v>3</v>
      </c>
      <c r="F14" s="12" t="s">
        <v>68</v>
      </c>
      <c r="G14" s="13" t="n">
        <v>1</v>
      </c>
      <c r="H14" s="13" t="n">
        <f aca="false">ROUNDUP(E14*G14,0)</f>
        <v>3</v>
      </c>
      <c r="I14" s="12" t="s">
        <v>69</v>
      </c>
      <c r="J14" s="12"/>
      <c r="K14" s="12" t="s">
        <v>70</v>
      </c>
      <c r="L14" s="14" t="s">
        <v>71</v>
      </c>
      <c r="M14" s="13"/>
    </row>
    <row r="15" customFormat="false" ht="23.85" hidden="false" customHeight="false" outlineLevel="0" collapsed="false">
      <c r="A15" s="12" t="s">
        <v>72</v>
      </c>
      <c r="B15" s="13" t="n">
        <v>1</v>
      </c>
      <c r="C15" s="12" t="s">
        <v>73</v>
      </c>
      <c r="D15" s="13" t="s">
        <v>67</v>
      </c>
      <c r="E15" s="13" t="n">
        <f aca="false">IF(OR(D15="per student",D15="per group",D15="per class"),B15*$B$3,B15)</f>
        <v>1</v>
      </c>
      <c r="F15" s="12" t="s">
        <v>36</v>
      </c>
      <c r="G15" s="13" t="n">
        <v>1</v>
      </c>
      <c r="H15" s="13" t="n">
        <f aca="false">ROUNDUP(E15*G15,0)</f>
        <v>1</v>
      </c>
      <c r="I15" s="12" t="s">
        <v>74</v>
      </c>
      <c r="J15" s="12" t="s">
        <v>75</v>
      </c>
      <c r="K15" s="14" t="s">
        <v>76</v>
      </c>
      <c r="L15" s="14" t="s">
        <v>77</v>
      </c>
      <c r="M15" s="13"/>
    </row>
    <row r="16" customFormat="false" ht="23.85" hidden="false" customHeight="false" outlineLevel="0" collapsed="false">
      <c r="A16" s="12" t="s">
        <v>78</v>
      </c>
      <c r="B16" s="13" t="n">
        <v>6</v>
      </c>
      <c r="C16" s="12" t="s">
        <v>79</v>
      </c>
      <c r="D16" s="13" t="s">
        <v>58</v>
      </c>
      <c r="E16" s="13" t="n">
        <f aca="false">IF(OR(D16="per student",D16="per group",D16="per class"),B16*$B$3,B16)</f>
        <v>6</v>
      </c>
      <c r="F16" s="12" t="s">
        <v>36</v>
      </c>
      <c r="G16" s="13" t="n">
        <v>4</v>
      </c>
      <c r="H16" s="13" t="n">
        <f aca="false">ROUNDUP(E16*G16,0)</f>
        <v>24</v>
      </c>
      <c r="I16" s="12" t="s">
        <v>80</v>
      </c>
      <c r="J16" s="12" t="s">
        <v>75</v>
      </c>
      <c r="K16" s="14" t="s">
        <v>76</v>
      </c>
      <c r="L16" s="14" t="s">
        <v>81</v>
      </c>
      <c r="M16" s="13"/>
    </row>
    <row r="17" customFormat="false" ht="23.85" hidden="false" customHeight="false" outlineLevel="0" collapsed="false">
      <c r="A17" s="12" t="s">
        <v>82</v>
      </c>
      <c r="B17" s="13" t="n">
        <v>28</v>
      </c>
      <c r="C17" s="12" t="s">
        <v>83</v>
      </c>
      <c r="D17" s="13" t="s">
        <v>49</v>
      </c>
      <c r="E17" s="13" t="n">
        <f aca="false">IF(OR(D17="per student",D17="per group",D17="per class"),B17*$B$3,B17)</f>
        <v>28</v>
      </c>
      <c r="F17" s="12" t="s">
        <v>84</v>
      </c>
      <c r="G17" s="13" t="n">
        <v>6</v>
      </c>
      <c r="H17" s="13" t="n">
        <f aca="false">ROUNDUP(E17*G17,0)</f>
        <v>168</v>
      </c>
      <c r="I17" s="12" t="s">
        <v>85</v>
      </c>
      <c r="J17" s="12"/>
      <c r="K17" s="12" t="s">
        <v>70</v>
      </c>
      <c r="L17" s="14" t="s">
        <v>86</v>
      </c>
      <c r="M17" s="13"/>
    </row>
    <row r="18" customFormat="false" ht="23.85" hidden="false" customHeight="false" outlineLevel="0" collapsed="false">
      <c r="A18" s="12" t="s">
        <v>87</v>
      </c>
      <c r="B18" s="13" t="n">
        <v>24</v>
      </c>
      <c r="C18" s="12" t="s">
        <v>88</v>
      </c>
      <c r="D18" s="13" t="s">
        <v>35</v>
      </c>
      <c r="E18" s="13" t="n">
        <f aca="false">IF(OR(D18="per student",D18="per group",D18="per class"),B18*$B$3,B18)</f>
        <v>24</v>
      </c>
      <c r="F18" s="12" t="s">
        <v>89</v>
      </c>
      <c r="G18" s="13"/>
      <c r="H18" s="13"/>
      <c r="I18" s="12" t="s">
        <v>90</v>
      </c>
      <c r="J18" s="12"/>
      <c r="K18" s="12" t="s">
        <v>70</v>
      </c>
      <c r="L18" s="14" t="s">
        <v>91</v>
      </c>
      <c r="M18" s="13"/>
    </row>
    <row r="19" customFormat="false" ht="15" hidden="false" customHeight="false" outlineLevel="0" collapsed="false">
      <c r="A19" s="11" t="s">
        <v>92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35.05" hidden="false" customHeight="false" outlineLevel="0" collapsed="false">
      <c r="A20" s="12" t="s">
        <v>93</v>
      </c>
      <c r="B20" s="13" t="n">
        <v>6</v>
      </c>
      <c r="C20" s="12" t="s">
        <v>94</v>
      </c>
      <c r="D20" s="13" t="s">
        <v>58</v>
      </c>
      <c r="E20" s="13" t="n">
        <f aca="false">IF(OR(D20="per student",D20="per group",D20="per class"),B20*$B$3,B20)</f>
        <v>6</v>
      </c>
      <c r="F20" s="12" t="s">
        <v>95</v>
      </c>
      <c r="G20" s="13" t="n">
        <v>3</v>
      </c>
      <c r="H20" s="13" t="n">
        <f aca="false">ROUNDUP(E20*G20,0)</f>
        <v>18</v>
      </c>
      <c r="I20" s="12" t="s">
        <v>96</v>
      </c>
      <c r="J20" s="12"/>
      <c r="K20" s="14" t="s">
        <v>97</v>
      </c>
      <c r="L20" s="14" t="s">
        <v>98</v>
      </c>
      <c r="M20" s="13"/>
    </row>
    <row r="21" customFormat="false" ht="15" hidden="false" customHeight="false" outlineLevel="0" collapsed="false">
      <c r="A21" s="12" t="s">
        <v>99</v>
      </c>
      <c r="B21" s="13" t="n">
        <v>6</v>
      </c>
      <c r="C21" s="12" t="s">
        <v>100</v>
      </c>
      <c r="D21" s="13" t="s">
        <v>58</v>
      </c>
      <c r="E21" s="13" t="n">
        <f aca="false">IF(OR(D21="per student",D21="per group",D21="per class"),B21*$B$3,B21)</f>
        <v>6</v>
      </c>
      <c r="F21" s="12"/>
      <c r="G21" s="13"/>
      <c r="H21" s="13"/>
      <c r="I21" s="12" t="s">
        <v>101</v>
      </c>
      <c r="J21" s="12"/>
      <c r="K21" s="12" t="s">
        <v>70</v>
      </c>
      <c r="L21" s="12"/>
      <c r="M21" s="13"/>
    </row>
    <row r="22" customFormat="false" ht="15" hidden="false" customHeight="false" outlineLevel="0" collapsed="false">
      <c r="A22" s="12" t="s">
        <v>102</v>
      </c>
      <c r="B22" s="13" t="n">
        <v>30</v>
      </c>
      <c r="C22" s="12" t="s">
        <v>100</v>
      </c>
      <c r="D22" s="13" t="s">
        <v>49</v>
      </c>
      <c r="E22" s="13" t="n">
        <f aca="false">IF(OR(D22="per student",D22="per group",D22="per class"),B22*$B$3,B22)</f>
        <v>30</v>
      </c>
      <c r="F22" s="12"/>
      <c r="G22" s="13"/>
      <c r="H22" s="13"/>
      <c r="I22" s="12" t="s">
        <v>103</v>
      </c>
      <c r="J22" s="12"/>
      <c r="K22" s="12" t="s">
        <v>70</v>
      </c>
      <c r="L22" s="12"/>
      <c r="M22" s="13"/>
    </row>
    <row r="23" customFormat="false" ht="23.85" hidden="false" customHeight="false" outlineLevel="0" collapsed="false">
      <c r="A23" s="12" t="s">
        <v>104</v>
      </c>
      <c r="B23" s="13" t="n">
        <v>18</v>
      </c>
      <c r="C23" s="12" t="s">
        <v>100</v>
      </c>
      <c r="D23" s="13" t="s">
        <v>58</v>
      </c>
      <c r="E23" s="13" t="n">
        <f aca="false">IF(OR(D23="per student",D23="per group",D23="per class"),B23*$B$3,B23)</f>
        <v>18</v>
      </c>
      <c r="F23" s="12"/>
      <c r="G23" s="13"/>
      <c r="H23" s="13"/>
      <c r="I23" s="12" t="s">
        <v>105</v>
      </c>
      <c r="J23" s="12" t="s">
        <v>106</v>
      </c>
      <c r="K23" s="14" t="s">
        <v>76</v>
      </c>
      <c r="L23" s="14" t="s">
        <v>107</v>
      </c>
      <c r="M23" s="13"/>
    </row>
    <row r="24" customFormat="false" ht="23.85" hidden="false" customHeight="false" outlineLevel="0" collapsed="false">
      <c r="A24" s="12" t="s">
        <v>108</v>
      </c>
      <c r="B24" s="13" t="n">
        <v>18</v>
      </c>
      <c r="C24" s="12" t="s">
        <v>109</v>
      </c>
      <c r="D24" s="13" t="s">
        <v>58</v>
      </c>
      <c r="E24" s="13" t="n">
        <f aca="false">IF(OR(D24="per student",D24="per group",D24="per class"),B24*$B$3,B24)</f>
        <v>18</v>
      </c>
      <c r="F24" s="12"/>
      <c r="G24" s="13"/>
      <c r="H24" s="13"/>
      <c r="I24" s="12" t="s">
        <v>110</v>
      </c>
      <c r="J24" s="12"/>
      <c r="K24" s="12" t="s">
        <v>70</v>
      </c>
      <c r="L24" s="12"/>
      <c r="M24" s="13"/>
    </row>
    <row r="25" customFormat="false" ht="15" hidden="false" customHeight="false" outlineLevel="0" collapsed="false">
      <c r="A25" s="12" t="s">
        <v>111</v>
      </c>
      <c r="B25" s="13" t="n">
        <v>24</v>
      </c>
      <c r="C25" s="12" t="s">
        <v>112</v>
      </c>
      <c r="D25" s="13" t="s">
        <v>35</v>
      </c>
      <c r="E25" s="13" t="n">
        <f aca="false">IF(OR(D25="per student",D25="per group",D25="per class"),B25*$B$3,B25)</f>
        <v>24</v>
      </c>
      <c r="F25" s="12"/>
      <c r="G25" s="13"/>
      <c r="H25" s="13"/>
      <c r="I25" s="12" t="s">
        <v>113</v>
      </c>
      <c r="J25" s="12"/>
      <c r="K25" s="12" t="s">
        <v>70</v>
      </c>
      <c r="L25" s="14" t="s">
        <v>114</v>
      </c>
      <c r="M25" s="13"/>
    </row>
    <row r="26" customFormat="false" ht="15" hidden="false" customHeight="false" outlineLevel="0" collapsed="false">
      <c r="A26" s="12" t="s">
        <v>115</v>
      </c>
      <c r="B26" s="13" t="n">
        <v>24</v>
      </c>
      <c r="C26" s="12" t="s">
        <v>116</v>
      </c>
      <c r="D26" s="13" t="s">
        <v>35</v>
      </c>
      <c r="E26" s="13" t="n">
        <f aca="false">IF(OR(D26="per student",D26="per group",D26="per class"),B26*$B$3,B26)</f>
        <v>24</v>
      </c>
      <c r="F26" s="12"/>
      <c r="G26" s="13"/>
      <c r="H26" s="13"/>
      <c r="I26" s="12" t="s">
        <v>117</v>
      </c>
      <c r="J26" s="12"/>
      <c r="K26" s="12" t="s">
        <v>70</v>
      </c>
      <c r="L26" s="14" t="s">
        <v>118</v>
      </c>
      <c r="M26" s="13"/>
    </row>
    <row r="27" customFormat="false" ht="15" hidden="false" customHeight="false" outlineLevel="0" collapsed="false">
      <c r="A27" s="12" t="s">
        <v>119</v>
      </c>
      <c r="B27" s="13" t="n">
        <v>1</v>
      </c>
      <c r="C27" s="12" t="s">
        <v>120</v>
      </c>
      <c r="D27" s="13" t="s">
        <v>49</v>
      </c>
      <c r="E27" s="13" t="n">
        <f aca="false">IF(OR(D27="per student",D27="per group",D27="per class"),B27*$B$3,B27)</f>
        <v>1</v>
      </c>
      <c r="F27" s="12"/>
      <c r="G27" s="13"/>
      <c r="H27" s="13"/>
      <c r="I27" s="12" t="s">
        <v>121</v>
      </c>
      <c r="J27" s="12"/>
      <c r="K27" s="12" t="s">
        <v>70</v>
      </c>
      <c r="L27" s="12"/>
      <c r="M27" s="13"/>
    </row>
    <row r="28" customFormat="false" ht="15" hidden="false" customHeight="false" outlineLevel="0" collapsed="false">
      <c r="A28" s="12" t="s">
        <v>122</v>
      </c>
      <c r="B28" s="13" t="n">
        <v>1</v>
      </c>
      <c r="C28" s="12" t="s">
        <v>123</v>
      </c>
      <c r="D28" s="13" t="s">
        <v>49</v>
      </c>
      <c r="E28" s="13" t="n">
        <f aca="false">IF(OR(D28="per student",D28="per group",D28="per class"),B28*$B$3,B28)</f>
        <v>1</v>
      </c>
      <c r="F28" s="12"/>
      <c r="G28" s="13"/>
      <c r="H28" s="13"/>
      <c r="I28" s="12" t="s">
        <v>124</v>
      </c>
      <c r="J28" s="12"/>
      <c r="K28" s="12" t="s">
        <v>125</v>
      </c>
      <c r="L28" s="12"/>
      <c r="M28" s="13"/>
    </row>
    <row r="29" customFormat="false" ht="15" hidden="false" customHeight="false" outlineLevel="0" collapsed="false">
      <c r="A29" s="11" t="s">
        <v>126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false" outlineLevel="0" collapsed="false">
      <c r="A30" s="12" t="s">
        <v>127</v>
      </c>
      <c r="B30" s="13" t="n">
        <v>1</v>
      </c>
      <c r="C30" s="12" t="s">
        <v>128</v>
      </c>
      <c r="D30" s="13" t="s">
        <v>129</v>
      </c>
      <c r="E30" s="13" t="n">
        <f aca="false">IF(OR(D30="per student",D30="per group",D30="per class"),B30*$B$3,B30)</f>
        <v>1</v>
      </c>
      <c r="F30" s="12"/>
      <c r="G30" s="13"/>
      <c r="H30" s="13"/>
      <c r="I30" s="12" t="s">
        <v>130</v>
      </c>
      <c r="J30" s="12"/>
      <c r="K30" s="12" t="s">
        <v>131</v>
      </c>
      <c r="L30" s="12"/>
      <c r="M30" s="13"/>
    </row>
    <row r="31" customFormat="false" ht="23.85" hidden="false" customHeight="false" outlineLevel="0" collapsed="false">
      <c r="A31" s="12" t="s">
        <v>132</v>
      </c>
      <c r="B31" s="13" t="n">
        <v>1</v>
      </c>
      <c r="C31" s="12" t="s">
        <v>133</v>
      </c>
      <c r="D31" s="13" t="s">
        <v>129</v>
      </c>
      <c r="E31" s="13" t="n">
        <f aca="false">IF(OR(D31="per student",D31="per group",D31="per class"),B31*$B$3,B31)</f>
        <v>1</v>
      </c>
      <c r="F31" s="12"/>
      <c r="G31" s="13"/>
      <c r="H31" s="13"/>
      <c r="I31" s="12" t="s">
        <v>134</v>
      </c>
      <c r="J31" s="12"/>
      <c r="K31" s="12" t="s">
        <v>131</v>
      </c>
      <c r="L31" s="12"/>
      <c r="M31" s="13"/>
    </row>
    <row r="32" customFormat="false" ht="23.85" hidden="false" customHeight="false" outlineLevel="0" collapsed="false">
      <c r="A32" s="12" t="s">
        <v>135</v>
      </c>
      <c r="B32" s="13" t="n">
        <v>6</v>
      </c>
      <c r="C32" s="12" t="s">
        <v>136</v>
      </c>
      <c r="D32" s="13" t="s">
        <v>58</v>
      </c>
      <c r="E32" s="13" t="n">
        <f aca="false">IF(OR(D32="per student",D32="per group",D32="per class"),B32*$B$3,B32)</f>
        <v>6</v>
      </c>
      <c r="F32" s="12"/>
      <c r="G32" s="13"/>
      <c r="H32" s="13"/>
      <c r="I32" s="12" t="s">
        <v>137</v>
      </c>
      <c r="J32" s="12" t="s">
        <v>106</v>
      </c>
      <c r="K32" s="14" t="s">
        <v>76</v>
      </c>
      <c r="L32" s="14" t="s">
        <v>138</v>
      </c>
      <c r="M32" s="13"/>
    </row>
    <row r="34" customFormat="false" ht="15" hidden="false" customHeight="false" outlineLevel="0" collapsed="false">
      <c r="A34" s="7" t="s">
        <v>139</v>
      </c>
    </row>
    <row r="35" customFormat="false" ht="15" hidden="false" customHeight="false" outlineLevel="0" collapsed="false">
      <c r="A35" s="6" t="s">
        <v>36</v>
      </c>
      <c r="B35" s="15" t="n">
        <f aca="false">SUMIFS($H$6:$H$32,$F$6:$F$32,A35)</f>
        <v>165</v>
      </c>
      <c r="C35" s="6" t="s">
        <v>140</v>
      </c>
    </row>
    <row r="36" customFormat="false" ht="15" hidden="false" customHeight="false" outlineLevel="0" collapsed="false">
      <c r="A36" s="6" t="s">
        <v>68</v>
      </c>
      <c r="B36" s="15" t="n">
        <f aca="false">SUMIFS($H$6:$H$32,$F$6:$F$32,A36)</f>
        <v>3</v>
      </c>
      <c r="C36" s="6" t="s">
        <v>140</v>
      </c>
    </row>
    <row r="37" customFormat="false" ht="15" hidden="false" customHeight="false" outlineLevel="0" collapsed="false">
      <c r="A37" s="6" t="s">
        <v>53</v>
      </c>
      <c r="B37" s="15" t="n">
        <f aca="false">SUMIFS($H$6:$H$32,$F$6:$F$32,A37)</f>
        <v>31</v>
      </c>
      <c r="C37" s="6" t="s">
        <v>140</v>
      </c>
    </row>
    <row r="38" customFormat="false" ht="15" hidden="false" customHeight="false" outlineLevel="0" collapsed="false">
      <c r="A38" s="6" t="s">
        <v>95</v>
      </c>
      <c r="B38" s="15" t="n">
        <f aca="false">SUMIFS($H$6:$H$32,$F$6:$F$32,A38)</f>
        <v>18</v>
      </c>
      <c r="C38" s="6" t="s">
        <v>140</v>
      </c>
    </row>
    <row r="39" customFormat="false" ht="15" hidden="false" customHeight="false" outlineLevel="0" collapsed="false">
      <c r="A39" s="6" t="s">
        <v>84</v>
      </c>
      <c r="B39" s="15" t="n">
        <f aca="false">SUMIFS($H$6:$H$32,$F$6:$F$32,A39)</f>
        <v>168</v>
      </c>
      <c r="C39" s="6" t="s">
        <v>140</v>
      </c>
    </row>
    <row r="40" customFormat="false" ht="15" hidden="false" customHeight="false" outlineLevel="0" collapsed="false">
      <c r="A40" s="9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44"/>
    <col collapsed="false" customWidth="true" hidden="false" outlineLevel="0" max="13" min="13" style="0" width="7"/>
  </cols>
  <sheetData>
    <row r="1" customFormat="false" ht="17.35" hidden="false" customHeight="false" outlineLevel="0" collapsed="false">
      <c r="A1" s="5" t="s">
        <v>142</v>
      </c>
    </row>
    <row r="2" customFormat="false" ht="15" hidden="false" customHeight="false" outlineLevel="0" collapsed="false">
      <c r="A2" s="6" t="s">
        <v>16</v>
      </c>
    </row>
    <row r="3" customFormat="false" ht="15" hidden="false" customHeight="false" outlineLevel="0" collapsed="false">
      <c r="A3" s="7" t="s">
        <v>17</v>
      </c>
      <c r="B3" s="8" t="n">
        <v>1</v>
      </c>
      <c r="C3" s="9" t="s">
        <v>18</v>
      </c>
    </row>
    <row r="5" customFormat="false" ht="23.85" hidden="false" customHeight="fals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  <c r="K5" s="10" t="s">
        <v>29</v>
      </c>
      <c r="L5" s="10" t="s">
        <v>30</v>
      </c>
      <c r="M5" s="10" t="s">
        <v>31</v>
      </c>
    </row>
    <row r="6" customFormat="false" ht="15" hidden="false" customHeight="false" outlineLevel="0" collapsed="false">
      <c r="A6" s="11" t="s">
        <v>32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customFormat="false" ht="23.85" hidden="false" customHeight="false" outlineLevel="0" collapsed="false">
      <c r="A7" s="12" t="s">
        <v>143</v>
      </c>
      <c r="B7" s="13" t="n">
        <v>24</v>
      </c>
      <c r="C7" s="12" t="s">
        <v>34</v>
      </c>
      <c r="D7" s="13" t="s">
        <v>35</v>
      </c>
      <c r="E7" s="13" t="n">
        <f aca="false">IF(OR(D7="per student",D7="per group",D7="per class"),B7*$B$3,B7)</f>
        <v>24</v>
      </c>
      <c r="F7" s="12" t="s">
        <v>36</v>
      </c>
      <c r="G7" s="13" t="n">
        <v>3</v>
      </c>
      <c r="H7" s="13" t="n">
        <f aca="false">ROUNDUP(E7*G7,0)</f>
        <v>72</v>
      </c>
      <c r="I7" s="12" t="s">
        <v>37</v>
      </c>
      <c r="J7" s="12"/>
      <c r="K7" s="12" t="s">
        <v>38</v>
      </c>
      <c r="L7" s="14" t="s">
        <v>39</v>
      </c>
      <c r="M7" s="13"/>
    </row>
    <row r="8" customFormat="false" ht="23.85" hidden="false" customHeight="false" outlineLevel="0" collapsed="false">
      <c r="A8" s="12" t="s">
        <v>40</v>
      </c>
      <c r="B8" s="13" t="n">
        <v>24</v>
      </c>
      <c r="C8" s="12" t="s">
        <v>41</v>
      </c>
      <c r="D8" s="13" t="s">
        <v>35</v>
      </c>
      <c r="E8" s="13" t="n">
        <f aca="false">IF(OR(D8="per student",D8="per group",D8="per class"),B8*$B$3,B8)</f>
        <v>24</v>
      </c>
      <c r="F8" s="12" t="s">
        <v>36</v>
      </c>
      <c r="G8" s="13" t="n">
        <v>0.5</v>
      </c>
      <c r="H8" s="13" t="n">
        <f aca="false">ROUNDUP(E8*G8,0)</f>
        <v>12</v>
      </c>
      <c r="I8" s="12" t="s">
        <v>42</v>
      </c>
      <c r="J8" s="12"/>
      <c r="K8" s="12" t="s">
        <v>38</v>
      </c>
      <c r="L8" s="12"/>
      <c r="M8" s="13"/>
    </row>
    <row r="9" customFormat="false" ht="23.85" hidden="false" customHeight="false" outlineLevel="0" collapsed="false">
      <c r="A9" s="12" t="s">
        <v>144</v>
      </c>
      <c r="B9" s="13" t="n">
        <v>24</v>
      </c>
      <c r="C9" s="12" t="s">
        <v>145</v>
      </c>
      <c r="D9" s="13" t="s">
        <v>35</v>
      </c>
      <c r="E9" s="13" t="n">
        <f aca="false">IF(OR(D9="per student",D9="per group",D9="per class"),B9*$B$3,B9)</f>
        <v>24</v>
      </c>
      <c r="F9" s="12" t="s">
        <v>36</v>
      </c>
      <c r="G9" s="13" t="n">
        <v>2</v>
      </c>
      <c r="H9" s="13" t="n">
        <f aca="false">ROUNDUP(E9*G9,0)</f>
        <v>48</v>
      </c>
      <c r="I9" s="12" t="s">
        <v>146</v>
      </c>
      <c r="J9" s="12"/>
      <c r="K9" s="12" t="s">
        <v>38</v>
      </c>
      <c r="L9" s="14" t="s">
        <v>147</v>
      </c>
      <c r="M9" s="13"/>
    </row>
    <row r="10" customFormat="false" ht="23.85" hidden="false" customHeight="false" outlineLevel="0" collapsed="false">
      <c r="A10" s="12" t="s">
        <v>148</v>
      </c>
      <c r="B10" s="13" t="n">
        <v>24</v>
      </c>
      <c r="C10" s="12" t="s">
        <v>149</v>
      </c>
      <c r="D10" s="13" t="s">
        <v>35</v>
      </c>
      <c r="E10" s="13" t="n">
        <f aca="false">IF(OR(D10="per student",D10="per group",D10="per class"),B10*$B$3,B10)</f>
        <v>24</v>
      </c>
      <c r="F10" s="12" t="s">
        <v>36</v>
      </c>
      <c r="G10" s="13" t="n">
        <v>1</v>
      </c>
      <c r="H10" s="13" t="n">
        <f aca="false">ROUNDUP(E10*G10,0)</f>
        <v>24</v>
      </c>
      <c r="I10" s="12" t="s">
        <v>150</v>
      </c>
      <c r="J10" s="12"/>
      <c r="K10" s="12" t="s">
        <v>38</v>
      </c>
      <c r="L10" s="14" t="s">
        <v>151</v>
      </c>
      <c r="M10" s="13"/>
    </row>
    <row r="11" customFormat="false" ht="23.85" hidden="false" customHeight="false" outlineLevel="0" collapsed="false">
      <c r="A11" s="12" t="s">
        <v>152</v>
      </c>
      <c r="B11" s="13" t="n">
        <v>24</v>
      </c>
      <c r="C11" s="12" t="s">
        <v>153</v>
      </c>
      <c r="D11" s="13" t="s">
        <v>35</v>
      </c>
      <c r="E11" s="13" t="n">
        <f aca="false">IF(OR(D11="per student",D11="per group",D11="per class"),B11*$B$3,B11)</f>
        <v>24</v>
      </c>
      <c r="F11" s="12" t="s">
        <v>36</v>
      </c>
      <c r="G11" s="13" t="n">
        <v>1</v>
      </c>
      <c r="H11" s="13" t="n">
        <f aca="false">ROUNDUP(E11*G11,0)</f>
        <v>24</v>
      </c>
      <c r="I11" s="12" t="s">
        <v>154</v>
      </c>
      <c r="J11" s="12"/>
      <c r="K11" s="12" t="s">
        <v>38</v>
      </c>
      <c r="L11" s="12"/>
      <c r="M11" s="13"/>
    </row>
    <row r="12" customFormat="false" ht="23.85" hidden="false" customHeight="false" outlineLevel="0" collapsed="false">
      <c r="A12" s="12" t="s">
        <v>155</v>
      </c>
      <c r="B12" s="13" t="n">
        <v>1</v>
      </c>
      <c r="C12" s="12" t="s">
        <v>156</v>
      </c>
      <c r="D12" s="13" t="s">
        <v>49</v>
      </c>
      <c r="E12" s="13" t="n">
        <f aca="false">IF(OR(D12="per student",D12="per group",D12="per class"),B12*$B$3,B12)</f>
        <v>1</v>
      </c>
      <c r="F12" s="12" t="s">
        <v>68</v>
      </c>
      <c r="G12" s="13" t="n">
        <v>1</v>
      </c>
      <c r="H12" s="13" t="n">
        <f aca="false">ROUNDUP(E12*G12,0)</f>
        <v>1</v>
      </c>
      <c r="I12" s="12" t="s">
        <v>157</v>
      </c>
      <c r="J12" s="12"/>
      <c r="K12" s="12" t="s">
        <v>70</v>
      </c>
      <c r="L12" s="12"/>
      <c r="M12" s="13"/>
    </row>
    <row r="13" customFormat="false" ht="23.85" hidden="false" customHeight="false" outlineLevel="0" collapsed="false">
      <c r="A13" s="12" t="s">
        <v>158</v>
      </c>
      <c r="B13" s="13" t="n">
        <v>24</v>
      </c>
      <c r="C13" s="12" t="s">
        <v>159</v>
      </c>
      <c r="D13" s="13" t="s">
        <v>35</v>
      </c>
      <c r="E13" s="13" t="n">
        <f aca="false">IF(OR(D13="per student",D13="per group",D13="per class"),B13*$B$3,B13)</f>
        <v>24</v>
      </c>
      <c r="F13" s="12" t="s">
        <v>36</v>
      </c>
      <c r="G13" s="13" t="n">
        <v>1</v>
      </c>
      <c r="H13" s="13" t="n">
        <f aca="false">ROUNDUP(E13*G13,0)</f>
        <v>24</v>
      </c>
      <c r="I13" s="12" t="s">
        <v>160</v>
      </c>
      <c r="J13" s="12"/>
      <c r="K13" s="12" t="s">
        <v>38</v>
      </c>
      <c r="L13" s="12"/>
      <c r="M13" s="13"/>
    </row>
    <row r="14" customFormat="false" ht="15" hidden="false" customHeight="false" outlineLevel="0" collapsed="false">
      <c r="A14" s="12" t="s">
        <v>47</v>
      </c>
      <c r="B14" s="13" t="n">
        <v>1</v>
      </c>
      <c r="C14" s="12" t="s">
        <v>48</v>
      </c>
      <c r="D14" s="13" t="s">
        <v>49</v>
      </c>
      <c r="E14" s="13" t="n">
        <f aca="false">IF(OR(D14="per student",D14="per group",D14="per class"),B14*$B$3,B14)</f>
        <v>1</v>
      </c>
      <c r="F14" s="12" t="s">
        <v>36</v>
      </c>
      <c r="G14" s="13" t="n">
        <v>2</v>
      </c>
      <c r="H14" s="13" t="n">
        <f aca="false">ROUNDUP(E14*G14,0)</f>
        <v>2</v>
      </c>
      <c r="I14" s="12" t="s">
        <v>161</v>
      </c>
      <c r="J14" s="12"/>
      <c r="K14" s="12" t="s">
        <v>38</v>
      </c>
      <c r="L14" s="12"/>
      <c r="M14" s="13"/>
    </row>
    <row r="15" customFormat="false" ht="15" hidden="false" customHeight="false" outlineLevel="0" collapsed="false">
      <c r="A15" s="12" t="s">
        <v>51</v>
      </c>
      <c r="B15" s="13" t="n">
        <v>1</v>
      </c>
      <c r="C15" s="12" t="s">
        <v>52</v>
      </c>
      <c r="D15" s="13" t="s">
        <v>49</v>
      </c>
      <c r="E15" s="13" t="n">
        <f aca="false">IF(OR(D15="per student",D15="per group",D15="per class"),B15*$B$3,B15)</f>
        <v>1</v>
      </c>
      <c r="F15" s="12" t="s">
        <v>53</v>
      </c>
      <c r="G15" s="13" t="n">
        <v>1</v>
      </c>
      <c r="H15" s="13" t="n">
        <f aca="false">ROUNDUP(E15*G15,0)</f>
        <v>1</v>
      </c>
      <c r="I15" s="12" t="s">
        <v>54</v>
      </c>
      <c r="J15" s="12"/>
      <c r="K15" s="12" t="s">
        <v>38</v>
      </c>
      <c r="L15" s="12"/>
      <c r="M15" s="13"/>
    </row>
    <row r="16" customFormat="false" ht="15" hidden="false" customHeight="false" outlineLevel="0" collapsed="false">
      <c r="A16" s="12" t="s">
        <v>162</v>
      </c>
      <c r="B16" s="13" t="n">
        <v>1</v>
      </c>
      <c r="C16" s="12" t="s">
        <v>163</v>
      </c>
      <c r="D16" s="13" t="s">
        <v>129</v>
      </c>
      <c r="E16" s="13" t="n">
        <f aca="false">IF(OR(D16="per student",D16="per group",D16="per class"),B16*$B$3,B16)</f>
        <v>1</v>
      </c>
      <c r="F16" s="12" t="s">
        <v>36</v>
      </c>
      <c r="G16" s="13" t="n">
        <v>1</v>
      </c>
      <c r="H16" s="13" t="n">
        <f aca="false">ROUNDUP(E16*G16,0)</f>
        <v>1</v>
      </c>
      <c r="I16" s="12" t="s">
        <v>164</v>
      </c>
      <c r="J16" s="12"/>
      <c r="K16" s="12" t="s">
        <v>38</v>
      </c>
      <c r="L16" s="12"/>
      <c r="M16" s="13"/>
    </row>
    <row r="17" customFormat="false" ht="23.85" hidden="false" customHeight="false" outlineLevel="0" collapsed="false">
      <c r="A17" s="12" t="s">
        <v>56</v>
      </c>
      <c r="B17" s="13" t="n">
        <v>6</v>
      </c>
      <c r="C17" s="12" t="s">
        <v>57</v>
      </c>
      <c r="D17" s="13" t="s">
        <v>58</v>
      </c>
      <c r="E17" s="13" t="n">
        <f aca="false">IF(OR(D17="per student",D17="per group",D17="per class"),B17*$B$3,B17)</f>
        <v>6</v>
      </c>
      <c r="F17" s="12" t="s">
        <v>36</v>
      </c>
      <c r="G17" s="13" t="n">
        <v>1</v>
      </c>
      <c r="H17" s="13" t="n">
        <f aca="false">ROUNDUP(E17*G17,0)</f>
        <v>6</v>
      </c>
      <c r="I17" s="12" t="s">
        <v>165</v>
      </c>
      <c r="J17" s="12"/>
      <c r="K17" s="12" t="s">
        <v>38</v>
      </c>
      <c r="L17" s="14" t="s">
        <v>166</v>
      </c>
      <c r="M17" s="13"/>
    </row>
    <row r="18" customFormat="false" ht="23.85" hidden="false" customHeight="false" outlineLevel="0" collapsed="false">
      <c r="A18" s="12" t="s">
        <v>61</v>
      </c>
      <c r="B18" s="13" t="n">
        <v>30</v>
      </c>
      <c r="C18" s="12" t="s">
        <v>62</v>
      </c>
      <c r="D18" s="13" t="s">
        <v>49</v>
      </c>
      <c r="E18" s="13" t="n">
        <f aca="false">IF(OR(D18="per student",D18="per group",D18="per class"),B18*$B$3,B18)</f>
        <v>30</v>
      </c>
      <c r="F18" s="12" t="s">
        <v>53</v>
      </c>
      <c r="G18" s="13" t="n">
        <v>1</v>
      </c>
      <c r="H18" s="13" t="n">
        <f aca="false">ROUNDUP(E18*G18,0)</f>
        <v>30</v>
      </c>
      <c r="I18" s="12" t="s">
        <v>63</v>
      </c>
      <c r="J18" s="12"/>
      <c r="K18" s="12" t="s">
        <v>38</v>
      </c>
      <c r="L18" s="14" t="s">
        <v>64</v>
      </c>
      <c r="M18" s="13"/>
    </row>
    <row r="19" customFormat="false" ht="23.85" hidden="false" customHeight="false" outlineLevel="0" collapsed="false">
      <c r="A19" s="12" t="s">
        <v>65</v>
      </c>
      <c r="B19" s="13" t="n">
        <v>3</v>
      </c>
      <c r="C19" s="12" t="s">
        <v>66</v>
      </c>
      <c r="D19" s="13" t="s">
        <v>67</v>
      </c>
      <c r="E19" s="13" t="n">
        <f aca="false">IF(OR(D19="per student",D19="per group",D19="per class"),B19*$B$3,B19)</f>
        <v>3</v>
      </c>
      <c r="F19" s="12" t="s">
        <v>68</v>
      </c>
      <c r="G19" s="13" t="n">
        <v>1</v>
      </c>
      <c r="H19" s="13" t="n">
        <f aca="false">ROUNDUP(E19*G19,0)</f>
        <v>3</v>
      </c>
      <c r="I19" s="12" t="s">
        <v>69</v>
      </c>
      <c r="J19" s="12"/>
      <c r="K19" s="12" t="s">
        <v>70</v>
      </c>
      <c r="L19" s="14" t="s">
        <v>71</v>
      </c>
      <c r="M19" s="13"/>
    </row>
    <row r="20" customFormat="false" ht="23.85" hidden="false" customHeight="false" outlineLevel="0" collapsed="false">
      <c r="A20" s="12" t="s">
        <v>167</v>
      </c>
      <c r="B20" s="13" t="n">
        <v>1</v>
      </c>
      <c r="C20" s="12" t="s">
        <v>73</v>
      </c>
      <c r="D20" s="13" t="s">
        <v>67</v>
      </c>
      <c r="E20" s="13" t="n">
        <f aca="false">IF(OR(D20="per student",D20="per group",D20="per class"),B20*$B$3,B20)</f>
        <v>1</v>
      </c>
      <c r="F20" s="12" t="s">
        <v>36</v>
      </c>
      <c r="G20" s="13" t="n">
        <v>1</v>
      </c>
      <c r="H20" s="13" t="n">
        <f aca="false">ROUNDUP(E20*G20,0)</f>
        <v>1</v>
      </c>
      <c r="I20" s="12" t="s">
        <v>168</v>
      </c>
      <c r="J20" s="12" t="s">
        <v>75</v>
      </c>
      <c r="K20" s="14" t="s">
        <v>76</v>
      </c>
      <c r="L20" s="14" t="s">
        <v>77</v>
      </c>
      <c r="M20" s="13"/>
    </row>
    <row r="21" customFormat="false" ht="23.85" hidden="false" customHeight="false" outlineLevel="0" collapsed="false">
      <c r="A21" s="12" t="s">
        <v>169</v>
      </c>
      <c r="B21" s="13" t="n">
        <v>6</v>
      </c>
      <c r="C21" s="12" t="s">
        <v>170</v>
      </c>
      <c r="D21" s="13" t="s">
        <v>58</v>
      </c>
      <c r="E21" s="13" t="n">
        <f aca="false">IF(OR(D21="per student",D21="per group",D21="per class"),B21*$B$3,B21)</f>
        <v>6</v>
      </c>
      <c r="F21" s="12" t="s">
        <v>36</v>
      </c>
      <c r="G21" s="13" t="n">
        <v>4</v>
      </c>
      <c r="H21" s="13" t="n">
        <f aca="false">ROUNDUP(E21*G21,0)</f>
        <v>24</v>
      </c>
      <c r="I21" s="12" t="s">
        <v>80</v>
      </c>
      <c r="J21" s="12" t="s">
        <v>75</v>
      </c>
      <c r="K21" s="14" t="s">
        <v>76</v>
      </c>
      <c r="L21" s="14" t="s">
        <v>81</v>
      </c>
      <c r="M21" s="13"/>
    </row>
    <row r="22" customFormat="false" ht="23.85" hidden="false" customHeight="false" outlineLevel="0" collapsed="false">
      <c r="A22" s="12" t="s">
        <v>171</v>
      </c>
      <c r="B22" s="13" t="n">
        <v>28</v>
      </c>
      <c r="C22" s="12" t="s">
        <v>172</v>
      </c>
      <c r="D22" s="13" t="s">
        <v>49</v>
      </c>
      <c r="E22" s="13" t="n">
        <f aca="false">IF(OR(D22="per student",D22="per group",D22="per class"),B22*$B$3,B22)</f>
        <v>28</v>
      </c>
      <c r="F22" s="12" t="s">
        <v>84</v>
      </c>
      <c r="G22" s="13" t="n">
        <v>7</v>
      </c>
      <c r="H22" s="13" t="n">
        <f aca="false">ROUNDUP(E22*G22,0)</f>
        <v>196</v>
      </c>
      <c r="I22" s="12" t="s">
        <v>173</v>
      </c>
      <c r="J22" s="12"/>
      <c r="K22" s="14" t="s">
        <v>76</v>
      </c>
      <c r="L22" s="14" t="s">
        <v>174</v>
      </c>
      <c r="M22" s="13"/>
    </row>
    <row r="23" customFormat="false" ht="23.85" hidden="false" customHeight="false" outlineLevel="0" collapsed="false">
      <c r="A23" s="12" t="s">
        <v>175</v>
      </c>
      <c r="B23" s="13" t="n">
        <v>24</v>
      </c>
      <c r="C23" s="12" t="s">
        <v>88</v>
      </c>
      <c r="D23" s="13" t="s">
        <v>35</v>
      </c>
      <c r="E23" s="13" t="n">
        <f aca="false">IF(OR(D23="per student",D23="per group",D23="per class"),B23*$B$3,B23)</f>
        <v>24</v>
      </c>
      <c r="F23" s="12" t="s">
        <v>89</v>
      </c>
      <c r="G23" s="13"/>
      <c r="H23" s="13"/>
      <c r="I23" s="12" t="s">
        <v>176</v>
      </c>
      <c r="J23" s="12"/>
      <c r="K23" s="14" t="s">
        <v>76</v>
      </c>
      <c r="L23" s="14" t="s">
        <v>177</v>
      </c>
      <c r="M23" s="13"/>
    </row>
    <row r="24" customFormat="false" ht="15" hidden="false" customHeight="false" outlineLevel="0" collapsed="false">
      <c r="A24" s="11" t="s">
        <v>92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23.85" hidden="false" customHeight="false" outlineLevel="0" collapsed="false">
      <c r="A25" s="12" t="s">
        <v>178</v>
      </c>
      <c r="B25" s="13" t="n">
        <v>24</v>
      </c>
      <c r="C25" s="12" t="s">
        <v>179</v>
      </c>
      <c r="D25" s="13" t="s">
        <v>35</v>
      </c>
      <c r="E25" s="13" t="n">
        <f aca="false">IF(OR(D25="per student",D25="per group",D25="per class"),B25*$B$3,B25)</f>
        <v>24</v>
      </c>
      <c r="F25" s="12" t="s">
        <v>95</v>
      </c>
      <c r="G25" s="13" t="n">
        <v>1</v>
      </c>
      <c r="H25" s="13" t="n">
        <f aca="false">ROUNDUP(E25*G25,0)</f>
        <v>24</v>
      </c>
      <c r="I25" s="12" t="s">
        <v>180</v>
      </c>
      <c r="J25" s="12"/>
      <c r="K25" s="12" t="s">
        <v>70</v>
      </c>
      <c r="L25" s="14" t="s">
        <v>181</v>
      </c>
      <c r="M25" s="13"/>
    </row>
    <row r="26" customFormat="false" ht="23.85" hidden="false" customHeight="false" outlineLevel="0" collapsed="false">
      <c r="A26" s="12" t="s">
        <v>182</v>
      </c>
      <c r="B26" s="13" t="n">
        <v>24</v>
      </c>
      <c r="C26" s="12" t="s">
        <v>183</v>
      </c>
      <c r="D26" s="13" t="s">
        <v>35</v>
      </c>
      <c r="E26" s="13" t="n">
        <f aca="false">IF(OR(D26="per student",D26="per group",D26="per class"),B26*$B$3,B26)</f>
        <v>24</v>
      </c>
      <c r="F26" s="12" t="s">
        <v>95</v>
      </c>
      <c r="G26" s="13" t="n">
        <v>1</v>
      </c>
      <c r="H26" s="13" t="n">
        <f aca="false">ROUNDUP(E26*G26,0)</f>
        <v>24</v>
      </c>
      <c r="I26" s="12" t="s">
        <v>184</v>
      </c>
      <c r="J26" s="12"/>
      <c r="K26" s="12" t="s">
        <v>70</v>
      </c>
      <c r="L26" s="14" t="s">
        <v>185</v>
      </c>
      <c r="M26" s="13"/>
    </row>
    <row r="27" customFormat="false" ht="15" hidden="false" customHeight="false" outlineLevel="0" collapsed="false">
      <c r="A27" s="12" t="s">
        <v>186</v>
      </c>
      <c r="B27" s="13" t="n">
        <v>1</v>
      </c>
      <c r="C27" s="12" t="s">
        <v>187</v>
      </c>
      <c r="D27" s="13" t="s">
        <v>129</v>
      </c>
      <c r="E27" s="13" t="n">
        <f aca="false">IF(OR(D27="per student",D27="per group",D27="per class"),B27*$B$3,B27)</f>
        <v>1</v>
      </c>
      <c r="F27" s="12" t="s">
        <v>95</v>
      </c>
      <c r="G27" s="13" t="n">
        <v>1</v>
      </c>
      <c r="H27" s="13" t="n">
        <f aca="false">ROUNDUP(E27*G27,0)</f>
        <v>1</v>
      </c>
      <c r="I27" s="12" t="s">
        <v>188</v>
      </c>
      <c r="J27" s="12"/>
      <c r="K27" s="12" t="s">
        <v>70</v>
      </c>
      <c r="L27" s="14" t="s">
        <v>185</v>
      </c>
      <c r="M27" s="13"/>
    </row>
    <row r="28" customFormat="false" ht="23.85" hidden="false" customHeight="false" outlineLevel="0" collapsed="false">
      <c r="A28" s="12" t="s">
        <v>189</v>
      </c>
      <c r="B28" s="13" t="n">
        <v>24</v>
      </c>
      <c r="C28" s="12" t="s">
        <v>190</v>
      </c>
      <c r="D28" s="13" t="s">
        <v>35</v>
      </c>
      <c r="E28" s="13" t="n">
        <f aca="false">IF(OR(D28="per student",D28="per group",D28="per class"),B28*$B$3,B28)</f>
        <v>24</v>
      </c>
      <c r="F28" s="12"/>
      <c r="G28" s="13"/>
      <c r="H28" s="13"/>
      <c r="I28" s="12" t="s">
        <v>191</v>
      </c>
      <c r="J28" s="12"/>
      <c r="K28" s="12" t="s">
        <v>70</v>
      </c>
      <c r="L28" s="12"/>
      <c r="M28" s="13"/>
    </row>
    <row r="29" customFormat="false" ht="15" hidden="false" customHeight="false" outlineLevel="0" collapsed="false">
      <c r="A29" s="12" t="s">
        <v>99</v>
      </c>
      <c r="B29" s="13" t="n">
        <v>6</v>
      </c>
      <c r="C29" s="12" t="s">
        <v>100</v>
      </c>
      <c r="D29" s="13" t="s">
        <v>58</v>
      </c>
      <c r="E29" s="13" t="n">
        <f aca="false">IF(OR(D29="per student",D29="per group",D29="per class"),B29*$B$3,B29)</f>
        <v>6</v>
      </c>
      <c r="F29" s="12"/>
      <c r="G29" s="13"/>
      <c r="H29" s="13"/>
      <c r="I29" s="12" t="s">
        <v>101</v>
      </c>
      <c r="J29" s="12"/>
      <c r="K29" s="12" t="s">
        <v>70</v>
      </c>
      <c r="L29" s="12"/>
      <c r="M29" s="13"/>
    </row>
    <row r="30" customFormat="false" ht="15" hidden="false" customHeight="false" outlineLevel="0" collapsed="false">
      <c r="A30" s="12" t="s">
        <v>102</v>
      </c>
      <c r="B30" s="13" t="n">
        <v>30</v>
      </c>
      <c r="C30" s="12" t="s">
        <v>100</v>
      </c>
      <c r="D30" s="13" t="s">
        <v>49</v>
      </c>
      <c r="E30" s="13" t="n">
        <f aca="false">IF(OR(D30="per student",D30="per group",D30="per class"),B30*$B$3,B30)</f>
        <v>30</v>
      </c>
      <c r="F30" s="12"/>
      <c r="G30" s="13"/>
      <c r="H30" s="13"/>
      <c r="I30" s="12" t="s">
        <v>103</v>
      </c>
      <c r="J30" s="12"/>
      <c r="K30" s="12" t="s">
        <v>70</v>
      </c>
      <c r="L30" s="12"/>
      <c r="M30" s="13"/>
    </row>
    <row r="31" customFormat="false" ht="15" hidden="false" customHeight="false" outlineLevel="0" collapsed="false">
      <c r="A31" s="12" t="s">
        <v>111</v>
      </c>
      <c r="B31" s="13" t="n">
        <v>24</v>
      </c>
      <c r="C31" s="12" t="s">
        <v>112</v>
      </c>
      <c r="D31" s="13" t="s">
        <v>35</v>
      </c>
      <c r="E31" s="13" t="n">
        <f aca="false">IF(OR(D31="per student",D31="per group",D31="per class"),B31*$B$3,B31)</f>
        <v>24</v>
      </c>
      <c r="F31" s="12"/>
      <c r="G31" s="13"/>
      <c r="H31" s="13"/>
      <c r="I31" s="12" t="s">
        <v>192</v>
      </c>
      <c r="J31" s="12"/>
      <c r="K31" s="12" t="s">
        <v>70</v>
      </c>
      <c r="L31" s="14" t="s">
        <v>193</v>
      </c>
      <c r="M31" s="13"/>
    </row>
    <row r="32" customFormat="false" ht="15" hidden="false" customHeight="false" outlineLevel="0" collapsed="false">
      <c r="A32" s="12" t="s">
        <v>115</v>
      </c>
      <c r="B32" s="13" t="n">
        <v>24</v>
      </c>
      <c r="C32" s="12" t="s">
        <v>194</v>
      </c>
      <c r="D32" s="13" t="s">
        <v>35</v>
      </c>
      <c r="E32" s="13" t="n">
        <f aca="false">IF(OR(D32="per student",D32="per group",D32="per class"),B32*$B$3,B32)</f>
        <v>24</v>
      </c>
      <c r="F32" s="12"/>
      <c r="G32" s="13"/>
      <c r="H32" s="13"/>
      <c r="I32" s="12" t="s">
        <v>195</v>
      </c>
      <c r="J32" s="12"/>
      <c r="K32" s="12" t="s">
        <v>70</v>
      </c>
      <c r="L32" s="12"/>
      <c r="M32" s="13"/>
    </row>
    <row r="33" customFormat="false" ht="23.85" hidden="false" customHeight="false" outlineLevel="0" collapsed="false">
      <c r="A33" s="12" t="s">
        <v>196</v>
      </c>
      <c r="B33" s="13" t="n">
        <v>1</v>
      </c>
      <c r="C33" s="12" t="s">
        <v>197</v>
      </c>
      <c r="D33" s="13" t="s">
        <v>129</v>
      </c>
      <c r="E33" s="13" t="n">
        <f aca="false">IF(OR(D33="per student",D33="per group",D33="per class"),B33*$B$3,B33)</f>
        <v>1</v>
      </c>
      <c r="F33" s="12"/>
      <c r="G33" s="13"/>
      <c r="H33" s="13"/>
      <c r="I33" s="12" t="s">
        <v>198</v>
      </c>
      <c r="J33" s="12"/>
      <c r="K33" s="12" t="s">
        <v>70</v>
      </c>
      <c r="L33" s="12"/>
      <c r="M33" s="13"/>
    </row>
    <row r="34" customFormat="false" ht="15" hidden="false" customHeight="false" outlineLevel="0" collapsed="false">
      <c r="A34" s="12" t="s">
        <v>119</v>
      </c>
      <c r="B34" s="13" t="n">
        <v>1</v>
      </c>
      <c r="C34" s="12" t="s">
        <v>120</v>
      </c>
      <c r="D34" s="13" t="s">
        <v>49</v>
      </c>
      <c r="E34" s="13" t="n">
        <f aca="false">IF(OR(D34="per student",D34="per group",D34="per class"),B34*$B$3,B34)</f>
        <v>1</v>
      </c>
      <c r="F34" s="12"/>
      <c r="G34" s="13"/>
      <c r="H34" s="13"/>
      <c r="I34" s="12" t="s">
        <v>199</v>
      </c>
      <c r="J34" s="12"/>
      <c r="K34" s="12" t="s">
        <v>70</v>
      </c>
      <c r="L34" s="12"/>
      <c r="M34" s="13"/>
    </row>
    <row r="35" customFormat="false" ht="15" hidden="false" customHeight="false" outlineLevel="0" collapsed="false">
      <c r="A35" s="12" t="s">
        <v>122</v>
      </c>
      <c r="B35" s="13" t="n">
        <v>1</v>
      </c>
      <c r="C35" s="12" t="s">
        <v>123</v>
      </c>
      <c r="D35" s="13" t="s">
        <v>49</v>
      </c>
      <c r="E35" s="13" t="n">
        <f aca="false">IF(OR(D35="per student",D35="per group",D35="per class"),B35*$B$3,B35)</f>
        <v>1</v>
      </c>
      <c r="F35" s="12"/>
      <c r="G35" s="13"/>
      <c r="H35" s="13"/>
      <c r="I35" s="12" t="s">
        <v>124</v>
      </c>
      <c r="J35" s="12"/>
      <c r="K35" s="12" t="s">
        <v>125</v>
      </c>
      <c r="L35" s="12"/>
      <c r="M35" s="13"/>
    </row>
    <row r="36" customFormat="false" ht="15" hidden="false" customHeight="false" outlineLevel="0" collapsed="false">
      <c r="A36" s="11" t="s">
        <v>200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23.85" hidden="false" customHeight="false" outlineLevel="0" collapsed="false">
      <c r="A37" s="12" t="s">
        <v>201</v>
      </c>
      <c r="B37" s="13" t="n">
        <v>8</v>
      </c>
      <c r="C37" s="12" t="s">
        <v>202</v>
      </c>
      <c r="D37" s="13" t="s">
        <v>129</v>
      </c>
      <c r="E37" s="13" t="n">
        <f aca="false">IF(OR(D37="per student",D37="per group",D37="per class"),B37*$B$3,B37)</f>
        <v>8</v>
      </c>
      <c r="F37" s="12"/>
      <c r="G37" s="13"/>
      <c r="H37" s="13"/>
      <c r="I37" s="12" t="s">
        <v>203</v>
      </c>
      <c r="J37" s="12"/>
      <c r="K37" s="12" t="s">
        <v>70</v>
      </c>
      <c r="L37" s="14" t="s">
        <v>204</v>
      </c>
      <c r="M37" s="13"/>
    </row>
    <row r="38" customFormat="false" ht="23.85" hidden="false" customHeight="false" outlineLevel="0" collapsed="false">
      <c r="A38" s="12" t="s">
        <v>205</v>
      </c>
      <c r="B38" s="13" t="n">
        <v>4</v>
      </c>
      <c r="C38" s="12" t="s">
        <v>206</v>
      </c>
      <c r="D38" s="13" t="s">
        <v>129</v>
      </c>
      <c r="E38" s="13" t="n">
        <f aca="false">IF(OR(D38="per student",D38="per group",D38="per class"),B38*$B$3,B38)</f>
        <v>4</v>
      </c>
      <c r="F38" s="12"/>
      <c r="G38" s="13"/>
      <c r="H38" s="13"/>
      <c r="I38" s="12" t="s">
        <v>207</v>
      </c>
      <c r="J38" s="12"/>
      <c r="K38" s="12" t="s">
        <v>70</v>
      </c>
      <c r="L38" s="14" t="s">
        <v>208</v>
      </c>
      <c r="M38" s="13"/>
    </row>
    <row r="39" customFormat="false" ht="15" hidden="false" customHeight="false" outlineLevel="0" collapsed="false">
      <c r="A39" s="12" t="s">
        <v>209</v>
      </c>
      <c r="B39" s="13" t="n">
        <v>4</v>
      </c>
      <c r="C39" s="12" t="s">
        <v>210</v>
      </c>
      <c r="D39" s="13" t="s">
        <v>129</v>
      </c>
      <c r="E39" s="13" t="n">
        <f aca="false">IF(OR(D39="per student",D39="per group",D39="per class"),B39*$B$3,B39)</f>
        <v>4</v>
      </c>
      <c r="F39" s="12"/>
      <c r="G39" s="13"/>
      <c r="H39" s="13"/>
      <c r="I39" s="12" t="s">
        <v>211</v>
      </c>
      <c r="J39" s="12"/>
      <c r="K39" s="12" t="s">
        <v>70</v>
      </c>
      <c r="L39" s="12"/>
      <c r="M39" s="13"/>
    </row>
    <row r="40" customFormat="false" ht="15" hidden="false" customHeight="false" outlineLevel="0" collapsed="false">
      <c r="A40" s="12" t="s">
        <v>212</v>
      </c>
      <c r="B40" s="13" t="n">
        <v>1</v>
      </c>
      <c r="C40" s="12" t="s">
        <v>213</v>
      </c>
      <c r="D40" s="13" t="s">
        <v>129</v>
      </c>
      <c r="E40" s="13" t="n">
        <f aca="false">IF(OR(D40="per student",D40="per group",D40="per class"),B40*$B$3,B40)</f>
        <v>1</v>
      </c>
      <c r="F40" s="12"/>
      <c r="G40" s="13"/>
      <c r="H40" s="13"/>
      <c r="I40" s="12" t="s">
        <v>214</v>
      </c>
      <c r="J40" s="12"/>
      <c r="K40" s="14" t="s">
        <v>76</v>
      </c>
      <c r="L40" s="12"/>
      <c r="M40" s="13"/>
    </row>
    <row r="41" customFormat="false" ht="15" hidden="false" customHeight="false" outlineLevel="0" collapsed="false">
      <c r="A41" s="12" t="s">
        <v>127</v>
      </c>
      <c r="B41" s="13" t="n">
        <v>1</v>
      </c>
      <c r="C41" s="12" t="s">
        <v>128</v>
      </c>
      <c r="D41" s="13" t="s">
        <v>129</v>
      </c>
      <c r="E41" s="13" t="n">
        <f aca="false">IF(OR(D41="per student",D41="per group",D41="per class"),B41*$B$3,B41)</f>
        <v>1</v>
      </c>
      <c r="F41" s="12"/>
      <c r="G41" s="13"/>
      <c r="H41" s="13"/>
      <c r="I41" s="12" t="s">
        <v>130</v>
      </c>
      <c r="J41" s="12"/>
      <c r="K41" s="12" t="s">
        <v>131</v>
      </c>
      <c r="L41" s="12"/>
      <c r="M41" s="13"/>
    </row>
    <row r="42" customFormat="false" ht="23.85" hidden="false" customHeight="false" outlineLevel="0" collapsed="false">
      <c r="A42" s="12" t="s">
        <v>132</v>
      </c>
      <c r="B42" s="13" t="n">
        <v>1</v>
      </c>
      <c r="C42" s="12" t="s">
        <v>133</v>
      </c>
      <c r="D42" s="13" t="s">
        <v>129</v>
      </c>
      <c r="E42" s="13" t="n">
        <f aca="false">IF(OR(D42="per student",D42="per group",D42="per class"),B42*$B$3,B42)</f>
        <v>1</v>
      </c>
      <c r="F42" s="12"/>
      <c r="G42" s="13"/>
      <c r="H42" s="13"/>
      <c r="I42" s="12" t="s">
        <v>215</v>
      </c>
      <c r="J42" s="12"/>
      <c r="K42" s="12" t="s">
        <v>131</v>
      </c>
      <c r="L42" s="12"/>
      <c r="M42" s="13"/>
    </row>
    <row r="43" customFormat="false" ht="15" hidden="false" customHeight="false" outlineLevel="0" collapsed="false">
      <c r="A43" s="11" t="s">
        <v>216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5" hidden="false" customHeight="false" outlineLevel="0" collapsed="false">
      <c r="A44" s="12" t="s">
        <v>217</v>
      </c>
      <c r="B44" s="13" t="n">
        <v>1</v>
      </c>
      <c r="C44" s="12" t="s">
        <v>218</v>
      </c>
      <c r="D44" s="13" t="s">
        <v>129</v>
      </c>
      <c r="E44" s="13" t="n">
        <f aca="false">IF(OR(D44="per student",D44="per group",D44="per class"),B44*$B$3,B44)</f>
        <v>1</v>
      </c>
      <c r="F44" s="12"/>
      <c r="G44" s="13"/>
      <c r="H44" s="13"/>
      <c r="I44" s="12" t="s">
        <v>219</v>
      </c>
      <c r="J44" s="12" t="s">
        <v>106</v>
      </c>
      <c r="K44" s="12" t="s">
        <v>70</v>
      </c>
      <c r="L44" s="12"/>
      <c r="M44" s="13"/>
    </row>
    <row r="45" customFormat="false" ht="23.85" hidden="false" customHeight="false" outlineLevel="0" collapsed="false">
      <c r="A45" s="12" t="s">
        <v>220</v>
      </c>
      <c r="B45" s="13" t="n">
        <v>1</v>
      </c>
      <c r="C45" s="12" t="s">
        <v>221</v>
      </c>
      <c r="D45" s="13" t="s">
        <v>49</v>
      </c>
      <c r="E45" s="13" t="n">
        <f aca="false">IF(OR(D45="per student",D45="per group",D45="per class"),B45*$B$3,B45)</f>
        <v>1</v>
      </c>
      <c r="F45" s="12"/>
      <c r="G45" s="13"/>
      <c r="H45" s="13"/>
      <c r="I45" s="12" t="s">
        <v>222</v>
      </c>
      <c r="J45" s="12" t="s">
        <v>106</v>
      </c>
      <c r="K45" s="12" t="s">
        <v>70</v>
      </c>
      <c r="L45" s="12"/>
      <c r="M45" s="13"/>
    </row>
    <row r="46" customFormat="false" ht="15" hidden="false" customHeight="false" outlineLevel="0" collapsed="false">
      <c r="A46" s="12" t="s">
        <v>223</v>
      </c>
      <c r="B46" s="13" t="n">
        <v>1</v>
      </c>
      <c r="C46" s="12" t="s">
        <v>224</v>
      </c>
      <c r="D46" s="13" t="s">
        <v>129</v>
      </c>
      <c r="E46" s="13" t="n">
        <f aca="false">IF(OR(D46="per student",D46="per group",D46="per class"),B46*$B$3,B46)</f>
        <v>1</v>
      </c>
      <c r="F46" s="12"/>
      <c r="G46" s="13"/>
      <c r="H46" s="13"/>
      <c r="I46" s="12" t="s">
        <v>225</v>
      </c>
      <c r="J46" s="12" t="s">
        <v>106</v>
      </c>
      <c r="K46" s="14" t="s">
        <v>97</v>
      </c>
      <c r="L46" s="14" t="s">
        <v>226</v>
      </c>
      <c r="M46" s="13"/>
    </row>
    <row r="47" customFormat="false" ht="15" hidden="false" customHeight="false" outlineLevel="0" collapsed="false">
      <c r="A47" s="12" t="s">
        <v>227</v>
      </c>
      <c r="B47" s="13" t="n">
        <v>1</v>
      </c>
      <c r="C47" s="12" t="s">
        <v>228</v>
      </c>
      <c r="D47" s="13" t="s">
        <v>129</v>
      </c>
      <c r="E47" s="13" t="n">
        <f aca="false">IF(OR(D47="per student",D47="per group",D47="per class"),B47*$B$3,B47)</f>
        <v>1</v>
      </c>
      <c r="F47" s="12"/>
      <c r="G47" s="13"/>
      <c r="H47" s="13"/>
      <c r="I47" s="12" t="s">
        <v>229</v>
      </c>
      <c r="J47" s="12" t="s">
        <v>106</v>
      </c>
      <c r="K47" s="12" t="s">
        <v>70</v>
      </c>
      <c r="L47" s="12"/>
      <c r="M47" s="13"/>
    </row>
    <row r="48" customFormat="false" ht="15" hidden="false" customHeight="false" outlineLevel="0" collapsed="false">
      <c r="A48" s="12" t="s">
        <v>230</v>
      </c>
      <c r="B48" s="13" t="n">
        <v>1</v>
      </c>
      <c r="C48" s="12" t="s">
        <v>231</v>
      </c>
      <c r="D48" s="13" t="s">
        <v>49</v>
      </c>
      <c r="E48" s="13" t="n">
        <f aca="false">IF(OR(D48="per student",D48="per group",D48="per class"),B48*$B$3,B48)</f>
        <v>1</v>
      </c>
      <c r="F48" s="12"/>
      <c r="G48" s="13"/>
      <c r="H48" s="13"/>
      <c r="I48" s="12" t="s">
        <v>232</v>
      </c>
      <c r="J48" s="12" t="s">
        <v>106</v>
      </c>
      <c r="K48" s="12" t="s">
        <v>70</v>
      </c>
      <c r="L48" s="12"/>
      <c r="M48" s="13"/>
    </row>
    <row r="49" customFormat="false" ht="15" hidden="false" customHeight="false" outlineLevel="0" collapsed="false">
      <c r="A49" s="12" t="s">
        <v>233</v>
      </c>
      <c r="B49" s="13" t="n">
        <v>1</v>
      </c>
      <c r="C49" s="12" t="s">
        <v>234</v>
      </c>
      <c r="D49" s="13" t="s">
        <v>129</v>
      </c>
      <c r="E49" s="13" t="n">
        <f aca="false">IF(OR(D49="per student",D49="per group",D49="per class"),B49*$B$3,B49)</f>
        <v>1</v>
      </c>
      <c r="F49" s="12"/>
      <c r="G49" s="13"/>
      <c r="H49" s="13"/>
      <c r="I49" s="12" t="s">
        <v>235</v>
      </c>
      <c r="J49" s="12" t="s">
        <v>106</v>
      </c>
      <c r="K49" s="12" t="s">
        <v>131</v>
      </c>
      <c r="L49" s="12"/>
      <c r="M49" s="13"/>
    </row>
    <row r="50" customFormat="false" ht="15" hidden="false" customHeight="false" outlineLevel="0" collapsed="false">
      <c r="A50" s="12" t="s">
        <v>236</v>
      </c>
      <c r="B50" s="13" t="n">
        <v>1</v>
      </c>
      <c r="C50" s="12" t="s">
        <v>237</v>
      </c>
      <c r="D50" s="13" t="s">
        <v>129</v>
      </c>
      <c r="E50" s="13" t="n">
        <f aca="false">IF(OR(D50="per student",D50="per group",D50="per class"),B50*$B$3,B50)</f>
        <v>1</v>
      </c>
      <c r="F50" s="12" t="s">
        <v>36</v>
      </c>
      <c r="G50" s="13" t="n">
        <v>1</v>
      </c>
      <c r="H50" s="13" t="n">
        <f aca="false">ROUNDUP(E50*G50,0)</f>
        <v>1</v>
      </c>
      <c r="I50" s="12" t="s">
        <v>238</v>
      </c>
      <c r="J50" s="12" t="s">
        <v>106</v>
      </c>
      <c r="K50" s="12" t="s">
        <v>70</v>
      </c>
      <c r="L50" s="12"/>
      <c r="M50" s="13"/>
    </row>
    <row r="51" customFormat="false" ht="15" hidden="false" customHeight="false" outlineLevel="0" collapsed="false">
      <c r="A51" s="12" t="s">
        <v>239</v>
      </c>
      <c r="B51" s="13" t="n">
        <v>1</v>
      </c>
      <c r="C51" s="12" t="s">
        <v>240</v>
      </c>
      <c r="D51" s="13" t="s">
        <v>129</v>
      </c>
      <c r="E51" s="13" t="n">
        <f aca="false">IF(OR(D51="per student",D51="per group",D51="per class"),B51*$B$3,B51)</f>
        <v>1</v>
      </c>
      <c r="F51" s="12" t="s">
        <v>53</v>
      </c>
      <c r="G51" s="13" t="n">
        <v>1</v>
      </c>
      <c r="H51" s="13" t="n">
        <f aca="false">ROUNDUP(E51*G51,0)</f>
        <v>1</v>
      </c>
      <c r="I51" s="12" t="s">
        <v>241</v>
      </c>
      <c r="J51" s="12" t="s">
        <v>106</v>
      </c>
      <c r="K51" s="12" t="s">
        <v>38</v>
      </c>
      <c r="L51" s="12"/>
      <c r="M51" s="13"/>
    </row>
    <row r="52" customFormat="false" ht="15" hidden="false" customHeight="false" outlineLevel="0" collapsed="false">
      <c r="A52" s="11" t="s">
        <v>242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23.85" hidden="false" customHeight="false" outlineLevel="0" collapsed="false">
      <c r="A53" s="12" t="s">
        <v>243</v>
      </c>
      <c r="B53" s="13" t="n">
        <v>4</v>
      </c>
      <c r="C53" s="12" t="s">
        <v>244</v>
      </c>
      <c r="D53" s="13" t="s">
        <v>129</v>
      </c>
      <c r="E53" s="13" t="n">
        <f aca="false">IF(OR(D53="per student",D53="per group",D53="per class"),B53*$B$3,B53)</f>
        <v>4</v>
      </c>
      <c r="F53" s="12"/>
      <c r="G53" s="13"/>
      <c r="H53" s="13"/>
      <c r="I53" s="12" t="s">
        <v>245</v>
      </c>
      <c r="J53" s="12"/>
      <c r="K53" s="12" t="s">
        <v>70</v>
      </c>
      <c r="L53" s="14" t="s">
        <v>246</v>
      </c>
      <c r="M53" s="13"/>
    </row>
    <row r="54" customFormat="false" ht="23.85" hidden="false" customHeight="false" outlineLevel="0" collapsed="false">
      <c r="A54" s="12" t="s">
        <v>247</v>
      </c>
      <c r="B54" s="13" t="n">
        <v>1</v>
      </c>
      <c r="C54" s="12" t="s">
        <v>248</v>
      </c>
      <c r="D54" s="13" t="s">
        <v>129</v>
      </c>
      <c r="E54" s="13" t="n">
        <f aca="false">IF(OR(D54="per student",D54="per group",D54="per class"),B54*$B$3,B54)</f>
        <v>1</v>
      </c>
      <c r="F54" s="12"/>
      <c r="G54" s="13"/>
      <c r="H54" s="13"/>
      <c r="I54" s="12" t="s">
        <v>249</v>
      </c>
      <c r="J54" s="12"/>
      <c r="K54" s="12" t="s">
        <v>70</v>
      </c>
      <c r="L54" s="14" t="s">
        <v>250</v>
      </c>
      <c r="M54" s="13"/>
    </row>
    <row r="55" customFormat="false" ht="23.85" hidden="false" customHeight="false" outlineLevel="0" collapsed="false">
      <c r="A55" s="12" t="s">
        <v>251</v>
      </c>
      <c r="B55" s="13" t="n">
        <v>1</v>
      </c>
      <c r="C55" s="12" t="s">
        <v>228</v>
      </c>
      <c r="D55" s="13" t="s">
        <v>49</v>
      </c>
      <c r="E55" s="13" t="n">
        <f aca="false">IF(OR(D55="per student",D55="per group",D55="per class"),B55*$B$3,B55)</f>
        <v>1</v>
      </c>
      <c r="F55" s="12"/>
      <c r="G55" s="13"/>
      <c r="H55" s="13"/>
      <c r="I55" s="12" t="s">
        <v>252</v>
      </c>
      <c r="J55" s="12" t="s">
        <v>106</v>
      </c>
      <c r="K55" s="12" t="s">
        <v>70</v>
      </c>
      <c r="L55" s="12"/>
      <c r="M55" s="13"/>
    </row>
    <row r="57" customFormat="false" ht="15" hidden="false" customHeight="false" outlineLevel="0" collapsed="false">
      <c r="A57" s="7" t="s">
        <v>139</v>
      </c>
    </row>
    <row r="58" customFormat="false" ht="15" hidden="false" customHeight="false" outlineLevel="0" collapsed="false">
      <c r="A58" s="6" t="s">
        <v>36</v>
      </c>
      <c r="B58" s="15" t="n">
        <f aca="false">SUMIFS($H$6:$H$55,$F$6:$F$55,A58)</f>
        <v>239</v>
      </c>
      <c r="C58" s="6" t="s">
        <v>140</v>
      </c>
    </row>
    <row r="59" customFormat="false" ht="15" hidden="false" customHeight="false" outlineLevel="0" collapsed="false">
      <c r="A59" s="6" t="s">
        <v>68</v>
      </c>
      <c r="B59" s="15" t="n">
        <f aca="false">SUMIFS($H$6:$H$55,$F$6:$F$55,A59)</f>
        <v>4</v>
      </c>
      <c r="C59" s="6" t="s">
        <v>140</v>
      </c>
    </row>
    <row r="60" customFormat="false" ht="15" hidden="false" customHeight="false" outlineLevel="0" collapsed="false">
      <c r="A60" s="6" t="s">
        <v>53</v>
      </c>
      <c r="B60" s="15" t="n">
        <f aca="false">SUMIFS($H$6:$H$55,$F$6:$F$55,A60)</f>
        <v>32</v>
      </c>
      <c r="C60" s="6" t="s">
        <v>140</v>
      </c>
    </row>
    <row r="61" customFormat="false" ht="15" hidden="false" customHeight="false" outlineLevel="0" collapsed="false">
      <c r="A61" s="6" t="s">
        <v>95</v>
      </c>
      <c r="B61" s="15" t="n">
        <f aca="false">SUMIFS($H$6:$H$55,$F$6:$F$55,A61)</f>
        <v>49</v>
      </c>
      <c r="C61" s="6" t="s">
        <v>140</v>
      </c>
    </row>
    <row r="62" customFormat="false" ht="15" hidden="false" customHeight="false" outlineLevel="0" collapsed="false">
      <c r="A62" s="6" t="s">
        <v>84</v>
      </c>
      <c r="B62" s="15" t="n">
        <f aca="false">SUMIFS($H$6:$H$55,$F$6:$F$55,A62)</f>
        <v>196</v>
      </c>
      <c r="C62" s="6" t="s">
        <v>140</v>
      </c>
    </row>
    <row r="63" customFormat="false" ht="15" hidden="false" customHeight="false" outlineLevel="0" collapsed="false">
      <c r="A63" s="9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2026-10-15T23:52:37Z</dcterms:created>
  <dc:creator>openpyxl</dc:creator>
  <dc:description/>
  <dc:language>en-US</dc:language>
  <cp:lastModifiedBy/>
  <dcterms:modified xsi:type="dcterms:W3CDTF">2026-10-15T23:52:37Z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